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omments1.xml" ContentType="application/vnd.openxmlformats-officedocument.spreadsheetml.comments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tables/table8.xml" ContentType="application/vnd.openxmlformats-officedocument.spreadsheetml.table+xml"/>
  <Override PartName="/xl/drawings/drawing6.xml" ContentType="application/vnd.openxmlformats-officedocument.drawing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2025_DigiLivo\GERENTE DE PROYECTOS\Proyecto Choriboni\Base Total_Choriboni Parrilla\1. Finance System\"/>
    </mc:Choice>
  </mc:AlternateContent>
  <xr:revisionPtr revIDLastSave="0" documentId="13_ncr:1_{07B35D75-96AE-4B91-8527-3EA7CE501882}" xr6:coauthVersionLast="47" xr6:coauthVersionMax="47" xr10:uidLastSave="{00000000-0000-0000-0000-000000000000}"/>
  <bookViews>
    <workbookView xWindow="20370" yWindow="-2070" windowWidth="21840" windowHeight="13140" tabRatio="689" activeTab="3" xr2:uid="{00000000-000D-0000-FFFF-FFFF00000000}"/>
  </bookViews>
  <sheets>
    <sheet name="Inicio" sheetId="34" r:id="rId1"/>
    <sheet name="OPEX_SALES" sheetId="48" r:id="rId2"/>
    <sheet name="Opex" sheetId="43" r:id="rId3"/>
    <sheet name="sales" sheetId="28" r:id="rId4"/>
    <sheet name="MP" sheetId="55" r:id="rId5"/>
    <sheet name="Historia" sheetId="53" r:id="rId6"/>
    <sheet name="products" sheetId="52" r:id="rId7"/>
    <sheet name="Forecast" sheetId="45" r:id="rId8"/>
    <sheet name="Activos" sheetId="35" r:id="rId9"/>
    <sheet name="Ingresos" sheetId="33" r:id="rId10"/>
    <sheet name="Cuentas x Pagar" sheetId="23" r:id="rId11"/>
    <sheet name="Opex (2)" sheetId="47" state="hidden" r:id="rId12"/>
  </sheets>
  <externalReferences>
    <externalReference r:id="rId13"/>
  </externalReferences>
  <definedNames>
    <definedName name="_Fill" localSheetId="8" hidden="1">#REF!</definedName>
    <definedName name="_Fill" hidden="1">#REF!</definedName>
    <definedName name="_xlnm._FilterDatabase" localSheetId="4" hidden="1">MP!$A$2:$A$449</definedName>
    <definedName name="_xlnm._FilterDatabase" localSheetId="1" hidden="1">OPEX_SALES!$A$2:$E$324</definedName>
    <definedName name="Costo_MP">#REF!</definedName>
    <definedName name="Cuentas_x_pagar" localSheetId="8">Pasivos[]</definedName>
    <definedName name="Cuentas_x_pagar" localSheetId="11">Pasivos[]</definedName>
    <definedName name="Cuentas_x_pagar">Pasivos[]</definedName>
    <definedName name="Efectivo">#REF!</definedName>
    <definedName name="SegmentaciónDeDatos_Tipo_día">#N/A</definedName>
    <definedName name="Stock_Inventario">#REF!</definedName>
  </definedNames>
  <calcPr calcId="191029"/>
  <pivotCaches>
    <pivotCache cacheId="111" r:id="rId14"/>
    <pivotCache cacheId="112" r:id="rId15"/>
  </pivotCaches>
  <extLst>
    <ext xmlns:x14="http://schemas.microsoft.com/office/spreadsheetml/2009/9/main" uri="{BBE1A952-AA13-448e-AADC-164F8A28A991}">
      <x14:slicerCaches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8" l="1"/>
  <c r="M2" i="28" s="1"/>
  <c r="E3" i="28"/>
  <c r="M3" i="28" s="1"/>
  <c r="E4" i="28"/>
  <c r="M4" i="28" s="1"/>
  <c r="E5" i="28"/>
  <c r="M5" i="28" s="1"/>
  <c r="E6" i="28"/>
  <c r="M6" i="28" s="1"/>
  <c r="E7" i="28"/>
  <c r="M7" i="28" s="1"/>
  <c r="E8" i="28"/>
  <c r="M8" i="28" s="1"/>
  <c r="E9" i="28"/>
  <c r="M9" i="28" s="1"/>
  <c r="E10" i="28"/>
  <c r="M10" i="28" s="1"/>
  <c r="E11" i="28"/>
  <c r="M11" i="28" s="1"/>
  <c r="E12" i="28"/>
  <c r="M12" i="28" s="1"/>
  <c r="E13" i="28"/>
  <c r="M13" i="28" s="1"/>
  <c r="E14" i="28"/>
  <c r="M14" i="28" s="1"/>
  <c r="E15" i="28"/>
  <c r="M15" i="28" s="1"/>
  <c r="E16" i="28"/>
  <c r="M16" i="28" s="1"/>
  <c r="E17" i="28"/>
  <c r="M17" i="28" s="1"/>
  <c r="E18" i="28"/>
  <c r="M18" i="28" s="1"/>
  <c r="E19" i="28"/>
  <c r="M19" i="28" s="1"/>
  <c r="E20" i="28"/>
  <c r="M20" i="28" s="1"/>
  <c r="E21" i="28"/>
  <c r="M21" i="28" s="1"/>
  <c r="E22" i="28"/>
  <c r="M22" i="28" s="1"/>
  <c r="E23" i="28"/>
  <c r="M23" i="28" s="1"/>
  <c r="E24" i="28"/>
  <c r="M24" i="28" s="1"/>
  <c r="E25" i="28"/>
  <c r="M25" i="28" s="1"/>
  <c r="E26" i="28"/>
  <c r="M26" i="28" s="1"/>
  <c r="E27" i="28"/>
  <c r="M27" i="28" s="1"/>
  <c r="E28" i="28"/>
  <c r="M28" i="28" s="1"/>
  <c r="E29" i="28"/>
  <c r="M29" i="28" s="1"/>
  <c r="E30" i="28"/>
  <c r="M30" i="28" s="1"/>
  <c r="E31" i="28"/>
  <c r="M31" i="28" s="1"/>
  <c r="E32" i="28"/>
  <c r="M32" i="28" s="1"/>
  <c r="E33" i="28"/>
  <c r="M33" i="28" s="1"/>
  <c r="E34" i="28"/>
  <c r="M34" i="28" s="1"/>
  <c r="E35" i="28"/>
  <c r="M35" i="28" s="1"/>
  <c r="E36" i="28"/>
  <c r="M36" i="28" s="1"/>
  <c r="E37" i="28"/>
  <c r="M37" i="28" s="1"/>
  <c r="E38" i="28"/>
  <c r="M38" i="28" s="1"/>
  <c r="E39" i="28"/>
  <c r="M39" i="28" s="1"/>
  <c r="E40" i="28"/>
  <c r="M40" i="28" s="1"/>
  <c r="E41" i="28"/>
  <c r="M41" i="28" s="1"/>
  <c r="E42" i="28"/>
  <c r="M42" i="28" s="1"/>
  <c r="E43" i="28"/>
  <c r="M43" i="28" s="1"/>
  <c r="E44" i="28"/>
  <c r="M44" i="28" s="1"/>
  <c r="E45" i="28"/>
  <c r="M45" i="28" s="1"/>
  <c r="E46" i="28"/>
  <c r="M46" i="28" s="1"/>
  <c r="E47" i="28"/>
  <c r="M47" i="28" s="1"/>
  <c r="E48" i="28"/>
  <c r="M48" i="28" s="1"/>
  <c r="E49" i="28"/>
  <c r="M49" i="28" s="1"/>
  <c r="E50" i="28"/>
  <c r="M50" i="28" s="1"/>
  <c r="E51" i="28"/>
  <c r="M51" i="28" s="1"/>
  <c r="E52" i="28"/>
  <c r="M52" i="28" s="1"/>
  <c r="E53" i="28"/>
  <c r="M53" i="28" s="1"/>
  <c r="E54" i="28"/>
  <c r="M54" i="28" s="1"/>
  <c r="E55" i="28"/>
  <c r="M55" i="28" s="1"/>
  <c r="E56" i="28"/>
  <c r="M56" i="28" s="1"/>
  <c r="E57" i="28"/>
  <c r="M57" i="28" s="1"/>
  <c r="E58" i="28"/>
  <c r="M58" i="28" s="1"/>
  <c r="E59" i="28"/>
  <c r="M59" i="28" s="1"/>
  <c r="E60" i="28"/>
  <c r="M60" i="28" s="1"/>
  <c r="E61" i="28"/>
  <c r="M61" i="28" s="1"/>
  <c r="E62" i="28"/>
  <c r="M62" i="28" s="1"/>
  <c r="E63" i="28"/>
  <c r="M63" i="28" s="1"/>
  <c r="E64" i="28"/>
  <c r="M64" i="28" s="1"/>
  <c r="E65" i="28"/>
  <c r="M65" i="28" s="1"/>
  <c r="E66" i="28"/>
  <c r="M66" i="28" s="1"/>
  <c r="E67" i="28"/>
  <c r="M67" i="28" s="1"/>
  <c r="E68" i="28"/>
  <c r="M68" i="28" s="1"/>
  <c r="E69" i="28"/>
  <c r="M69" i="28" s="1"/>
  <c r="E70" i="28"/>
  <c r="M70" i="28" s="1"/>
  <c r="E71" i="28"/>
  <c r="M71" i="28" s="1"/>
  <c r="E72" i="28"/>
  <c r="M72" i="28" s="1"/>
  <c r="E73" i="28"/>
  <c r="M73" i="28" s="1"/>
  <c r="E74" i="28"/>
  <c r="M74" i="28" s="1"/>
  <c r="E75" i="28"/>
  <c r="M75" i="28" s="1"/>
  <c r="E76" i="28"/>
  <c r="M76" i="28" s="1"/>
  <c r="E77" i="28"/>
  <c r="M77" i="28" s="1"/>
  <c r="E78" i="28"/>
  <c r="M78" i="28" s="1"/>
  <c r="E79" i="28"/>
  <c r="M79" i="28" s="1"/>
  <c r="E80" i="28"/>
  <c r="M80" i="28" s="1"/>
  <c r="E81" i="28"/>
  <c r="M81" i="28" s="1"/>
  <c r="E82" i="28"/>
  <c r="M82" i="28" s="1"/>
  <c r="E83" i="28"/>
  <c r="M83" i="28" s="1"/>
  <c r="E84" i="28"/>
  <c r="M84" i="28" s="1"/>
  <c r="E85" i="28"/>
  <c r="M85" i="28" s="1"/>
  <c r="E86" i="28"/>
  <c r="M86" i="28" s="1"/>
  <c r="E87" i="28"/>
  <c r="M87" i="28" s="1"/>
  <c r="E88" i="28"/>
  <c r="M88" i="28" s="1"/>
  <c r="E89" i="28"/>
  <c r="M89" i="28" s="1"/>
  <c r="E90" i="28"/>
  <c r="M90" i="28" s="1"/>
  <c r="E91" i="28"/>
  <c r="M91" i="28" s="1"/>
  <c r="E92" i="28"/>
  <c r="M92" i="28" s="1"/>
  <c r="E93" i="28"/>
  <c r="M93" i="28" s="1"/>
  <c r="E94" i="28"/>
  <c r="M94" i="28" s="1"/>
  <c r="E95" i="28"/>
  <c r="M95" i="28" s="1"/>
  <c r="E96" i="28"/>
  <c r="M96" i="28" s="1"/>
  <c r="E97" i="28"/>
  <c r="M97" i="28" s="1"/>
  <c r="E98" i="28"/>
  <c r="M98" i="28" s="1"/>
  <c r="E99" i="28"/>
  <c r="M99" i="28" s="1"/>
  <c r="E100" i="28"/>
  <c r="M100" i="28" s="1"/>
  <c r="E101" i="28"/>
  <c r="M101" i="28" s="1"/>
  <c r="E102" i="28"/>
  <c r="M102" i="28" s="1"/>
  <c r="E103" i="28"/>
  <c r="M103" i="28" s="1"/>
  <c r="E104" i="28"/>
  <c r="M104" i="28" s="1"/>
  <c r="E105" i="28"/>
  <c r="M105" i="28" s="1"/>
  <c r="E106" i="28"/>
  <c r="M106" i="28" s="1"/>
  <c r="E107" i="28"/>
  <c r="M107" i="28" s="1"/>
  <c r="E108" i="28"/>
  <c r="M108" i="28" s="1"/>
  <c r="E109" i="28"/>
  <c r="M109" i="28" s="1"/>
  <c r="E110" i="28"/>
  <c r="M110" i="28" s="1"/>
  <c r="E111" i="28"/>
  <c r="M111" i="28" s="1"/>
  <c r="E112" i="28"/>
  <c r="M112" i="28" s="1"/>
  <c r="E113" i="28"/>
  <c r="M113" i="28" s="1"/>
  <c r="E114" i="28"/>
  <c r="M114" i="28" s="1"/>
  <c r="E115" i="28"/>
  <c r="M115" i="28" s="1"/>
  <c r="E116" i="28"/>
  <c r="M116" i="28" s="1"/>
  <c r="E117" i="28"/>
  <c r="M117" i="28" s="1"/>
  <c r="E118" i="28"/>
  <c r="M118" i="28" s="1"/>
  <c r="E119" i="28"/>
  <c r="M119" i="28" s="1"/>
  <c r="E120" i="28"/>
  <c r="M120" i="28" s="1"/>
  <c r="E121" i="28"/>
  <c r="M121" i="28" s="1"/>
  <c r="E122" i="28"/>
  <c r="M122" i="28" s="1"/>
  <c r="E123" i="28"/>
  <c r="M123" i="28" s="1"/>
  <c r="E124" i="28"/>
  <c r="M124" i="28" s="1"/>
  <c r="E125" i="28"/>
  <c r="M125" i="28" s="1"/>
  <c r="E126" i="28"/>
  <c r="M126" i="28" s="1"/>
  <c r="E127" i="28"/>
  <c r="M127" i="28" s="1"/>
  <c r="E128" i="28"/>
  <c r="M128" i="28" s="1"/>
  <c r="E129" i="28"/>
  <c r="M129" i="28" s="1"/>
  <c r="E130" i="28"/>
  <c r="M130" i="28" s="1"/>
  <c r="E131" i="28"/>
  <c r="M131" i="28" s="1"/>
  <c r="E132" i="28"/>
  <c r="M132" i="28" s="1"/>
  <c r="E133" i="28"/>
  <c r="M133" i="28" s="1"/>
  <c r="E134" i="28"/>
  <c r="M134" i="28" s="1"/>
  <c r="E135" i="28"/>
  <c r="M135" i="28" s="1"/>
  <c r="E136" i="28"/>
  <c r="M136" i="28" s="1"/>
  <c r="E137" i="28"/>
  <c r="M137" i="28" s="1"/>
  <c r="E138" i="28"/>
  <c r="M138" i="28" s="1"/>
  <c r="E139" i="28"/>
  <c r="M139" i="28" s="1"/>
  <c r="E140" i="28"/>
  <c r="M140" i="28" s="1"/>
  <c r="E141" i="28"/>
  <c r="M141" i="28" s="1"/>
  <c r="E142" i="28"/>
  <c r="M142" i="28" s="1"/>
  <c r="E143" i="28"/>
  <c r="M143" i="28" s="1"/>
  <c r="E144" i="28"/>
  <c r="M144" i="28" s="1"/>
  <c r="E145" i="28"/>
  <c r="M145" i="28" s="1"/>
  <c r="E146" i="28"/>
  <c r="M146" i="28" s="1"/>
  <c r="E147" i="28"/>
  <c r="M147" i="28" s="1"/>
  <c r="E148" i="28"/>
  <c r="M148" i="28" s="1"/>
  <c r="E149" i="28"/>
  <c r="M149" i="28" s="1"/>
  <c r="E150" i="28"/>
  <c r="M150" i="28" s="1"/>
  <c r="E151" i="28"/>
  <c r="M151" i="28" s="1"/>
  <c r="E152" i="28"/>
  <c r="M152" i="28" s="1"/>
  <c r="E153" i="28"/>
  <c r="M153" i="28" s="1"/>
  <c r="E154" i="28"/>
  <c r="M154" i="28" s="1"/>
  <c r="E155" i="28"/>
  <c r="M155" i="28" s="1"/>
  <c r="E156" i="28"/>
  <c r="M156" i="28" s="1"/>
  <c r="E157" i="28"/>
  <c r="M157" i="28" s="1"/>
  <c r="E158" i="28"/>
  <c r="M158" i="28" s="1"/>
  <c r="E159" i="28"/>
  <c r="M159" i="28" s="1"/>
  <c r="E160" i="28"/>
  <c r="M160" i="28" s="1"/>
  <c r="E161" i="28"/>
  <c r="M161" i="28" s="1"/>
  <c r="E162" i="28"/>
  <c r="M162" i="28" s="1"/>
  <c r="E163" i="28"/>
  <c r="M163" i="28" s="1"/>
  <c r="E164" i="28"/>
  <c r="M164" i="28" s="1"/>
  <c r="E165" i="28"/>
  <c r="M165" i="28" s="1"/>
  <c r="E166" i="28"/>
  <c r="M166" i="28" s="1"/>
  <c r="E167" i="28"/>
  <c r="M167" i="28" s="1"/>
  <c r="E168" i="28"/>
  <c r="M168" i="28" s="1"/>
  <c r="E169" i="28"/>
  <c r="M169" i="28" s="1"/>
  <c r="E170" i="28"/>
  <c r="M170" i="28" s="1"/>
  <c r="E171" i="28"/>
  <c r="M171" i="28" s="1"/>
  <c r="E172" i="28"/>
  <c r="M172" i="28" s="1"/>
  <c r="E173" i="28"/>
  <c r="M173" i="28" s="1"/>
  <c r="E174" i="28"/>
  <c r="M174" i="28" s="1"/>
  <c r="E175" i="28"/>
  <c r="M175" i="28" s="1"/>
  <c r="E176" i="28"/>
  <c r="M176" i="28" s="1"/>
  <c r="E177" i="28"/>
  <c r="M177" i="28" s="1"/>
  <c r="E178" i="28"/>
  <c r="M178" i="28" s="1"/>
  <c r="E179" i="28"/>
  <c r="M179" i="28" s="1"/>
  <c r="E180" i="28"/>
  <c r="M180" i="28" s="1"/>
  <c r="E181" i="28"/>
  <c r="M181" i="28" s="1"/>
  <c r="E182" i="28"/>
  <c r="M182" i="28" s="1"/>
  <c r="E183" i="28"/>
  <c r="M183" i="28" s="1"/>
  <c r="E184" i="28"/>
  <c r="M184" i="28" s="1"/>
  <c r="E185" i="28"/>
  <c r="M185" i="28" s="1"/>
  <c r="E186" i="28"/>
  <c r="M186" i="28" s="1"/>
  <c r="E187" i="28"/>
  <c r="M187" i="28" s="1"/>
  <c r="E188" i="28"/>
  <c r="M188" i="28" s="1"/>
  <c r="E189" i="28"/>
  <c r="M189" i="28" s="1"/>
  <c r="E190" i="28"/>
  <c r="M190" i="28" s="1"/>
  <c r="E191" i="28"/>
  <c r="M191" i="28" s="1"/>
  <c r="E192" i="28"/>
  <c r="M192" i="28" s="1"/>
  <c r="E193" i="28"/>
  <c r="M193" i="28" s="1"/>
  <c r="E194" i="28"/>
  <c r="M194" i="28" s="1"/>
  <c r="E195" i="28"/>
  <c r="M195" i="28" s="1"/>
  <c r="E196" i="28"/>
  <c r="M196" i="28" s="1"/>
  <c r="E197" i="28"/>
  <c r="M197" i="28" s="1"/>
  <c r="E198" i="28"/>
  <c r="M198" i="28" s="1"/>
  <c r="E199" i="28"/>
  <c r="M199" i="28" s="1"/>
  <c r="E200" i="28"/>
  <c r="M200" i="28" s="1"/>
  <c r="E201" i="28"/>
  <c r="M201" i="28" s="1"/>
  <c r="E202" i="28"/>
  <c r="M202" i="28" s="1"/>
  <c r="E203" i="28"/>
  <c r="M203" i="28" s="1"/>
  <c r="E204" i="28"/>
  <c r="M204" i="28" s="1"/>
  <c r="E205" i="28"/>
  <c r="M205" i="28" s="1"/>
  <c r="E206" i="28"/>
  <c r="M206" i="28" s="1"/>
  <c r="E207" i="28"/>
  <c r="M207" i="28" s="1"/>
  <c r="E208" i="28"/>
  <c r="M208" i="28" s="1"/>
  <c r="E209" i="28"/>
  <c r="M209" i="28" s="1"/>
  <c r="E210" i="28"/>
  <c r="M210" i="28" s="1"/>
  <c r="E211" i="28"/>
  <c r="M211" i="28" s="1"/>
  <c r="E212" i="28"/>
  <c r="M212" i="28" s="1"/>
  <c r="E213" i="28"/>
  <c r="M213" i="28" s="1"/>
  <c r="E214" i="28"/>
  <c r="M214" i="28" s="1"/>
  <c r="E215" i="28"/>
  <c r="M215" i="28" s="1"/>
  <c r="E216" i="28"/>
  <c r="M216" i="28" s="1"/>
  <c r="E217" i="28"/>
  <c r="M217" i="28" s="1"/>
  <c r="E218" i="28"/>
  <c r="M218" i="28" s="1"/>
  <c r="E219" i="28"/>
  <c r="M219" i="28" s="1"/>
  <c r="E220" i="28"/>
  <c r="M220" i="28" s="1"/>
  <c r="E221" i="28"/>
  <c r="M221" i="28" s="1"/>
  <c r="E222" i="28"/>
  <c r="M222" i="28" s="1"/>
  <c r="E223" i="28"/>
  <c r="M223" i="28" s="1"/>
  <c r="E224" i="28"/>
  <c r="M224" i="28" s="1"/>
  <c r="E225" i="28"/>
  <c r="M225" i="28" s="1"/>
  <c r="E226" i="28"/>
  <c r="M226" i="28" s="1"/>
  <c r="E227" i="28"/>
  <c r="M227" i="28" s="1"/>
  <c r="E228" i="28"/>
  <c r="M228" i="28" s="1"/>
  <c r="E229" i="28"/>
  <c r="M229" i="28" s="1"/>
  <c r="E230" i="28"/>
  <c r="M230" i="28" s="1"/>
  <c r="E231" i="28"/>
  <c r="M231" i="28" s="1"/>
  <c r="E232" i="28"/>
  <c r="M232" i="28" s="1"/>
  <c r="E233" i="28"/>
  <c r="M233" i="28" s="1"/>
  <c r="E234" i="28"/>
  <c r="M234" i="28" s="1"/>
  <c r="E235" i="28"/>
  <c r="M235" i="28" s="1"/>
  <c r="E236" i="28"/>
  <c r="M236" i="28" s="1"/>
  <c r="E237" i="28"/>
  <c r="M237" i="28" s="1"/>
  <c r="E238" i="28"/>
  <c r="M238" i="28" s="1"/>
  <c r="E239" i="28"/>
  <c r="M239" i="28" s="1"/>
  <c r="E240" i="28"/>
  <c r="M240" i="28" s="1"/>
  <c r="E241" i="28"/>
  <c r="M241" i="28" s="1"/>
  <c r="E242" i="28"/>
  <c r="M242" i="28" s="1"/>
  <c r="E243" i="28"/>
  <c r="M243" i="28" s="1"/>
  <c r="E244" i="28"/>
  <c r="M244" i="28" s="1"/>
  <c r="E245" i="28"/>
  <c r="M245" i="28" s="1"/>
  <c r="E246" i="28"/>
  <c r="M246" i="28" s="1"/>
  <c r="E247" i="28"/>
  <c r="M247" i="28" s="1"/>
  <c r="E248" i="28"/>
  <c r="M248" i="28" s="1"/>
  <c r="E249" i="28"/>
  <c r="M249" i="28" s="1"/>
  <c r="E250" i="28"/>
  <c r="M250" i="28" s="1"/>
  <c r="E251" i="28"/>
  <c r="M251" i="28" s="1"/>
  <c r="E252" i="28"/>
  <c r="M252" i="28" s="1"/>
  <c r="E253" i="28"/>
  <c r="M253" i="28" s="1"/>
  <c r="E254" i="28"/>
  <c r="M254" i="28" s="1"/>
  <c r="E255" i="28"/>
  <c r="M255" i="28" s="1"/>
  <c r="E256" i="28"/>
  <c r="M256" i="28" s="1"/>
  <c r="E257" i="28"/>
  <c r="M257" i="28" s="1"/>
  <c r="E258" i="28"/>
  <c r="M258" i="28" s="1"/>
  <c r="E259" i="28"/>
  <c r="M259" i="28" s="1"/>
  <c r="E260" i="28"/>
  <c r="M260" i="28" s="1"/>
  <c r="E261" i="28"/>
  <c r="M261" i="28" s="1"/>
  <c r="E262" i="28"/>
  <c r="M262" i="28" s="1"/>
  <c r="E263" i="28"/>
  <c r="M263" i="28" s="1"/>
  <c r="E264" i="28"/>
  <c r="M264" i="28" s="1"/>
  <c r="E265" i="28"/>
  <c r="M265" i="28" s="1"/>
  <c r="E266" i="28"/>
  <c r="M266" i="28" s="1"/>
  <c r="E267" i="28"/>
  <c r="M267" i="28" s="1"/>
  <c r="E268" i="28"/>
  <c r="M268" i="28" s="1"/>
  <c r="E269" i="28"/>
  <c r="M269" i="28" s="1"/>
  <c r="E270" i="28"/>
  <c r="M270" i="28" s="1"/>
  <c r="E271" i="28"/>
  <c r="M271" i="28" s="1"/>
  <c r="E272" i="28"/>
  <c r="M272" i="28" s="1"/>
  <c r="E273" i="28"/>
  <c r="M273" i="28" s="1"/>
  <c r="E274" i="28"/>
  <c r="M274" i="28" s="1"/>
  <c r="E275" i="28"/>
  <c r="M275" i="28" s="1"/>
  <c r="E276" i="28"/>
  <c r="M276" i="28" s="1"/>
  <c r="E277" i="28"/>
  <c r="M277" i="28" s="1"/>
  <c r="E278" i="28"/>
  <c r="M278" i="28" s="1"/>
  <c r="E279" i="28"/>
  <c r="M279" i="28" s="1"/>
  <c r="E280" i="28"/>
  <c r="M280" i="28" s="1"/>
  <c r="E281" i="28"/>
  <c r="M281" i="28" s="1"/>
  <c r="E282" i="28"/>
  <c r="M282" i="28" s="1"/>
  <c r="E283" i="28"/>
  <c r="M283" i="28" s="1"/>
  <c r="E284" i="28"/>
  <c r="M284" i="28" s="1"/>
  <c r="E285" i="28"/>
  <c r="M285" i="28" s="1"/>
  <c r="E286" i="28"/>
  <c r="M286" i="28" s="1"/>
  <c r="E287" i="28"/>
  <c r="M287" i="28" s="1"/>
  <c r="E288" i="28"/>
  <c r="M288" i="28" s="1"/>
  <c r="E289" i="28"/>
  <c r="M289" i="28" s="1"/>
  <c r="E290" i="28"/>
  <c r="M290" i="28" s="1"/>
  <c r="E291" i="28"/>
  <c r="M291" i="28" s="1"/>
  <c r="E292" i="28"/>
  <c r="M292" i="28" s="1"/>
  <c r="E293" i="28"/>
  <c r="M293" i="28" s="1"/>
  <c r="E294" i="28"/>
  <c r="M294" i="28" s="1"/>
  <c r="E295" i="28"/>
  <c r="M295" i="28" s="1"/>
  <c r="E296" i="28"/>
  <c r="M296" i="28" s="1"/>
  <c r="E297" i="28"/>
  <c r="M297" i="28" s="1"/>
  <c r="E298" i="28"/>
  <c r="M298" i="28" s="1"/>
  <c r="E299" i="28"/>
  <c r="M299" i="28" s="1"/>
  <c r="E300" i="28"/>
  <c r="M300" i="28" s="1"/>
  <c r="E301" i="28"/>
  <c r="M301" i="28" s="1"/>
  <c r="E302" i="28"/>
  <c r="M302" i="28" s="1"/>
  <c r="E303" i="28"/>
  <c r="M303" i="28" s="1"/>
  <c r="E304" i="28"/>
  <c r="M304" i="28" s="1"/>
  <c r="E305" i="28"/>
  <c r="M305" i="28" s="1"/>
  <c r="E306" i="28"/>
  <c r="M306" i="28" s="1"/>
  <c r="E307" i="28"/>
  <c r="M307" i="28" s="1"/>
  <c r="E308" i="28"/>
  <c r="M308" i="28" s="1"/>
  <c r="E309" i="28"/>
  <c r="M309" i="28" s="1"/>
  <c r="E310" i="28"/>
  <c r="M310" i="28" s="1"/>
  <c r="E311" i="28"/>
  <c r="M311" i="28" s="1"/>
  <c r="E312" i="28"/>
  <c r="M312" i="28" s="1"/>
  <c r="E313" i="28"/>
  <c r="M313" i="28" s="1"/>
  <c r="E314" i="28"/>
  <c r="M314" i="28" s="1"/>
  <c r="E315" i="28"/>
  <c r="M315" i="28" s="1"/>
  <c r="E316" i="28"/>
  <c r="M316" i="28" s="1"/>
  <c r="E317" i="28"/>
  <c r="M317" i="28" s="1"/>
  <c r="E318" i="28"/>
  <c r="M318" i="28" s="1"/>
  <c r="E319" i="28"/>
  <c r="M319" i="28" s="1"/>
  <c r="E320" i="28"/>
  <c r="M320" i="28" s="1"/>
  <c r="E321" i="28"/>
  <c r="M321" i="28" s="1"/>
  <c r="E322" i="28"/>
  <c r="M322" i="28" s="1"/>
  <c r="E323" i="28"/>
  <c r="M323" i="28" s="1"/>
  <c r="E324" i="28"/>
  <c r="M324" i="28" s="1"/>
  <c r="E325" i="28"/>
  <c r="M325" i="28" s="1"/>
  <c r="E326" i="28"/>
  <c r="M326" i="28" s="1"/>
  <c r="E327" i="28"/>
  <c r="M327" i="28" s="1"/>
  <c r="E328" i="28"/>
  <c r="M328" i="28" s="1"/>
  <c r="E329" i="28"/>
  <c r="M329" i="28" s="1"/>
  <c r="E330" i="28"/>
  <c r="M330" i="28" s="1"/>
  <c r="E331" i="28"/>
  <c r="M331" i="28" s="1"/>
  <c r="E332" i="28"/>
  <c r="M332" i="28" s="1"/>
  <c r="E333" i="28"/>
  <c r="M333" i="28" s="1"/>
  <c r="E334" i="28"/>
  <c r="M334" i="28" s="1"/>
  <c r="E335" i="28"/>
  <c r="M335" i="28" s="1"/>
  <c r="E336" i="28"/>
  <c r="M336" i="28" s="1"/>
  <c r="E337" i="28"/>
  <c r="M337" i="28" s="1"/>
  <c r="E338" i="28"/>
  <c r="M338" i="28" s="1"/>
  <c r="E339" i="28"/>
  <c r="M339" i="28" s="1"/>
  <c r="E340" i="28"/>
  <c r="M340" i="28" s="1"/>
  <c r="E341" i="28"/>
  <c r="M341" i="28" s="1"/>
  <c r="E342" i="28"/>
  <c r="M342" i="28" s="1"/>
  <c r="E343" i="28"/>
  <c r="M343" i="28" s="1"/>
  <c r="E344" i="28"/>
  <c r="M344" i="28" s="1"/>
  <c r="E345" i="28"/>
  <c r="M345" i="28" s="1"/>
  <c r="E346" i="28"/>
  <c r="M346" i="28" s="1"/>
  <c r="E347" i="28"/>
  <c r="M347" i="28" s="1"/>
  <c r="E348" i="28"/>
  <c r="M348" i="28" s="1"/>
  <c r="E349" i="28"/>
  <c r="M349" i="28" s="1"/>
  <c r="E350" i="28"/>
  <c r="M350" i="28" s="1"/>
  <c r="E351" i="28"/>
  <c r="M351" i="28" s="1"/>
  <c r="E352" i="28"/>
  <c r="M352" i="28" s="1"/>
  <c r="E353" i="28"/>
  <c r="M353" i="28" s="1"/>
  <c r="E354" i="28"/>
  <c r="M354" i="28" s="1"/>
  <c r="E355" i="28"/>
  <c r="M355" i="28" s="1"/>
  <c r="E356" i="28"/>
  <c r="M356" i="28" s="1"/>
  <c r="E357" i="28"/>
  <c r="M357" i="28" s="1"/>
  <c r="E358" i="28"/>
  <c r="M358" i="28" s="1"/>
  <c r="E359" i="28"/>
  <c r="M359" i="28" s="1"/>
  <c r="E360" i="28"/>
  <c r="M360" i="28" s="1"/>
  <c r="E361" i="28"/>
  <c r="M361" i="28" s="1"/>
  <c r="E362" i="28"/>
  <c r="M362" i="28" s="1"/>
  <c r="E363" i="28"/>
  <c r="M363" i="28" s="1"/>
  <c r="E364" i="28"/>
  <c r="M364" i="28" s="1"/>
  <c r="E365" i="28"/>
  <c r="M365" i="28" s="1"/>
  <c r="E366" i="28"/>
  <c r="M366" i="28" s="1"/>
  <c r="E367" i="28"/>
  <c r="M367" i="28" s="1"/>
  <c r="E368" i="28"/>
  <c r="M368" i="28" s="1"/>
  <c r="E369" i="28"/>
  <c r="M369" i="28" s="1"/>
  <c r="E370" i="28"/>
  <c r="M370" i="28" s="1"/>
  <c r="E371" i="28"/>
  <c r="M371" i="28" s="1"/>
  <c r="E372" i="28"/>
  <c r="M372" i="28" s="1"/>
  <c r="E373" i="28"/>
  <c r="M373" i="28" s="1"/>
  <c r="E374" i="28"/>
  <c r="M374" i="28" s="1"/>
  <c r="E375" i="28"/>
  <c r="M375" i="28" s="1"/>
  <c r="E376" i="28"/>
  <c r="M376" i="28" s="1"/>
  <c r="E377" i="28"/>
  <c r="M377" i="28" s="1"/>
  <c r="E378" i="28"/>
  <c r="M378" i="28" s="1"/>
  <c r="E379" i="28"/>
  <c r="M379" i="28" s="1"/>
  <c r="E380" i="28"/>
  <c r="M380" i="28" s="1"/>
  <c r="E381" i="28"/>
  <c r="M381" i="28" s="1"/>
  <c r="E382" i="28"/>
  <c r="M382" i="28" s="1"/>
  <c r="E383" i="28"/>
  <c r="M383" i="28" s="1"/>
  <c r="E384" i="28"/>
  <c r="M384" i="28" s="1"/>
  <c r="E385" i="28"/>
  <c r="M385" i="28" s="1"/>
  <c r="E386" i="28"/>
  <c r="M386" i="28" s="1"/>
  <c r="E387" i="28"/>
  <c r="M387" i="28" s="1"/>
  <c r="E388" i="28"/>
  <c r="M388" i="28" s="1"/>
  <c r="E389" i="28"/>
  <c r="M389" i="28" s="1"/>
  <c r="E390" i="28"/>
  <c r="M390" i="28" s="1"/>
  <c r="E391" i="28"/>
  <c r="M391" i="28" s="1"/>
  <c r="E392" i="28"/>
  <c r="M392" i="28" s="1"/>
  <c r="E393" i="28"/>
  <c r="M393" i="28" s="1"/>
  <c r="E394" i="28"/>
  <c r="M394" i="28" s="1"/>
  <c r="E395" i="28"/>
  <c r="M395" i="28" s="1"/>
  <c r="E396" i="28"/>
  <c r="M396" i="28" s="1"/>
  <c r="E397" i="28"/>
  <c r="M397" i="28" s="1"/>
  <c r="E398" i="28"/>
  <c r="M398" i="28" s="1"/>
  <c r="E399" i="28"/>
  <c r="M399" i="28" s="1"/>
  <c r="E400" i="28"/>
  <c r="M400" i="28" s="1"/>
  <c r="E401" i="28"/>
  <c r="M401" i="28" s="1"/>
  <c r="E402" i="28"/>
  <c r="M402" i="28" s="1"/>
  <c r="E403" i="28"/>
  <c r="M403" i="28" s="1"/>
  <c r="E404" i="28"/>
  <c r="M404" i="28" s="1"/>
  <c r="E405" i="28"/>
  <c r="M405" i="28" s="1"/>
  <c r="E406" i="28"/>
  <c r="M406" i="28" s="1"/>
  <c r="E407" i="28"/>
  <c r="M407" i="28" s="1"/>
  <c r="E408" i="28"/>
  <c r="M408" i="28" s="1"/>
  <c r="E409" i="28"/>
  <c r="M409" i="28" s="1"/>
  <c r="E410" i="28"/>
  <c r="M410" i="28" s="1"/>
  <c r="E411" i="28"/>
  <c r="M411" i="28" s="1"/>
  <c r="E412" i="28"/>
  <c r="M412" i="28" s="1"/>
  <c r="E413" i="28"/>
  <c r="M413" i="28" s="1"/>
  <c r="E414" i="28"/>
  <c r="M414" i="28" s="1"/>
  <c r="E415" i="28"/>
  <c r="M415" i="28" s="1"/>
  <c r="E416" i="28"/>
  <c r="M416" i="28" s="1"/>
  <c r="E417" i="28"/>
  <c r="M417" i="28" s="1"/>
  <c r="E418" i="28"/>
  <c r="M418" i="28" s="1"/>
  <c r="E419" i="28"/>
  <c r="M419" i="28" s="1"/>
  <c r="E420" i="28"/>
  <c r="M420" i="28" s="1"/>
  <c r="E421" i="28"/>
  <c r="M421" i="28" s="1"/>
  <c r="E422" i="28"/>
  <c r="M422" i="28" s="1"/>
  <c r="E423" i="28"/>
  <c r="M423" i="28" s="1"/>
  <c r="E424" i="28"/>
  <c r="M424" i="28" s="1"/>
  <c r="E425" i="28"/>
  <c r="M425" i="28" s="1"/>
  <c r="E426" i="28"/>
  <c r="M426" i="28" s="1"/>
  <c r="E427" i="28"/>
  <c r="M427" i="28" s="1"/>
  <c r="E428" i="28"/>
  <c r="M428" i="28" s="1"/>
  <c r="E429" i="28"/>
  <c r="M429" i="28" s="1"/>
  <c r="E430" i="28"/>
  <c r="M430" i="28" s="1"/>
  <c r="E431" i="28"/>
  <c r="M431" i="28" s="1"/>
  <c r="E432" i="28"/>
  <c r="M432" i="28" s="1"/>
  <c r="E433" i="28"/>
  <c r="M433" i="28" s="1"/>
  <c r="E434" i="28"/>
  <c r="M434" i="28" s="1"/>
  <c r="E435" i="28"/>
  <c r="M435" i="28" s="1"/>
  <c r="E436" i="28"/>
  <c r="M436" i="28" s="1"/>
  <c r="E437" i="28"/>
  <c r="M437" i="28" s="1"/>
  <c r="E438" i="28"/>
  <c r="M438" i="28" s="1"/>
  <c r="E439" i="28"/>
  <c r="M439" i="28" s="1"/>
  <c r="E440" i="28"/>
  <c r="M440" i="28" s="1"/>
  <c r="E441" i="28"/>
  <c r="M441" i="28" s="1"/>
  <c r="E442" i="28"/>
  <c r="M442" i="28" s="1"/>
  <c r="E443" i="28"/>
  <c r="M443" i="28" s="1"/>
  <c r="E444" i="28"/>
  <c r="M444" i="28" s="1"/>
  <c r="E445" i="28"/>
  <c r="M445" i="28" s="1"/>
  <c r="E446" i="28"/>
  <c r="M446" i="28" s="1"/>
  <c r="E447" i="28"/>
  <c r="M447" i="28" s="1"/>
  <c r="E448" i="28"/>
  <c r="M448" i="28" s="1"/>
  <c r="L2" i="28"/>
  <c r="B3" i="55" l="1"/>
  <c r="B35" i="55"/>
  <c r="B34" i="55"/>
  <c r="B33" i="55"/>
  <c r="B32" i="55"/>
  <c r="B31" i="55"/>
  <c r="B30" i="55"/>
  <c r="B29" i="55"/>
  <c r="B28" i="55"/>
  <c r="B27" i="55"/>
  <c r="B26" i="55"/>
  <c r="B25" i="55"/>
  <c r="B24" i="55"/>
  <c r="B23" i="55"/>
  <c r="B22" i="55"/>
  <c r="B21" i="55"/>
  <c r="B20" i="55"/>
  <c r="B19" i="55"/>
  <c r="B18" i="55"/>
  <c r="B17" i="55"/>
  <c r="B16" i="55"/>
  <c r="B15" i="55"/>
  <c r="B14" i="55"/>
  <c r="B13" i="55"/>
  <c r="B12" i="55"/>
  <c r="B11" i="55"/>
  <c r="B10" i="55"/>
  <c r="B9" i="55"/>
  <c r="B8" i="55"/>
  <c r="B7" i="55"/>
  <c r="B6" i="55"/>
  <c r="B5" i="55"/>
  <c r="B4" i="55"/>
  <c r="J11" i="45"/>
  <c r="J10" i="45"/>
  <c r="J9" i="45"/>
  <c r="J8" i="45"/>
  <c r="J7" i="45"/>
  <c r="J5" i="45"/>
  <c r="K5" i="45" s="1"/>
  <c r="C23" i="45"/>
  <c r="C24" i="45"/>
  <c r="C17" i="45"/>
  <c r="J6" i="45"/>
  <c r="L448" i="28" l="1"/>
  <c r="K448" i="28"/>
  <c r="J448" i="28"/>
  <c r="D448" i="28"/>
  <c r="B448" i="28"/>
  <c r="A448" i="28"/>
  <c r="G448" i="28" s="1"/>
  <c r="L447" i="28"/>
  <c r="K447" i="28"/>
  <c r="J447" i="28"/>
  <c r="D447" i="28"/>
  <c r="B447" i="28"/>
  <c r="A447" i="28"/>
  <c r="H447" i="28" s="1"/>
  <c r="L446" i="28"/>
  <c r="K446" i="28"/>
  <c r="J446" i="28"/>
  <c r="D446" i="28"/>
  <c r="B446" i="28"/>
  <c r="A446" i="28"/>
  <c r="L445" i="28"/>
  <c r="K445" i="28"/>
  <c r="J445" i="28"/>
  <c r="D445" i="28"/>
  <c r="B445" i="28"/>
  <c r="A445" i="28"/>
  <c r="H445" i="28" s="1"/>
  <c r="L444" i="28"/>
  <c r="K444" i="28"/>
  <c r="J444" i="28"/>
  <c r="D444" i="28"/>
  <c r="B444" i="28"/>
  <c r="A444" i="28"/>
  <c r="G444" i="28" s="1"/>
  <c r="L443" i="28"/>
  <c r="K443" i="28"/>
  <c r="J443" i="28"/>
  <c r="D443" i="28"/>
  <c r="B443" i="28"/>
  <c r="A443" i="28"/>
  <c r="H443" i="28" s="1"/>
  <c r="L442" i="28"/>
  <c r="K442" i="28"/>
  <c r="J442" i="28"/>
  <c r="D442" i="28"/>
  <c r="B442" i="28"/>
  <c r="A442" i="28"/>
  <c r="G442" i="28" s="1"/>
  <c r="L441" i="28"/>
  <c r="K441" i="28"/>
  <c r="J441" i="28"/>
  <c r="D441" i="28"/>
  <c r="B441" i="28"/>
  <c r="A441" i="28"/>
  <c r="H441" i="28" s="1"/>
  <c r="L440" i="28"/>
  <c r="K440" i="28"/>
  <c r="J440" i="28"/>
  <c r="D440" i="28"/>
  <c r="B440" i="28"/>
  <c r="A440" i="28"/>
  <c r="G440" i="28" s="1"/>
  <c r="L439" i="28"/>
  <c r="K439" i="28"/>
  <c r="J439" i="28"/>
  <c r="D439" i="28"/>
  <c r="B439" i="28"/>
  <c r="A439" i="28"/>
  <c r="H439" i="28" s="1"/>
  <c r="L438" i="28"/>
  <c r="K438" i="28"/>
  <c r="J438" i="28"/>
  <c r="D438" i="28"/>
  <c r="B438" i="28"/>
  <c r="A438" i="28"/>
  <c r="L437" i="28"/>
  <c r="K437" i="28"/>
  <c r="J437" i="28"/>
  <c r="D437" i="28"/>
  <c r="B437" i="28"/>
  <c r="A437" i="28"/>
  <c r="H437" i="28" s="1"/>
  <c r="L436" i="28"/>
  <c r="K436" i="28"/>
  <c r="J436" i="28"/>
  <c r="D436" i="28"/>
  <c r="B436" i="28"/>
  <c r="A436" i="28"/>
  <c r="G436" i="28" s="1"/>
  <c r="L435" i="28"/>
  <c r="K435" i="28"/>
  <c r="J435" i="28"/>
  <c r="D435" i="28"/>
  <c r="B435" i="28"/>
  <c r="A435" i="28"/>
  <c r="H435" i="28" s="1"/>
  <c r="L434" i="28"/>
  <c r="K434" i="28"/>
  <c r="J434" i="28"/>
  <c r="D434" i="28"/>
  <c r="B434" i="28"/>
  <c r="A434" i="28"/>
  <c r="G434" i="28" s="1"/>
  <c r="L433" i="28"/>
  <c r="K433" i="28"/>
  <c r="J433" i="28"/>
  <c r="D433" i="28"/>
  <c r="B433" i="28"/>
  <c r="A433" i="28"/>
  <c r="H433" i="28" s="1"/>
  <c r="L432" i="28"/>
  <c r="K432" i="28"/>
  <c r="J432" i="28"/>
  <c r="D432" i="28"/>
  <c r="B432" i="28"/>
  <c r="A432" i="28"/>
  <c r="G432" i="28" s="1"/>
  <c r="L431" i="28"/>
  <c r="K431" i="28"/>
  <c r="J431" i="28"/>
  <c r="D431" i="28"/>
  <c r="B431" i="28"/>
  <c r="A431" i="28"/>
  <c r="H431" i="28" s="1"/>
  <c r="L430" i="28"/>
  <c r="K430" i="28"/>
  <c r="J430" i="28"/>
  <c r="D430" i="28"/>
  <c r="B430" i="28"/>
  <c r="A430" i="28"/>
  <c r="L429" i="28"/>
  <c r="K429" i="28"/>
  <c r="J429" i="28"/>
  <c r="D429" i="28"/>
  <c r="B429" i="28"/>
  <c r="A429" i="28"/>
  <c r="H429" i="28" s="1"/>
  <c r="L428" i="28"/>
  <c r="K428" i="28"/>
  <c r="J428" i="28"/>
  <c r="D428" i="28"/>
  <c r="B428" i="28"/>
  <c r="A428" i="28"/>
  <c r="G428" i="28" s="1"/>
  <c r="L427" i="28"/>
  <c r="K427" i="28"/>
  <c r="J427" i="28"/>
  <c r="D427" i="28"/>
  <c r="B427" i="28"/>
  <c r="A427" i="28"/>
  <c r="H427" i="28" s="1"/>
  <c r="L426" i="28"/>
  <c r="K426" i="28"/>
  <c r="J426" i="28"/>
  <c r="D426" i="28"/>
  <c r="B426" i="28"/>
  <c r="A426" i="28"/>
  <c r="G426" i="28" s="1"/>
  <c r="L425" i="28"/>
  <c r="K425" i="28"/>
  <c r="J425" i="28"/>
  <c r="D425" i="28"/>
  <c r="B425" i="28"/>
  <c r="A425" i="28"/>
  <c r="H425" i="28" s="1"/>
  <c r="L424" i="28"/>
  <c r="K424" i="28"/>
  <c r="J424" i="28"/>
  <c r="D424" i="28"/>
  <c r="B424" i="28"/>
  <c r="A424" i="28"/>
  <c r="G424" i="28" s="1"/>
  <c r="L423" i="28"/>
  <c r="K423" i="28"/>
  <c r="J423" i="28"/>
  <c r="D423" i="28"/>
  <c r="B423" i="28"/>
  <c r="A423" i="28"/>
  <c r="H423" i="28" s="1"/>
  <c r="L422" i="28"/>
  <c r="K422" i="28"/>
  <c r="J422" i="28"/>
  <c r="D422" i="28"/>
  <c r="B422" i="28"/>
  <c r="A422" i="28"/>
  <c r="L421" i="28"/>
  <c r="K421" i="28"/>
  <c r="J421" i="28"/>
  <c r="D421" i="28"/>
  <c r="B421" i="28"/>
  <c r="A421" i="28"/>
  <c r="H421" i="28" s="1"/>
  <c r="L420" i="28"/>
  <c r="K420" i="28"/>
  <c r="J420" i="28"/>
  <c r="D420" i="28"/>
  <c r="B420" i="28"/>
  <c r="A420" i="28"/>
  <c r="G420" i="28" s="1"/>
  <c r="L419" i="28"/>
  <c r="K419" i="28"/>
  <c r="J419" i="28"/>
  <c r="D419" i="28"/>
  <c r="B419" i="28"/>
  <c r="A419" i="28"/>
  <c r="H419" i="28" s="1"/>
  <c r="L418" i="28"/>
  <c r="K418" i="28"/>
  <c r="J418" i="28"/>
  <c r="D418" i="28"/>
  <c r="B418" i="28"/>
  <c r="A418" i="28"/>
  <c r="G418" i="28" s="1"/>
  <c r="L417" i="28"/>
  <c r="K417" i="28"/>
  <c r="J417" i="28"/>
  <c r="D417" i="28"/>
  <c r="B417" i="28"/>
  <c r="A417" i="28"/>
  <c r="H417" i="28" s="1"/>
  <c r="L416" i="28"/>
  <c r="K416" i="28"/>
  <c r="J416" i="28"/>
  <c r="D416" i="28"/>
  <c r="B416" i="28"/>
  <c r="A416" i="28"/>
  <c r="G416" i="28" s="1"/>
  <c r="L415" i="28"/>
  <c r="K415" i="28"/>
  <c r="J415" i="28"/>
  <c r="D415" i="28"/>
  <c r="B415" i="28"/>
  <c r="A415" i="28"/>
  <c r="H415" i="28" s="1"/>
  <c r="L414" i="28"/>
  <c r="K414" i="28"/>
  <c r="J414" i="28"/>
  <c r="D414" i="28"/>
  <c r="B414" i="28"/>
  <c r="A414" i="28"/>
  <c r="L413" i="28"/>
  <c r="K413" i="28"/>
  <c r="J413" i="28"/>
  <c r="D413" i="28"/>
  <c r="B413" i="28"/>
  <c r="A413" i="28"/>
  <c r="H413" i="28" s="1"/>
  <c r="L412" i="28"/>
  <c r="K412" i="28"/>
  <c r="J412" i="28"/>
  <c r="D412" i="28"/>
  <c r="B412" i="28"/>
  <c r="A412" i="28"/>
  <c r="G412" i="28" s="1"/>
  <c r="L411" i="28"/>
  <c r="K411" i="28"/>
  <c r="J411" i="28"/>
  <c r="D411" i="28"/>
  <c r="B411" i="28"/>
  <c r="A411" i="28"/>
  <c r="H411" i="28" s="1"/>
  <c r="L410" i="28"/>
  <c r="K410" i="28"/>
  <c r="J410" i="28"/>
  <c r="D410" i="28"/>
  <c r="B410" i="28"/>
  <c r="A410" i="28"/>
  <c r="G410" i="28" s="1"/>
  <c r="L409" i="28"/>
  <c r="K409" i="28"/>
  <c r="J409" i="28"/>
  <c r="D409" i="28"/>
  <c r="B409" i="28"/>
  <c r="A409" i="28"/>
  <c r="H409" i="28" s="1"/>
  <c r="L408" i="28"/>
  <c r="K408" i="28"/>
  <c r="J408" i="28"/>
  <c r="D408" i="28"/>
  <c r="B408" i="28"/>
  <c r="A408" i="28"/>
  <c r="G408" i="28" s="1"/>
  <c r="L407" i="28"/>
  <c r="K407" i="28"/>
  <c r="J407" i="28"/>
  <c r="D407" i="28"/>
  <c r="B407" i="28"/>
  <c r="A407" i="28"/>
  <c r="H407" i="28" s="1"/>
  <c r="L406" i="28"/>
  <c r="K406" i="28"/>
  <c r="J406" i="28"/>
  <c r="D406" i="28"/>
  <c r="B406" i="28"/>
  <c r="A406" i="28"/>
  <c r="L405" i="28"/>
  <c r="K405" i="28"/>
  <c r="J405" i="28"/>
  <c r="D405" i="28"/>
  <c r="B405" i="28"/>
  <c r="A405" i="28"/>
  <c r="H405" i="28" s="1"/>
  <c r="L404" i="28"/>
  <c r="K404" i="28"/>
  <c r="J404" i="28"/>
  <c r="D404" i="28"/>
  <c r="B404" i="28"/>
  <c r="A404" i="28"/>
  <c r="H404" i="28" s="1"/>
  <c r="L403" i="28"/>
  <c r="K403" i="28"/>
  <c r="J403" i="28"/>
  <c r="D403" i="28"/>
  <c r="B403" i="28"/>
  <c r="A403" i="28"/>
  <c r="L402" i="28"/>
  <c r="K402" i="28"/>
  <c r="J402" i="28"/>
  <c r="D402" i="28"/>
  <c r="B402" i="28"/>
  <c r="A402" i="28"/>
  <c r="H402" i="28" s="1"/>
  <c r="L401" i="28"/>
  <c r="K401" i="28"/>
  <c r="J401" i="28"/>
  <c r="D401" i="28"/>
  <c r="B401" i="28"/>
  <c r="A401" i="28"/>
  <c r="L400" i="28"/>
  <c r="K400" i="28"/>
  <c r="J400" i="28"/>
  <c r="D400" i="28"/>
  <c r="B400" i="28"/>
  <c r="A400" i="28"/>
  <c r="H400" i="28" s="1"/>
  <c r="L399" i="28"/>
  <c r="K399" i="28"/>
  <c r="J399" i="28"/>
  <c r="D399" i="28"/>
  <c r="B399" i="28"/>
  <c r="A399" i="28"/>
  <c r="L398" i="28"/>
  <c r="K398" i="28"/>
  <c r="J398" i="28"/>
  <c r="D398" i="28"/>
  <c r="B398" i="28"/>
  <c r="A398" i="28"/>
  <c r="H398" i="28" s="1"/>
  <c r="L397" i="28"/>
  <c r="K397" i="28"/>
  <c r="J397" i="28"/>
  <c r="D397" i="28"/>
  <c r="B397" i="28"/>
  <c r="A397" i="28"/>
  <c r="L396" i="28"/>
  <c r="K396" i="28"/>
  <c r="J396" i="28"/>
  <c r="D396" i="28"/>
  <c r="B396" i="28"/>
  <c r="A396" i="28"/>
  <c r="H396" i="28" s="1"/>
  <c r="L395" i="28"/>
  <c r="K395" i="28"/>
  <c r="J395" i="28"/>
  <c r="D395" i="28"/>
  <c r="B395" i="28"/>
  <c r="A395" i="28"/>
  <c r="L394" i="28"/>
  <c r="K394" i="28"/>
  <c r="J394" i="28"/>
  <c r="D394" i="28"/>
  <c r="B394" i="28"/>
  <c r="A394" i="28"/>
  <c r="H394" i="28" s="1"/>
  <c r="L393" i="28"/>
  <c r="K393" i="28"/>
  <c r="J393" i="28"/>
  <c r="D393" i="28"/>
  <c r="B393" i="28"/>
  <c r="A393" i="28"/>
  <c r="L392" i="28"/>
  <c r="K392" i="28"/>
  <c r="J392" i="28"/>
  <c r="D392" i="28"/>
  <c r="B392" i="28"/>
  <c r="A392" i="28"/>
  <c r="H392" i="28" s="1"/>
  <c r="L391" i="28"/>
  <c r="K391" i="28"/>
  <c r="J391" i="28"/>
  <c r="D391" i="28"/>
  <c r="B391" i="28"/>
  <c r="A391" i="28"/>
  <c r="L390" i="28"/>
  <c r="K390" i="28"/>
  <c r="J390" i="28"/>
  <c r="D390" i="28"/>
  <c r="B390" i="28"/>
  <c r="A390" i="28"/>
  <c r="H390" i="28" s="1"/>
  <c r="L389" i="28"/>
  <c r="K389" i="28"/>
  <c r="J389" i="28"/>
  <c r="D389" i="28"/>
  <c r="B389" i="28"/>
  <c r="A389" i="28"/>
  <c r="L388" i="28"/>
  <c r="K388" i="28"/>
  <c r="J388" i="28"/>
  <c r="D388" i="28"/>
  <c r="B388" i="28"/>
  <c r="A388" i="28"/>
  <c r="H388" i="28" s="1"/>
  <c r="L387" i="28"/>
  <c r="K387" i="28"/>
  <c r="J387" i="28"/>
  <c r="D387" i="28"/>
  <c r="B387" i="28"/>
  <c r="A387" i="28"/>
  <c r="L386" i="28"/>
  <c r="K386" i="28"/>
  <c r="J386" i="28"/>
  <c r="D386" i="28"/>
  <c r="B386" i="28"/>
  <c r="A386" i="28"/>
  <c r="H386" i="28" s="1"/>
  <c r="L385" i="28"/>
  <c r="K385" i="28"/>
  <c r="J385" i="28"/>
  <c r="D385" i="28"/>
  <c r="B385" i="28"/>
  <c r="A385" i="28"/>
  <c r="L384" i="28"/>
  <c r="K384" i="28"/>
  <c r="J384" i="28"/>
  <c r="D384" i="28"/>
  <c r="B384" i="28"/>
  <c r="A384" i="28"/>
  <c r="H384" i="28" s="1"/>
  <c r="L383" i="28"/>
  <c r="K383" i="28"/>
  <c r="J383" i="28"/>
  <c r="D383" i="28"/>
  <c r="B383" i="28"/>
  <c r="A383" i="28"/>
  <c r="L382" i="28"/>
  <c r="K382" i="28"/>
  <c r="J382" i="28"/>
  <c r="D382" i="28"/>
  <c r="B382" i="28"/>
  <c r="A382" i="28"/>
  <c r="H382" i="28" s="1"/>
  <c r="L381" i="28"/>
  <c r="K381" i="28"/>
  <c r="J381" i="28"/>
  <c r="D381" i="28"/>
  <c r="B381" i="28"/>
  <c r="A381" i="28"/>
  <c r="L380" i="28"/>
  <c r="K380" i="28"/>
  <c r="J380" i="28"/>
  <c r="D380" i="28"/>
  <c r="B380" i="28"/>
  <c r="A380" i="28"/>
  <c r="H380" i="28" s="1"/>
  <c r="L379" i="28"/>
  <c r="K379" i="28"/>
  <c r="J379" i="28"/>
  <c r="D379" i="28"/>
  <c r="B379" i="28"/>
  <c r="A379" i="28"/>
  <c r="L378" i="28"/>
  <c r="K378" i="28"/>
  <c r="J378" i="28"/>
  <c r="D378" i="28"/>
  <c r="B378" i="28"/>
  <c r="A378" i="28"/>
  <c r="H378" i="28" s="1"/>
  <c r="L377" i="28"/>
  <c r="K377" i="28"/>
  <c r="J377" i="28"/>
  <c r="D377" i="28"/>
  <c r="B377" i="28"/>
  <c r="A377" i="28"/>
  <c r="L376" i="28"/>
  <c r="K376" i="28"/>
  <c r="J376" i="28"/>
  <c r="D376" i="28"/>
  <c r="B376" i="28"/>
  <c r="A376" i="28"/>
  <c r="H376" i="28" s="1"/>
  <c r="L375" i="28"/>
  <c r="K375" i="28"/>
  <c r="J375" i="28"/>
  <c r="D375" i="28"/>
  <c r="B375" i="28"/>
  <c r="A375" i="28"/>
  <c r="L374" i="28"/>
  <c r="K374" i="28"/>
  <c r="J374" i="28"/>
  <c r="D374" i="28"/>
  <c r="B374" i="28"/>
  <c r="A374" i="28"/>
  <c r="H374" i="28" s="1"/>
  <c r="L373" i="28"/>
  <c r="K373" i="28"/>
  <c r="J373" i="28"/>
  <c r="D373" i="28"/>
  <c r="B373" i="28"/>
  <c r="A373" i="28"/>
  <c r="L372" i="28"/>
  <c r="K372" i="28"/>
  <c r="J372" i="28"/>
  <c r="D372" i="28"/>
  <c r="B372" i="28"/>
  <c r="A372" i="28"/>
  <c r="H372" i="28" s="1"/>
  <c r="L371" i="28"/>
  <c r="K371" i="28"/>
  <c r="J371" i="28"/>
  <c r="D371" i="28"/>
  <c r="B371" i="28"/>
  <c r="A371" i="28"/>
  <c r="L370" i="28"/>
  <c r="K370" i="28"/>
  <c r="J370" i="28"/>
  <c r="D370" i="28"/>
  <c r="B370" i="28"/>
  <c r="A370" i="28"/>
  <c r="H370" i="28" s="1"/>
  <c r="L369" i="28"/>
  <c r="K369" i="28"/>
  <c r="J369" i="28"/>
  <c r="D369" i="28"/>
  <c r="B369" i="28"/>
  <c r="A369" i="28"/>
  <c r="L368" i="28"/>
  <c r="K368" i="28"/>
  <c r="J368" i="28"/>
  <c r="D368" i="28"/>
  <c r="B368" i="28"/>
  <c r="A368" i="28"/>
  <c r="H368" i="28" s="1"/>
  <c r="L367" i="28"/>
  <c r="K367" i="28"/>
  <c r="J367" i="28"/>
  <c r="D367" i="28"/>
  <c r="B367" i="28"/>
  <c r="A367" i="28"/>
  <c r="L366" i="28"/>
  <c r="K366" i="28"/>
  <c r="J366" i="28"/>
  <c r="D366" i="28"/>
  <c r="B366" i="28"/>
  <c r="A366" i="28"/>
  <c r="H366" i="28" s="1"/>
  <c r="L365" i="28"/>
  <c r="K365" i="28"/>
  <c r="J365" i="28"/>
  <c r="D365" i="28"/>
  <c r="B365" i="28"/>
  <c r="A365" i="28"/>
  <c r="L364" i="28"/>
  <c r="K364" i="28"/>
  <c r="J364" i="28"/>
  <c r="D364" i="28"/>
  <c r="B364" i="28"/>
  <c r="A364" i="28"/>
  <c r="H364" i="28" s="1"/>
  <c r="L363" i="28"/>
  <c r="K363" i="28"/>
  <c r="J363" i="28"/>
  <c r="D363" i="28"/>
  <c r="B363" i="28"/>
  <c r="A363" i="28"/>
  <c r="L362" i="28"/>
  <c r="K362" i="28"/>
  <c r="J362" i="28"/>
  <c r="D362" i="28"/>
  <c r="B362" i="28"/>
  <c r="A362" i="28"/>
  <c r="H362" i="28" s="1"/>
  <c r="L361" i="28"/>
  <c r="K361" i="28"/>
  <c r="J361" i="28"/>
  <c r="D361" i="28"/>
  <c r="B361" i="28"/>
  <c r="A361" i="28"/>
  <c r="L360" i="28"/>
  <c r="K360" i="28"/>
  <c r="J360" i="28"/>
  <c r="D360" i="28"/>
  <c r="B360" i="28"/>
  <c r="A360" i="28"/>
  <c r="H360" i="28" s="1"/>
  <c r="L359" i="28"/>
  <c r="K359" i="28"/>
  <c r="J359" i="28"/>
  <c r="D359" i="28"/>
  <c r="B359" i="28"/>
  <c r="A359" i="28"/>
  <c r="L358" i="28"/>
  <c r="K358" i="28"/>
  <c r="J358" i="28"/>
  <c r="D358" i="28"/>
  <c r="B358" i="28"/>
  <c r="A358" i="28"/>
  <c r="H358" i="28" s="1"/>
  <c r="L357" i="28"/>
  <c r="K357" i="28"/>
  <c r="J357" i="28"/>
  <c r="D357" i="28"/>
  <c r="B357" i="28"/>
  <c r="A357" i="28"/>
  <c r="L356" i="28"/>
  <c r="K356" i="28"/>
  <c r="J356" i="28"/>
  <c r="D356" i="28"/>
  <c r="B356" i="28"/>
  <c r="A356" i="28"/>
  <c r="H356" i="28" s="1"/>
  <c r="L355" i="28"/>
  <c r="K355" i="28"/>
  <c r="J355" i="28"/>
  <c r="D355" i="28"/>
  <c r="B355" i="28"/>
  <c r="A355" i="28"/>
  <c r="L354" i="28"/>
  <c r="K354" i="28"/>
  <c r="J354" i="28"/>
  <c r="D354" i="28"/>
  <c r="B354" i="28"/>
  <c r="A354" i="28"/>
  <c r="H354" i="28" s="1"/>
  <c r="L353" i="28"/>
  <c r="K353" i="28"/>
  <c r="J353" i="28"/>
  <c r="D353" i="28"/>
  <c r="B353" i="28"/>
  <c r="A353" i="28"/>
  <c r="L352" i="28"/>
  <c r="K352" i="28"/>
  <c r="J352" i="28"/>
  <c r="D352" i="28"/>
  <c r="B352" i="28"/>
  <c r="A352" i="28"/>
  <c r="H352" i="28" s="1"/>
  <c r="L351" i="28"/>
  <c r="K351" i="28"/>
  <c r="J351" i="28"/>
  <c r="D351" i="28"/>
  <c r="B351" i="28"/>
  <c r="A351" i="28"/>
  <c r="L350" i="28"/>
  <c r="K350" i="28"/>
  <c r="J350" i="28"/>
  <c r="D350" i="28"/>
  <c r="B350" i="28"/>
  <c r="A350" i="28"/>
  <c r="H350" i="28" s="1"/>
  <c r="L349" i="28"/>
  <c r="K349" i="28"/>
  <c r="J349" i="28"/>
  <c r="D349" i="28"/>
  <c r="B349" i="28"/>
  <c r="A349" i="28"/>
  <c r="L348" i="28"/>
  <c r="K348" i="28"/>
  <c r="J348" i="28"/>
  <c r="D348" i="28"/>
  <c r="B348" i="28"/>
  <c r="A348" i="28"/>
  <c r="H348" i="28" s="1"/>
  <c r="L347" i="28"/>
  <c r="K347" i="28"/>
  <c r="J347" i="28"/>
  <c r="D347" i="28"/>
  <c r="B347" i="28"/>
  <c r="A347" i="28"/>
  <c r="L346" i="28"/>
  <c r="K346" i="28"/>
  <c r="J346" i="28"/>
  <c r="D346" i="28"/>
  <c r="B346" i="28"/>
  <c r="A346" i="28"/>
  <c r="H346" i="28" s="1"/>
  <c r="L345" i="28"/>
  <c r="K345" i="28"/>
  <c r="J345" i="28"/>
  <c r="D345" i="28"/>
  <c r="B345" i="28"/>
  <c r="A345" i="28"/>
  <c r="L344" i="28"/>
  <c r="K344" i="28"/>
  <c r="J344" i="28"/>
  <c r="D344" i="28"/>
  <c r="B344" i="28"/>
  <c r="A344" i="28"/>
  <c r="H344" i="28" s="1"/>
  <c r="L343" i="28"/>
  <c r="K343" i="28"/>
  <c r="J343" i="28"/>
  <c r="D343" i="28"/>
  <c r="B343" i="28"/>
  <c r="A343" i="28"/>
  <c r="L342" i="28"/>
  <c r="K342" i="28"/>
  <c r="J342" i="28"/>
  <c r="D342" i="28"/>
  <c r="B342" i="28"/>
  <c r="A342" i="28"/>
  <c r="H342" i="28" s="1"/>
  <c r="L341" i="28"/>
  <c r="K341" i="28"/>
  <c r="J341" i="28"/>
  <c r="D341" i="28"/>
  <c r="B341" i="28"/>
  <c r="A341" i="28"/>
  <c r="L340" i="28"/>
  <c r="K340" i="28"/>
  <c r="J340" i="28"/>
  <c r="D340" i="28"/>
  <c r="B340" i="28"/>
  <c r="A340" i="28"/>
  <c r="H340" i="28" s="1"/>
  <c r="L339" i="28"/>
  <c r="K339" i="28"/>
  <c r="J339" i="28"/>
  <c r="D339" i="28"/>
  <c r="B339" i="28"/>
  <c r="A339" i="28"/>
  <c r="L338" i="28"/>
  <c r="K338" i="28"/>
  <c r="J338" i="28"/>
  <c r="D338" i="28"/>
  <c r="B338" i="28"/>
  <c r="A338" i="28"/>
  <c r="H338" i="28" s="1"/>
  <c r="L10" i="45"/>
  <c r="L9" i="45"/>
  <c r="L8" i="45"/>
  <c r="L337" i="28"/>
  <c r="K337" i="28"/>
  <c r="J337" i="28"/>
  <c r="D337" i="28"/>
  <c r="B337" i="28"/>
  <c r="A337" i="28"/>
  <c r="L336" i="28"/>
  <c r="K336" i="28"/>
  <c r="J336" i="28"/>
  <c r="D336" i="28"/>
  <c r="B336" i="28"/>
  <c r="A336" i="28"/>
  <c r="H336" i="28" s="1"/>
  <c r="L335" i="28"/>
  <c r="K335" i="28"/>
  <c r="J335" i="28"/>
  <c r="D335" i="28"/>
  <c r="B335" i="28"/>
  <c r="A335" i="28"/>
  <c r="G335" i="28" s="1"/>
  <c r="L334" i="28"/>
  <c r="K334" i="28"/>
  <c r="J334" i="28"/>
  <c r="D334" i="28"/>
  <c r="B334" i="28"/>
  <c r="A334" i="28"/>
  <c r="H334" i="28" s="1"/>
  <c r="L333" i="28"/>
  <c r="K333" i="28"/>
  <c r="J333" i="28"/>
  <c r="D333" i="28"/>
  <c r="B333" i="28"/>
  <c r="A333" i="28"/>
  <c r="G333" i="28" s="1"/>
  <c r="L332" i="28"/>
  <c r="K332" i="28"/>
  <c r="J332" i="28"/>
  <c r="D332" i="28"/>
  <c r="B332" i="28"/>
  <c r="A332" i="28"/>
  <c r="H332" i="28" s="1"/>
  <c r="L331" i="28"/>
  <c r="K331" i="28"/>
  <c r="J331" i="28"/>
  <c r="D331" i="28"/>
  <c r="B331" i="28"/>
  <c r="A331" i="28"/>
  <c r="G331" i="28" s="1"/>
  <c r="L330" i="28"/>
  <c r="K330" i="28"/>
  <c r="J330" i="28"/>
  <c r="D330" i="28"/>
  <c r="B330" i="28"/>
  <c r="A330" i="28"/>
  <c r="H330" i="28" s="1"/>
  <c r="L329" i="28"/>
  <c r="K329" i="28"/>
  <c r="J329" i="28"/>
  <c r="D329" i="28"/>
  <c r="B329" i="28"/>
  <c r="A329" i="28"/>
  <c r="G329" i="28" s="1"/>
  <c r="L328" i="28"/>
  <c r="K328" i="28"/>
  <c r="J328" i="28"/>
  <c r="D328" i="28"/>
  <c r="B328" i="28"/>
  <c r="A328" i="28"/>
  <c r="H328" i="28" s="1"/>
  <c r="L327" i="28"/>
  <c r="K327" i="28"/>
  <c r="J327" i="28"/>
  <c r="D327" i="28"/>
  <c r="B327" i="28"/>
  <c r="A327" i="28"/>
  <c r="G327" i="28" s="1"/>
  <c r="L326" i="28"/>
  <c r="K326" i="28"/>
  <c r="J326" i="28"/>
  <c r="D326" i="28"/>
  <c r="B326" i="28"/>
  <c r="A326" i="28"/>
  <c r="H326" i="28" s="1"/>
  <c r="L325" i="28"/>
  <c r="K325" i="28"/>
  <c r="J325" i="28"/>
  <c r="D325" i="28"/>
  <c r="B325" i="28"/>
  <c r="A325" i="28"/>
  <c r="G325" i="28" s="1"/>
  <c r="L324" i="28"/>
  <c r="K324" i="28"/>
  <c r="J324" i="28"/>
  <c r="D324" i="28"/>
  <c r="B324" i="28"/>
  <c r="A324" i="28"/>
  <c r="H324" i="28" s="1"/>
  <c r="L323" i="28"/>
  <c r="K323" i="28"/>
  <c r="J323" i="28"/>
  <c r="D323" i="28"/>
  <c r="B323" i="28"/>
  <c r="A323" i="28"/>
  <c r="G323" i="28" s="1"/>
  <c r="L322" i="28"/>
  <c r="K322" i="28"/>
  <c r="J322" i="28"/>
  <c r="D322" i="28"/>
  <c r="B322" i="28"/>
  <c r="A322" i="28"/>
  <c r="H322" i="28" s="1"/>
  <c r="L321" i="28"/>
  <c r="K321" i="28"/>
  <c r="J321" i="28"/>
  <c r="D321" i="28"/>
  <c r="B321" i="28"/>
  <c r="A321" i="28"/>
  <c r="G321" i="28" s="1"/>
  <c r="L320" i="28"/>
  <c r="K320" i="28"/>
  <c r="J320" i="28"/>
  <c r="D320" i="28"/>
  <c r="B320" i="28"/>
  <c r="A320" i="28"/>
  <c r="H320" i="28" s="1"/>
  <c r="L319" i="28"/>
  <c r="K319" i="28"/>
  <c r="J319" i="28"/>
  <c r="D319" i="28"/>
  <c r="B319" i="28"/>
  <c r="A319" i="28"/>
  <c r="G319" i="28" s="1"/>
  <c r="L318" i="28"/>
  <c r="K318" i="28"/>
  <c r="J318" i="28"/>
  <c r="D318" i="28"/>
  <c r="B318" i="28"/>
  <c r="A318" i="28"/>
  <c r="H318" i="28" s="1"/>
  <c r="L317" i="28"/>
  <c r="K317" i="28"/>
  <c r="J317" i="28"/>
  <c r="D317" i="28"/>
  <c r="B317" i="28"/>
  <c r="A317" i="28"/>
  <c r="G317" i="28" s="1"/>
  <c r="L316" i="28"/>
  <c r="K316" i="28"/>
  <c r="J316" i="28"/>
  <c r="D316" i="28"/>
  <c r="B316" i="28"/>
  <c r="A316" i="28"/>
  <c r="H316" i="28" s="1"/>
  <c r="L315" i="28"/>
  <c r="K315" i="28"/>
  <c r="J315" i="28"/>
  <c r="D315" i="28"/>
  <c r="B315" i="28"/>
  <c r="A315" i="28"/>
  <c r="G315" i="28" s="1"/>
  <c r="L314" i="28"/>
  <c r="K314" i="28"/>
  <c r="J314" i="28"/>
  <c r="D314" i="28"/>
  <c r="B314" i="28"/>
  <c r="A314" i="28"/>
  <c r="H314" i="28" s="1"/>
  <c r="L313" i="28"/>
  <c r="K313" i="28"/>
  <c r="J313" i="28"/>
  <c r="D313" i="28"/>
  <c r="B313" i="28"/>
  <c r="A313" i="28"/>
  <c r="G313" i="28" s="1"/>
  <c r="L312" i="28"/>
  <c r="K312" i="28"/>
  <c r="J312" i="28"/>
  <c r="D312" i="28"/>
  <c r="B312" i="28"/>
  <c r="A312" i="28"/>
  <c r="H312" i="28" s="1"/>
  <c r="L311" i="28"/>
  <c r="K311" i="28"/>
  <c r="J311" i="28"/>
  <c r="D311" i="28"/>
  <c r="B311" i="28"/>
  <c r="A311" i="28"/>
  <c r="G311" i="28" s="1"/>
  <c r="L310" i="28"/>
  <c r="K310" i="28"/>
  <c r="J310" i="28"/>
  <c r="D310" i="28"/>
  <c r="B310" i="28"/>
  <c r="A310" i="28"/>
  <c r="H310" i="28" s="1"/>
  <c r="L309" i="28"/>
  <c r="K309" i="28"/>
  <c r="J309" i="28"/>
  <c r="D309" i="28"/>
  <c r="B309" i="28"/>
  <c r="A309" i="28"/>
  <c r="G309" i="28" s="1"/>
  <c r="L308" i="28"/>
  <c r="K308" i="28"/>
  <c r="J308" i="28"/>
  <c r="D308" i="28"/>
  <c r="B308" i="28"/>
  <c r="A308" i="28"/>
  <c r="H308" i="28" s="1"/>
  <c r="L307" i="28"/>
  <c r="K307" i="28"/>
  <c r="J307" i="28"/>
  <c r="D307" i="28"/>
  <c r="B307" i="28"/>
  <c r="A307" i="28"/>
  <c r="G307" i="28" s="1"/>
  <c r="L306" i="28"/>
  <c r="K306" i="28"/>
  <c r="J306" i="28"/>
  <c r="D306" i="28"/>
  <c r="B306" i="28"/>
  <c r="A306" i="28"/>
  <c r="H306" i="28" s="1"/>
  <c r="L305" i="28"/>
  <c r="K305" i="28"/>
  <c r="J305" i="28"/>
  <c r="D305" i="28"/>
  <c r="B305" i="28"/>
  <c r="A305" i="28"/>
  <c r="G305" i="28" s="1"/>
  <c r="L304" i="28"/>
  <c r="K304" i="28"/>
  <c r="J304" i="28"/>
  <c r="D304" i="28"/>
  <c r="B304" i="28"/>
  <c r="A304" i="28"/>
  <c r="H304" i="28" s="1"/>
  <c r="L303" i="28"/>
  <c r="K303" i="28"/>
  <c r="J303" i="28"/>
  <c r="D303" i="28"/>
  <c r="B303" i="28"/>
  <c r="A303" i="28"/>
  <c r="G303" i="28" s="1"/>
  <c r="L302" i="28"/>
  <c r="K302" i="28"/>
  <c r="J302" i="28"/>
  <c r="D302" i="28"/>
  <c r="B302" i="28"/>
  <c r="A302" i="28"/>
  <c r="H302" i="28" s="1"/>
  <c r="L301" i="28"/>
  <c r="K301" i="28"/>
  <c r="J301" i="28"/>
  <c r="D301" i="28"/>
  <c r="B301" i="28"/>
  <c r="A301" i="28"/>
  <c r="G301" i="28" s="1"/>
  <c r="L300" i="28"/>
  <c r="K300" i="28"/>
  <c r="J300" i="28"/>
  <c r="D300" i="28"/>
  <c r="B300" i="28"/>
  <c r="A300" i="28"/>
  <c r="H300" i="28" s="1"/>
  <c r="L299" i="28"/>
  <c r="K299" i="28"/>
  <c r="J299" i="28"/>
  <c r="D299" i="28"/>
  <c r="B299" i="28"/>
  <c r="A299" i="28"/>
  <c r="G299" i="28" s="1"/>
  <c r="L298" i="28"/>
  <c r="K298" i="28"/>
  <c r="J298" i="28"/>
  <c r="D298" i="28"/>
  <c r="B298" i="28"/>
  <c r="A298" i="28"/>
  <c r="H298" i="28" s="1"/>
  <c r="L297" i="28"/>
  <c r="K297" i="28"/>
  <c r="J297" i="28"/>
  <c r="D297" i="28"/>
  <c r="B297" i="28"/>
  <c r="A297" i="28"/>
  <c r="G297" i="28" s="1"/>
  <c r="L296" i="28"/>
  <c r="K296" i="28"/>
  <c r="J296" i="28"/>
  <c r="D296" i="28"/>
  <c r="B296" i="28"/>
  <c r="A296" i="28"/>
  <c r="H296" i="28" s="1"/>
  <c r="L295" i="28"/>
  <c r="K295" i="28"/>
  <c r="J295" i="28"/>
  <c r="D295" i="28"/>
  <c r="B295" i="28"/>
  <c r="A295" i="28"/>
  <c r="G295" i="28" s="1"/>
  <c r="L294" i="28"/>
  <c r="K294" i="28"/>
  <c r="J294" i="28"/>
  <c r="D294" i="28"/>
  <c r="B294" i="28"/>
  <c r="A294" i="28"/>
  <c r="H294" i="28" s="1"/>
  <c r="L293" i="28"/>
  <c r="K293" i="28"/>
  <c r="J293" i="28"/>
  <c r="D293" i="28"/>
  <c r="B293" i="28"/>
  <c r="A293" i="28"/>
  <c r="G293" i="28" s="1"/>
  <c r="L292" i="28"/>
  <c r="K292" i="28"/>
  <c r="J292" i="28"/>
  <c r="D292" i="28"/>
  <c r="B292" i="28"/>
  <c r="A292" i="28"/>
  <c r="H292" i="28" s="1"/>
  <c r="L291" i="28"/>
  <c r="K291" i="28"/>
  <c r="J291" i="28"/>
  <c r="D291" i="28"/>
  <c r="B291" i="28"/>
  <c r="A291" i="28"/>
  <c r="G291" i="28" s="1"/>
  <c r="L290" i="28"/>
  <c r="K290" i="28"/>
  <c r="J290" i="28"/>
  <c r="D290" i="28"/>
  <c r="B290" i="28"/>
  <c r="A290" i="28"/>
  <c r="H290" i="28" s="1"/>
  <c r="L289" i="28"/>
  <c r="K289" i="28"/>
  <c r="J289" i="28"/>
  <c r="D289" i="28"/>
  <c r="B289" i="28"/>
  <c r="A289" i="28"/>
  <c r="G289" i="28" s="1"/>
  <c r="L288" i="28"/>
  <c r="K288" i="28"/>
  <c r="J288" i="28"/>
  <c r="D288" i="28"/>
  <c r="B288" i="28"/>
  <c r="A288" i="28"/>
  <c r="H288" i="28" s="1"/>
  <c r="L287" i="28"/>
  <c r="K287" i="28"/>
  <c r="J287" i="28"/>
  <c r="D287" i="28"/>
  <c r="B287" i="28"/>
  <c r="A287" i="28"/>
  <c r="G287" i="28" s="1"/>
  <c r="L286" i="28"/>
  <c r="K286" i="28"/>
  <c r="J286" i="28"/>
  <c r="D286" i="28"/>
  <c r="B286" i="28"/>
  <c r="A286" i="28"/>
  <c r="H286" i="28" s="1"/>
  <c r="L285" i="28"/>
  <c r="K285" i="28"/>
  <c r="J285" i="28"/>
  <c r="D285" i="28"/>
  <c r="B285" i="28"/>
  <c r="A285" i="28"/>
  <c r="G285" i="28" s="1"/>
  <c r="L284" i="28"/>
  <c r="K284" i="28"/>
  <c r="J284" i="28"/>
  <c r="D284" i="28"/>
  <c r="B284" i="28"/>
  <c r="A284" i="28"/>
  <c r="H284" i="28" s="1"/>
  <c r="L283" i="28"/>
  <c r="K283" i="28"/>
  <c r="J283" i="28"/>
  <c r="D283" i="28"/>
  <c r="B283" i="28"/>
  <c r="A283" i="28"/>
  <c r="G283" i="28" s="1"/>
  <c r="L282" i="28"/>
  <c r="K282" i="28"/>
  <c r="J282" i="28"/>
  <c r="D282" i="28"/>
  <c r="B282" i="28"/>
  <c r="A282" i="28"/>
  <c r="H282" i="28" s="1"/>
  <c r="L281" i="28"/>
  <c r="K281" i="28"/>
  <c r="J281" i="28"/>
  <c r="D281" i="28"/>
  <c r="B281" i="28"/>
  <c r="A281" i="28"/>
  <c r="L280" i="28"/>
  <c r="K280" i="28"/>
  <c r="J280" i="28"/>
  <c r="D280" i="28"/>
  <c r="B280" i="28"/>
  <c r="A280" i="28"/>
  <c r="H280" i="28" s="1"/>
  <c r="L279" i="28"/>
  <c r="K279" i="28"/>
  <c r="J279" i="28"/>
  <c r="D279" i="28"/>
  <c r="B279" i="28"/>
  <c r="A279" i="28"/>
  <c r="L278" i="28"/>
  <c r="K278" i="28"/>
  <c r="J278" i="28"/>
  <c r="D278" i="28"/>
  <c r="B278" i="28"/>
  <c r="A278" i="28"/>
  <c r="H278" i="28" s="1"/>
  <c r="L277" i="28"/>
  <c r="K277" i="28"/>
  <c r="J277" i="28"/>
  <c r="D277" i="28"/>
  <c r="B277" i="28"/>
  <c r="A277" i="28"/>
  <c r="L276" i="28"/>
  <c r="K276" i="28"/>
  <c r="J276" i="28"/>
  <c r="D276" i="28"/>
  <c r="B276" i="28"/>
  <c r="A276" i="28"/>
  <c r="H276" i="28" s="1"/>
  <c r="L275" i="28"/>
  <c r="K275" i="28"/>
  <c r="J275" i="28"/>
  <c r="D275" i="28"/>
  <c r="B275" i="28"/>
  <c r="A275" i="28"/>
  <c r="L274" i="28"/>
  <c r="K274" i="28"/>
  <c r="J274" i="28"/>
  <c r="D274" i="28"/>
  <c r="B274" i="28"/>
  <c r="A274" i="28"/>
  <c r="H274" i="28" s="1"/>
  <c r="L273" i="28"/>
  <c r="K273" i="28"/>
  <c r="J273" i="28"/>
  <c r="D273" i="28"/>
  <c r="B273" i="28"/>
  <c r="A273" i="28"/>
  <c r="L272" i="28"/>
  <c r="K272" i="28"/>
  <c r="J272" i="28"/>
  <c r="D272" i="28"/>
  <c r="B272" i="28"/>
  <c r="A272" i="28"/>
  <c r="H272" i="28" s="1"/>
  <c r="L271" i="28"/>
  <c r="K271" i="28"/>
  <c r="J271" i="28"/>
  <c r="D271" i="28"/>
  <c r="B271" i="28"/>
  <c r="A271" i="28"/>
  <c r="L270" i="28"/>
  <c r="K270" i="28"/>
  <c r="J270" i="28"/>
  <c r="D270" i="28"/>
  <c r="B270" i="28"/>
  <c r="A270" i="28"/>
  <c r="H270" i="28" s="1"/>
  <c r="L269" i="28"/>
  <c r="K269" i="28"/>
  <c r="J269" i="28"/>
  <c r="D269" i="28"/>
  <c r="B269" i="28"/>
  <c r="A269" i="28"/>
  <c r="L268" i="28"/>
  <c r="K268" i="28"/>
  <c r="J268" i="28"/>
  <c r="D268" i="28"/>
  <c r="B268" i="28"/>
  <c r="A268" i="28"/>
  <c r="H268" i="28" s="1"/>
  <c r="L267" i="28"/>
  <c r="K267" i="28"/>
  <c r="J267" i="28"/>
  <c r="D267" i="28"/>
  <c r="B267" i="28"/>
  <c r="A267" i="28"/>
  <c r="L266" i="28"/>
  <c r="K266" i="28"/>
  <c r="J266" i="28"/>
  <c r="D266" i="28"/>
  <c r="B266" i="28"/>
  <c r="A266" i="28"/>
  <c r="H266" i="28" s="1"/>
  <c r="L265" i="28"/>
  <c r="K265" i="28"/>
  <c r="J265" i="28"/>
  <c r="D265" i="28"/>
  <c r="B265" i="28"/>
  <c r="A265" i="28"/>
  <c r="L264" i="28"/>
  <c r="K264" i="28"/>
  <c r="J264" i="28"/>
  <c r="D264" i="28"/>
  <c r="B264" i="28"/>
  <c r="A264" i="28"/>
  <c r="H264" i="28" s="1"/>
  <c r="L263" i="28"/>
  <c r="K263" i="28"/>
  <c r="J263" i="28"/>
  <c r="D263" i="28"/>
  <c r="B263" i="28"/>
  <c r="A263" i="28"/>
  <c r="L262" i="28"/>
  <c r="K262" i="28"/>
  <c r="J262" i="28"/>
  <c r="D262" i="28"/>
  <c r="B262" i="28"/>
  <c r="A262" i="28"/>
  <c r="H262" i="28" s="1"/>
  <c r="L261" i="28"/>
  <c r="K261" i="28"/>
  <c r="J261" i="28"/>
  <c r="D261" i="28"/>
  <c r="B261" i="28"/>
  <c r="A261" i="28"/>
  <c r="L260" i="28"/>
  <c r="K260" i="28"/>
  <c r="J260" i="28"/>
  <c r="D260" i="28"/>
  <c r="B260" i="28"/>
  <c r="A260" i="28"/>
  <c r="H260" i="28" s="1"/>
  <c r="L259" i="28"/>
  <c r="K259" i="28"/>
  <c r="J259" i="28"/>
  <c r="D259" i="28"/>
  <c r="B259" i="28"/>
  <c r="A259" i="28"/>
  <c r="L258" i="28"/>
  <c r="K258" i="28"/>
  <c r="J258" i="28"/>
  <c r="D258" i="28"/>
  <c r="B258" i="28"/>
  <c r="A258" i="28"/>
  <c r="H258" i="28" s="1"/>
  <c r="L257" i="28"/>
  <c r="K257" i="28"/>
  <c r="J257" i="28"/>
  <c r="D257" i="28"/>
  <c r="B257" i="28"/>
  <c r="A257" i="28"/>
  <c r="L256" i="28"/>
  <c r="K256" i="28"/>
  <c r="J256" i="28"/>
  <c r="D256" i="28"/>
  <c r="B256" i="28"/>
  <c r="A256" i="28"/>
  <c r="H256" i="28" s="1"/>
  <c r="L255" i="28"/>
  <c r="K255" i="28"/>
  <c r="J255" i="28"/>
  <c r="D255" i="28"/>
  <c r="B255" i="28"/>
  <c r="A255" i="28"/>
  <c r="L254" i="28"/>
  <c r="K254" i="28"/>
  <c r="J254" i="28"/>
  <c r="D254" i="28"/>
  <c r="B254" i="28"/>
  <c r="A254" i="28"/>
  <c r="H254" i="28" s="1"/>
  <c r="L253" i="28"/>
  <c r="K253" i="28"/>
  <c r="J253" i="28"/>
  <c r="D253" i="28"/>
  <c r="B253" i="28"/>
  <c r="A253" i="28"/>
  <c r="L252" i="28"/>
  <c r="K252" i="28"/>
  <c r="J252" i="28"/>
  <c r="D252" i="28"/>
  <c r="B252" i="28"/>
  <c r="A252" i="28"/>
  <c r="H252" i="28" s="1"/>
  <c r="L251" i="28"/>
  <c r="K251" i="28"/>
  <c r="J251" i="28"/>
  <c r="D251" i="28"/>
  <c r="B251" i="28"/>
  <c r="A251" i="28"/>
  <c r="L250" i="28"/>
  <c r="K250" i="28"/>
  <c r="J250" i="28"/>
  <c r="D250" i="28"/>
  <c r="B250" i="28"/>
  <c r="A250" i="28"/>
  <c r="H250" i="28" s="1"/>
  <c r="L249" i="28"/>
  <c r="K249" i="28"/>
  <c r="J249" i="28"/>
  <c r="D249" i="28"/>
  <c r="B249" i="28"/>
  <c r="A249" i="28"/>
  <c r="L248" i="28"/>
  <c r="K248" i="28"/>
  <c r="J248" i="28"/>
  <c r="D248" i="28"/>
  <c r="B248" i="28"/>
  <c r="A248" i="28"/>
  <c r="H248" i="28" s="1"/>
  <c r="L247" i="28"/>
  <c r="K247" i="28"/>
  <c r="J247" i="28"/>
  <c r="D247" i="28"/>
  <c r="B247" i="28"/>
  <c r="A247" i="28"/>
  <c r="L27" i="48"/>
  <c r="L3" i="48"/>
  <c r="L4" i="48"/>
  <c r="L5" i="48"/>
  <c r="L6" i="48"/>
  <c r="L7" i="48"/>
  <c r="L8" i="48"/>
  <c r="L9" i="48"/>
  <c r="L10" i="48"/>
  <c r="L11" i="48"/>
  <c r="L12" i="48"/>
  <c r="L13" i="48"/>
  <c r="L14" i="48"/>
  <c r="L15" i="48"/>
  <c r="L16" i="48"/>
  <c r="L17" i="48"/>
  <c r="L18" i="48"/>
  <c r="L19" i="48"/>
  <c r="L20" i="48"/>
  <c r="L21" i="48"/>
  <c r="L22" i="48"/>
  <c r="L23" i="48"/>
  <c r="L24" i="48"/>
  <c r="L25" i="48"/>
  <c r="L26" i="48"/>
  <c r="L28" i="48"/>
  <c r="L29" i="48"/>
  <c r="L30" i="48"/>
  <c r="L31" i="48"/>
  <c r="L32" i="48"/>
  <c r="L33" i="48"/>
  <c r="L34" i="48"/>
  <c r="L35" i="48"/>
  <c r="L36" i="48"/>
  <c r="L37" i="48"/>
  <c r="L38" i="48"/>
  <c r="L39" i="48"/>
  <c r="L40" i="48"/>
  <c r="L41" i="48"/>
  <c r="L42" i="48"/>
  <c r="L43" i="48"/>
  <c r="L44" i="48"/>
  <c r="L45" i="48"/>
  <c r="L46" i="48"/>
  <c r="L47" i="48"/>
  <c r="L48" i="48"/>
  <c r="L49" i="48"/>
  <c r="L50" i="48"/>
  <c r="L51" i="48"/>
  <c r="L52" i="48"/>
  <c r="L53" i="48"/>
  <c r="L54" i="48"/>
  <c r="L55" i="48"/>
  <c r="L56" i="48"/>
  <c r="L57" i="48"/>
  <c r="L58" i="48"/>
  <c r="L59" i="48"/>
  <c r="L60" i="48"/>
  <c r="L61" i="48"/>
  <c r="L62" i="48"/>
  <c r="L63" i="48"/>
  <c r="L64" i="48"/>
  <c r="L65" i="48"/>
  <c r="L66" i="48"/>
  <c r="L67" i="48"/>
  <c r="L68" i="48"/>
  <c r="L69" i="48"/>
  <c r="L70" i="48"/>
  <c r="L71" i="48"/>
  <c r="L72" i="48"/>
  <c r="L73" i="48"/>
  <c r="L74" i="48"/>
  <c r="L75" i="48"/>
  <c r="L76" i="48"/>
  <c r="L77" i="48"/>
  <c r="L78" i="48"/>
  <c r="L79" i="48"/>
  <c r="L80" i="48"/>
  <c r="L81" i="48"/>
  <c r="L82" i="48"/>
  <c r="L83" i="48"/>
  <c r="L84" i="48"/>
  <c r="L85" i="48"/>
  <c r="L86" i="48"/>
  <c r="L87" i="48"/>
  <c r="L88" i="48"/>
  <c r="L89" i="48"/>
  <c r="L90" i="48"/>
  <c r="L91" i="48"/>
  <c r="L92" i="48"/>
  <c r="L93" i="48"/>
  <c r="L94" i="48"/>
  <c r="L95" i="48"/>
  <c r="L96" i="48"/>
  <c r="L97" i="48"/>
  <c r="L98" i="48"/>
  <c r="L99" i="48"/>
  <c r="L100" i="48"/>
  <c r="L101" i="48"/>
  <c r="L102" i="48"/>
  <c r="L103" i="48"/>
  <c r="L104" i="48"/>
  <c r="L105" i="48"/>
  <c r="L106" i="48"/>
  <c r="L107" i="48"/>
  <c r="L108" i="48"/>
  <c r="L109" i="48"/>
  <c r="L110" i="48"/>
  <c r="L111" i="48"/>
  <c r="L112" i="48"/>
  <c r="L113" i="48"/>
  <c r="L114" i="48"/>
  <c r="L115" i="48"/>
  <c r="L116" i="48"/>
  <c r="L117" i="48"/>
  <c r="L118" i="48"/>
  <c r="L119" i="48"/>
  <c r="L120" i="48"/>
  <c r="L121" i="48"/>
  <c r="L122" i="48"/>
  <c r="L123" i="48"/>
  <c r="L124" i="48"/>
  <c r="L125" i="48"/>
  <c r="L126" i="48"/>
  <c r="L127" i="48"/>
  <c r="L128" i="48"/>
  <c r="L129" i="48"/>
  <c r="L130" i="48"/>
  <c r="L131" i="48"/>
  <c r="L132" i="48"/>
  <c r="L133" i="48"/>
  <c r="L134" i="48"/>
  <c r="L135" i="48"/>
  <c r="L136" i="48"/>
  <c r="L137" i="48"/>
  <c r="L138" i="48"/>
  <c r="L139" i="48"/>
  <c r="L140" i="48"/>
  <c r="L141" i="48"/>
  <c r="L142" i="48"/>
  <c r="L143" i="48"/>
  <c r="L144" i="48"/>
  <c r="L145" i="48"/>
  <c r="L146" i="48"/>
  <c r="L147" i="48"/>
  <c r="L148" i="48"/>
  <c r="L149" i="48"/>
  <c r="L150" i="48"/>
  <c r="L151" i="48"/>
  <c r="L152" i="48"/>
  <c r="L153" i="48"/>
  <c r="L154" i="48"/>
  <c r="L155" i="48"/>
  <c r="L156" i="48"/>
  <c r="L157" i="48"/>
  <c r="L158" i="48"/>
  <c r="L159" i="48"/>
  <c r="L160" i="48"/>
  <c r="L161" i="48"/>
  <c r="L162" i="48"/>
  <c r="L163" i="48"/>
  <c r="L164" i="48"/>
  <c r="L165" i="48"/>
  <c r="L166" i="48"/>
  <c r="L167" i="48"/>
  <c r="L168" i="48"/>
  <c r="L169" i="48"/>
  <c r="L170" i="48"/>
  <c r="L171" i="48"/>
  <c r="L172" i="48"/>
  <c r="L173" i="48"/>
  <c r="L174" i="48"/>
  <c r="L175" i="48"/>
  <c r="L176" i="48"/>
  <c r="L177" i="48"/>
  <c r="L178" i="48"/>
  <c r="L179" i="48"/>
  <c r="L180" i="48"/>
  <c r="L181" i="48"/>
  <c r="L182" i="48"/>
  <c r="L183" i="48"/>
  <c r="L184" i="48"/>
  <c r="L185" i="48"/>
  <c r="L186" i="48"/>
  <c r="L187" i="48"/>
  <c r="L188" i="48"/>
  <c r="L189" i="48"/>
  <c r="L190" i="48"/>
  <c r="L191" i="48"/>
  <c r="L192" i="48"/>
  <c r="L193" i="48"/>
  <c r="L194" i="48"/>
  <c r="L195" i="48"/>
  <c r="L196" i="48"/>
  <c r="L197" i="48"/>
  <c r="L198" i="48"/>
  <c r="L199" i="48"/>
  <c r="L200" i="48"/>
  <c r="L201" i="48"/>
  <c r="L202" i="48"/>
  <c r="L203" i="48"/>
  <c r="L204" i="48"/>
  <c r="L205" i="48"/>
  <c r="L206" i="48"/>
  <c r="L207" i="48"/>
  <c r="L208" i="48"/>
  <c r="L209" i="48"/>
  <c r="L210" i="48"/>
  <c r="L211" i="48"/>
  <c r="L212" i="48"/>
  <c r="L213" i="48"/>
  <c r="L214" i="48"/>
  <c r="L215" i="48"/>
  <c r="L216" i="48"/>
  <c r="L217" i="48"/>
  <c r="L218" i="48"/>
  <c r="L219" i="48"/>
  <c r="L220" i="48"/>
  <c r="L221" i="48"/>
  <c r="L222" i="48"/>
  <c r="L223" i="48"/>
  <c r="L224" i="48"/>
  <c r="L225" i="48"/>
  <c r="L226" i="48"/>
  <c r="L227" i="48"/>
  <c r="L228" i="48"/>
  <c r="L229" i="48"/>
  <c r="L230" i="48"/>
  <c r="L231" i="48"/>
  <c r="L232" i="48"/>
  <c r="L233" i="48"/>
  <c r="L234" i="48"/>
  <c r="L235" i="48"/>
  <c r="L236" i="48"/>
  <c r="L237" i="48"/>
  <c r="L238" i="48"/>
  <c r="L239" i="48"/>
  <c r="L240" i="48"/>
  <c r="L241" i="48"/>
  <c r="L242" i="48"/>
  <c r="L243" i="48"/>
  <c r="L244" i="48"/>
  <c r="L245" i="48"/>
  <c r="L246" i="48"/>
  <c r="L247" i="48"/>
  <c r="L248" i="48"/>
  <c r="L249" i="48"/>
  <c r="L250" i="48"/>
  <c r="L251" i="48"/>
  <c r="L252" i="48"/>
  <c r="L253" i="48"/>
  <c r="L254" i="48"/>
  <c r="L255" i="48"/>
  <c r="L256" i="48"/>
  <c r="L257" i="48"/>
  <c r="L258" i="48"/>
  <c r="L259" i="48"/>
  <c r="L260" i="48"/>
  <c r="L261" i="48"/>
  <c r="L262" i="48"/>
  <c r="L263" i="48"/>
  <c r="L264" i="48"/>
  <c r="L265" i="48"/>
  <c r="L266" i="48"/>
  <c r="L267" i="48"/>
  <c r="L268" i="48"/>
  <c r="L269" i="48"/>
  <c r="L270" i="48"/>
  <c r="L271" i="48"/>
  <c r="L272" i="48"/>
  <c r="L273" i="48"/>
  <c r="L274" i="48"/>
  <c r="L275" i="48"/>
  <c r="L276" i="48"/>
  <c r="L277" i="48"/>
  <c r="L278" i="48"/>
  <c r="L279" i="48"/>
  <c r="L280" i="48"/>
  <c r="L281" i="48"/>
  <c r="L282" i="48"/>
  <c r="L283" i="48"/>
  <c r="L284" i="48"/>
  <c r="L285" i="48"/>
  <c r="L286" i="48"/>
  <c r="L287" i="48"/>
  <c r="L288" i="48"/>
  <c r="L289" i="48"/>
  <c r="L290" i="48"/>
  <c r="L291" i="48"/>
  <c r="L292" i="48"/>
  <c r="L293" i="48"/>
  <c r="L294" i="48"/>
  <c r="L295" i="48"/>
  <c r="L296" i="48"/>
  <c r="L297" i="48"/>
  <c r="L298" i="48"/>
  <c r="L299" i="48"/>
  <c r="L300" i="48"/>
  <c r="L301" i="48"/>
  <c r="L302" i="48"/>
  <c r="L303" i="48"/>
  <c r="L304" i="48"/>
  <c r="L305" i="48"/>
  <c r="L306" i="48"/>
  <c r="L307" i="48"/>
  <c r="L308" i="48"/>
  <c r="L309" i="48"/>
  <c r="L310" i="48"/>
  <c r="L311" i="48"/>
  <c r="L312" i="48"/>
  <c r="L313" i="48"/>
  <c r="L314" i="48"/>
  <c r="L315" i="48"/>
  <c r="L316" i="48"/>
  <c r="L317" i="48"/>
  <c r="L318" i="48"/>
  <c r="L319" i="48"/>
  <c r="L320" i="48"/>
  <c r="L321" i="48"/>
  <c r="L322" i="48"/>
  <c r="L323" i="48"/>
  <c r="L324" i="48"/>
  <c r="L325" i="48"/>
  <c r="L326" i="48"/>
  <c r="L327" i="48"/>
  <c r="L328" i="48"/>
  <c r="L329" i="48"/>
  <c r="L330" i="48"/>
  <c r="L331" i="48"/>
  <c r="L332" i="48"/>
  <c r="L333" i="48"/>
  <c r="L334" i="48"/>
  <c r="L335" i="48"/>
  <c r="L336" i="48"/>
  <c r="L337" i="48"/>
  <c r="L338" i="48"/>
  <c r="L339" i="48"/>
  <c r="L340" i="48"/>
  <c r="L341" i="48"/>
  <c r="L342" i="48"/>
  <c r="L343" i="48"/>
  <c r="L344" i="48"/>
  <c r="L345" i="48"/>
  <c r="L346" i="48"/>
  <c r="L347" i="48"/>
  <c r="L348" i="48"/>
  <c r="L349" i="48"/>
  <c r="L350" i="48"/>
  <c r="L351" i="48"/>
  <c r="L352" i="48"/>
  <c r="L353" i="48"/>
  <c r="L354" i="48"/>
  <c r="L355" i="48"/>
  <c r="L356" i="48"/>
  <c r="L357" i="48"/>
  <c r="L358" i="48"/>
  <c r="L359" i="48"/>
  <c r="L360" i="48"/>
  <c r="L361" i="48"/>
  <c r="L362" i="48"/>
  <c r="L363" i="48"/>
  <c r="L364" i="48"/>
  <c r="L365" i="48"/>
  <c r="L366" i="48"/>
  <c r="L367" i="48"/>
  <c r="L368" i="48"/>
  <c r="L369" i="48"/>
  <c r="Q3" i="48"/>
  <c r="Q4" i="48"/>
  <c r="Q5" i="48"/>
  <c r="Q6" i="48"/>
  <c r="Q7" i="48"/>
  <c r="Q8" i="48"/>
  <c r="Q9" i="48"/>
  <c r="Q10" i="48"/>
  <c r="Q11" i="48"/>
  <c r="Q12" i="48"/>
  <c r="Q13" i="48"/>
  <c r="Q14" i="48"/>
  <c r="Q15" i="48"/>
  <c r="Q16" i="48"/>
  <c r="Q17" i="48"/>
  <c r="Q18" i="48"/>
  <c r="Q19" i="48"/>
  <c r="Q20" i="48"/>
  <c r="Q21" i="48"/>
  <c r="Q22" i="48"/>
  <c r="Q23" i="48"/>
  <c r="Q24" i="48"/>
  <c r="Q25" i="48"/>
  <c r="Q26" i="48"/>
  <c r="Q27" i="48"/>
  <c r="Q28" i="48"/>
  <c r="Q29" i="48"/>
  <c r="Q30" i="48"/>
  <c r="Q31" i="48"/>
  <c r="Q32" i="48"/>
  <c r="Q33" i="48"/>
  <c r="Q34" i="48"/>
  <c r="Q35" i="48"/>
  <c r="Q36" i="48"/>
  <c r="Q37" i="48"/>
  <c r="Q38" i="48"/>
  <c r="Q39" i="48"/>
  <c r="Q40" i="48"/>
  <c r="Q41" i="48"/>
  <c r="Q42" i="48"/>
  <c r="Q43" i="48"/>
  <c r="Q44" i="48"/>
  <c r="Q45" i="48"/>
  <c r="Q46" i="48"/>
  <c r="Q47" i="48"/>
  <c r="Q48" i="48"/>
  <c r="Q49" i="48"/>
  <c r="Q50" i="48"/>
  <c r="Q51" i="48"/>
  <c r="Q52" i="48"/>
  <c r="Q53" i="48"/>
  <c r="Q54" i="48"/>
  <c r="Q55" i="48"/>
  <c r="Q56" i="48"/>
  <c r="Q57" i="48"/>
  <c r="Q58" i="48"/>
  <c r="Q59" i="48"/>
  <c r="Q60" i="48"/>
  <c r="Q61" i="48"/>
  <c r="Q62" i="48"/>
  <c r="Q63" i="48"/>
  <c r="Q64" i="48"/>
  <c r="Q65" i="48"/>
  <c r="Q66" i="48"/>
  <c r="Q67" i="48"/>
  <c r="Q68" i="48"/>
  <c r="Q69" i="48"/>
  <c r="Q70" i="48"/>
  <c r="Q71" i="48"/>
  <c r="Q72" i="48"/>
  <c r="Q73" i="48"/>
  <c r="Q74" i="48"/>
  <c r="Q75" i="48"/>
  <c r="Q76" i="48"/>
  <c r="Q77" i="48"/>
  <c r="Q78" i="48"/>
  <c r="Q79" i="48"/>
  <c r="Q80" i="48"/>
  <c r="Q81" i="48"/>
  <c r="Q82" i="48"/>
  <c r="Q83" i="48"/>
  <c r="Q84" i="48"/>
  <c r="Q85" i="48"/>
  <c r="Q86" i="48"/>
  <c r="Q87" i="48"/>
  <c r="Q88" i="48"/>
  <c r="Q89" i="48"/>
  <c r="Q90" i="48"/>
  <c r="Q91" i="48"/>
  <c r="Q92" i="48"/>
  <c r="Q93" i="48"/>
  <c r="Q94" i="48"/>
  <c r="Q95" i="48"/>
  <c r="Q96" i="48"/>
  <c r="Q97" i="48"/>
  <c r="Q98" i="48"/>
  <c r="Q99" i="48"/>
  <c r="Q100" i="48"/>
  <c r="Q101" i="48"/>
  <c r="Q102" i="48"/>
  <c r="Q103" i="48"/>
  <c r="Q104" i="48"/>
  <c r="Q105" i="48"/>
  <c r="Q106" i="48"/>
  <c r="Q107" i="48"/>
  <c r="Q108" i="48"/>
  <c r="Q109" i="48"/>
  <c r="Q110" i="48"/>
  <c r="Q111" i="48"/>
  <c r="Q112" i="48"/>
  <c r="Q113" i="48"/>
  <c r="Q114" i="48"/>
  <c r="Q115" i="48"/>
  <c r="Q116" i="48"/>
  <c r="Q117" i="48"/>
  <c r="Q118" i="48"/>
  <c r="Q119" i="48"/>
  <c r="Q120" i="48"/>
  <c r="Q121" i="48"/>
  <c r="Q122" i="48"/>
  <c r="Q123" i="48"/>
  <c r="Q124" i="48"/>
  <c r="Q125" i="48"/>
  <c r="Q126" i="48"/>
  <c r="Q127" i="48"/>
  <c r="Q128" i="48"/>
  <c r="Q129" i="48"/>
  <c r="Q130" i="48"/>
  <c r="Q131" i="48"/>
  <c r="Q132" i="48"/>
  <c r="Q133" i="48"/>
  <c r="Q134" i="48"/>
  <c r="Q135" i="48"/>
  <c r="Q136" i="48"/>
  <c r="Q137" i="48"/>
  <c r="Q138" i="48"/>
  <c r="Q139" i="48"/>
  <c r="Q140" i="48"/>
  <c r="Q141" i="48"/>
  <c r="Q142" i="48"/>
  <c r="Q143" i="48"/>
  <c r="Q144" i="48"/>
  <c r="Q145" i="48"/>
  <c r="Q146" i="48"/>
  <c r="Q147" i="48"/>
  <c r="Q148" i="48"/>
  <c r="Q149" i="48"/>
  <c r="Q150" i="48"/>
  <c r="Q151" i="48"/>
  <c r="Q152" i="48"/>
  <c r="Q153" i="48"/>
  <c r="Q154" i="48"/>
  <c r="Q155" i="48"/>
  <c r="Q156" i="48"/>
  <c r="Q157" i="48"/>
  <c r="Q158" i="48"/>
  <c r="Q159" i="48"/>
  <c r="Q160" i="48"/>
  <c r="Q161" i="48"/>
  <c r="Q162" i="48"/>
  <c r="Q163" i="48"/>
  <c r="Q164" i="48"/>
  <c r="Q165" i="48"/>
  <c r="Q166" i="48"/>
  <c r="Q167" i="48"/>
  <c r="Q168" i="48"/>
  <c r="Q169" i="48"/>
  <c r="Q170" i="48"/>
  <c r="Q171" i="48"/>
  <c r="Q172" i="48"/>
  <c r="Q173" i="48"/>
  <c r="Q174" i="48"/>
  <c r="Q175" i="48"/>
  <c r="Q176" i="48"/>
  <c r="Q177" i="48"/>
  <c r="Q178" i="48"/>
  <c r="Q179" i="48"/>
  <c r="Q180" i="48"/>
  <c r="Q181" i="48"/>
  <c r="Q182" i="48"/>
  <c r="Q183" i="48"/>
  <c r="Q184" i="48"/>
  <c r="Q185" i="48"/>
  <c r="Q186" i="48"/>
  <c r="Q187" i="48"/>
  <c r="Q188" i="48"/>
  <c r="Q189" i="48"/>
  <c r="Q190" i="48"/>
  <c r="Q191" i="48"/>
  <c r="Q192" i="48"/>
  <c r="Q193" i="48"/>
  <c r="Q194" i="48"/>
  <c r="Q195" i="48"/>
  <c r="Q196" i="48"/>
  <c r="Q197" i="48"/>
  <c r="Q198" i="48"/>
  <c r="Q199" i="48"/>
  <c r="Q200" i="48"/>
  <c r="Q201" i="48"/>
  <c r="Q202" i="48"/>
  <c r="Q203" i="48"/>
  <c r="Q204" i="48"/>
  <c r="Q205" i="48"/>
  <c r="Q206" i="48"/>
  <c r="Q207" i="48"/>
  <c r="Q208" i="48"/>
  <c r="Q209" i="48"/>
  <c r="Q210" i="48"/>
  <c r="Q211" i="48"/>
  <c r="Q212" i="48"/>
  <c r="Q213" i="48"/>
  <c r="Q214" i="48"/>
  <c r="Q215" i="48"/>
  <c r="Q216" i="48"/>
  <c r="Q217" i="48"/>
  <c r="Q218" i="48"/>
  <c r="Q219" i="48"/>
  <c r="Q220" i="48"/>
  <c r="Q221" i="48"/>
  <c r="Q222" i="48"/>
  <c r="Q223" i="48"/>
  <c r="Q224" i="48"/>
  <c r="Q225" i="48"/>
  <c r="Q226" i="48"/>
  <c r="Q227" i="48"/>
  <c r="Q228" i="48"/>
  <c r="Q229" i="48"/>
  <c r="Q230" i="48"/>
  <c r="Q231" i="48"/>
  <c r="Q232" i="48"/>
  <c r="Q233" i="48"/>
  <c r="Q234" i="48"/>
  <c r="Q235" i="48"/>
  <c r="Q236" i="48"/>
  <c r="Q237" i="48"/>
  <c r="Q238" i="48"/>
  <c r="Q239" i="48"/>
  <c r="Q240" i="48"/>
  <c r="Q241" i="48"/>
  <c r="Q242" i="48"/>
  <c r="Q243" i="48"/>
  <c r="Q244" i="48"/>
  <c r="Q245" i="48"/>
  <c r="Q246" i="48"/>
  <c r="Q247" i="48"/>
  <c r="Q248" i="48"/>
  <c r="Q249" i="48"/>
  <c r="Q250" i="48"/>
  <c r="Q251" i="48"/>
  <c r="Q252" i="48"/>
  <c r="Q253" i="48"/>
  <c r="Q254" i="48"/>
  <c r="Q255" i="48"/>
  <c r="Q256" i="48"/>
  <c r="Q257" i="48"/>
  <c r="Q258" i="48"/>
  <c r="Q259" i="48"/>
  <c r="Q260" i="48"/>
  <c r="Q261" i="48"/>
  <c r="Q262" i="48"/>
  <c r="Q263" i="48"/>
  <c r="Q264" i="48"/>
  <c r="Q265" i="48"/>
  <c r="Q266" i="48"/>
  <c r="Q267" i="48"/>
  <c r="Q268" i="48"/>
  <c r="Q269" i="48"/>
  <c r="Q270" i="48"/>
  <c r="Q271" i="48"/>
  <c r="Q272" i="48"/>
  <c r="Q273" i="48"/>
  <c r="Q274" i="48"/>
  <c r="Q275" i="48"/>
  <c r="Q276" i="48"/>
  <c r="Q277" i="48"/>
  <c r="Q278" i="48"/>
  <c r="Q279" i="48"/>
  <c r="Q280" i="48"/>
  <c r="Q281" i="48"/>
  <c r="Q282" i="48"/>
  <c r="Q283" i="48"/>
  <c r="Q284" i="48"/>
  <c r="Q285" i="48"/>
  <c r="Q286" i="48"/>
  <c r="Q287" i="48"/>
  <c r="Q288" i="48"/>
  <c r="Q289" i="48"/>
  <c r="Q290" i="48"/>
  <c r="Q291" i="48"/>
  <c r="Q292" i="48"/>
  <c r="Q293" i="48"/>
  <c r="Q294" i="48"/>
  <c r="Q295" i="48"/>
  <c r="Q296" i="48"/>
  <c r="Q297" i="48"/>
  <c r="Q298" i="48"/>
  <c r="Q299" i="48"/>
  <c r="Q300" i="48"/>
  <c r="Q301" i="48"/>
  <c r="Q302" i="48"/>
  <c r="Q303" i="48"/>
  <c r="Q304" i="48"/>
  <c r="Q305" i="48"/>
  <c r="Q306" i="48"/>
  <c r="Q307" i="48"/>
  <c r="Q308" i="48"/>
  <c r="Q309" i="48"/>
  <c r="Q310" i="48"/>
  <c r="Q311" i="48"/>
  <c r="Q312" i="48"/>
  <c r="Q313" i="48"/>
  <c r="Q314" i="48"/>
  <c r="Q315" i="48"/>
  <c r="Q316" i="48"/>
  <c r="Q317" i="48"/>
  <c r="Q318" i="48"/>
  <c r="Q319" i="48"/>
  <c r="Q320" i="48"/>
  <c r="Q321" i="48"/>
  <c r="Q322" i="48"/>
  <c r="Q323" i="48"/>
  <c r="Q324" i="48"/>
  <c r="Q325" i="48"/>
  <c r="Q326" i="48"/>
  <c r="Q327" i="48"/>
  <c r="Q328" i="48"/>
  <c r="Q329" i="48"/>
  <c r="Q330" i="48"/>
  <c r="Q331" i="48"/>
  <c r="Q332" i="48"/>
  <c r="Q333" i="48"/>
  <c r="Q334" i="48"/>
  <c r="Q335" i="48"/>
  <c r="Q336" i="48"/>
  <c r="Q337" i="48"/>
  <c r="Q338" i="48"/>
  <c r="Q339" i="48"/>
  <c r="Q340" i="48"/>
  <c r="Q341" i="48"/>
  <c r="Q342" i="48"/>
  <c r="Q343" i="48"/>
  <c r="Q344" i="48"/>
  <c r="Q345" i="48"/>
  <c r="Q346" i="48"/>
  <c r="Q347" i="48"/>
  <c r="Q348" i="48"/>
  <c r="Q349" i="48"/>
  <c r="Q350" i="48"/>
  <c r="Q351" i="48"/>
  <c r="Q352" i="48"/>
  <c r="Q353" i="48"/>
  <c r="Q354" i="48"/>
  <c r="Q355" i="48"/>
  <c r="Q356" i="48"/>
  <c r="Q357" i="48"/>
  <c r="Q358" i="48"/>
  <c r="Q359" i="48"/>
  <c r="Q360" i="48"/>
  <c r="Q361" i="48"/>
  <c r="Q362" i="48"/>
  <c r="Q363" i="48"/>
  <c r="Q364" i="48"/>
  <c r="Q365" i="48"/>
  <c r="Q366" i="48"/>
  <c r="Q367" i="48"/>
  <c r="Q368" i="48"/>
  <c r="Q369" i="48"/>
  <c r="P3" i="48"/>
  <c r="P4" i="48"/>
  <c r="P5" i="48"/>
  <c r="P6" i="48"/>
  <c r="P7" i="48"/>
  <c r="P8" i="48"/>
  <c r="P9" i="48"/>
  <c r="P10" i="48"/>
  <c r="P11" i="48"/>
  <c r="P12" i="48"/>
  <c r="P13" i="48"/>
  <c r="P14" i="48"/>
  <c r="P15" i="48"/>
  <c r="P16" i="48"/>
  <c r="P17" i="48"/>
  <c r="P18" i="48"/>
  <c r="P19" i="48"/>
  <c r="P20" i="48"/>
  <c r="P21" i="48"/>
  <c r="P22" i="48"/>
  <c r="P23" i="48"/>
  <c r="P24" i="48"/>
  <c r="P25" i="48"/>
  <c r="P26" i="48"/>
  <c r="P27" i="48"/>
  <c r="P28" i="48"/>
  <c r="P29" i="48"/>
  <c r="P30" i="48"/>
  <c r="P31" i="48"/>
  <c r="P32" i="48"/>
  <c r="P33" i="48"/>
  <c r="P34" i="48"/>
  <c r="P35" i="48"/>
  <c r="P36" i="48"/>
  <c r="P37" i="48"/>
  <c r="P38" i="48"/>
  <c r="P39" i="48"/>
  <c r="P40" i="48"/>
  <c r="P41" i="48"/>
  <c r="P42" i="48"/>
  <c r="P43" i="48"/>
  <c r="P44" i="48"/>
  <c r="P45" i="48"/>
  <c r="P46" i="48"/>
  <c r="P47" i="48"/>
  <c r="P48" i="48"/>
  <c r="P49" i="48"/>
  <c r="P50" i="48"/>
  <c r="P51" i="48"/>
  <c r="P52" i="48"/>
  <c r="P53" i="48"/>
  <c r="P54" i="48"/>
  <c r="P55" i="48"/>
  <c r="P56" i="48"/>
  <c r="P57" i="48"/>
  <c r="P58" i="48"/>
  <c r="P59" i="48"/>
  <c r="P60" i="48"/>
  <c r="P61" i="48"/>
  <c r="P62" i="48"/>
  <c r="P63" i="48"/>
  <c r="P64" i="48"/>
  <c r="P65" i="48"/>
  <c r="P66" i="48"/>
  <c r="P67" i="48"/>
  <c r="P68" i="48"/>
  <c r="P69" i="48"/>
  <c r="P70" i="48"/>
  <c r="P71" i="48"/>
  <c r="P72" i="48"/>
  <c r="P73" i="48"/>
  <c r="P74" i="48"/>
  <c r="P75" i="48"/>
  <c r="P76" i="48"/>
  <c r="P77" i="48"/>
  <c r="P78" i="48"/>
  <c r="P79" i="48"/>
  <c r="P80" i="48"/>
  <c r="P81" i="48"/>
  <c r="P82" i="48"/>
  <c r="P83" i="48"/>
  <c r="P84" i="48"/>
  <c r="P85" i="48"/>
  <c r="P86" i="48"/>
  <c r="P87" i="48"/>
  <c r="P88" i="48"/>
  <c r="P89" i="48"/>
  <c r="P90" i="48"/>
  <c r="P91" i="48"/>
  <c r="P92" i="48"/>
  <c r="P93" i="48"/>
  <c r="P94" i="48"/>
  <c r="P95" i="48"/>
  <c r="P96" i="48"/>
  <c r="P97" i="48"/>
  <c r="P98" i="48"/>
  <c r="P99" i="48"/>
  <c r="P100" i="48"/>
  <c r="P101" i="48"/>
  <c r="P102" i="48"/>
  <c r="P103" i="48"/>
  <c r="P104" i="48"/>
  <c r="P105" i="48"/>
  <c r="P106" i="48"/>
  <c r="P107" i="48"/>
  <c r="P108" i="48"/>
  <c r="P109" i="48"/>
  <c r="P110" i="48"/>
  <c r="P111" i="48"/>
  <c r="P112" i="48"/>
  <c r="P113" i="48"/>
  <c r="P114" i="48"/>
  <c r="P115" i="48"/>
  <c r="P116" i="48"/>
  <c r="P117" i="48"/>
  <c r="P118" i="48"/>
  <c r="P119" i="48"/>
  <c r="P120" i="48"/>
  <c r="P121" i="48"/>
  <c r="P122" i="48"/>
  <c r="P123" i="48"/>
  <c r="P124" i="48"/>
  <c r="P125" i="48"/>
  <c r="P126" i="48"/>
  <c r="P127" i="48"/>
  <c r="P128" i="48"/>
  <c r="P129" i="48"/>
  <c r="P130" i="48"/>
  <c r="P131" i="48"/>
  <c r="P132" i="48"/>
  <c r="P133" i="48"/>
  <c r="P134" i="48"/>
  <c r="P135" i="48"/>
  <c r="P136" i="48"/>
  <c r="P137" i="48"/>
  <c r="P138" i="48"/>
  <c r="P139" i="48"/>
  <c r="P140" i="48"/>
  <c r="P141" i="48"/>
  <c r="P142" i="48"/>
  <c r="P143" i="48"/>
  <c r="P144" i="48"/>
  <c r="P145" i="48"/>
  <c r="P146" i="48"/>
  <c r="P147" i="48"/>
  <c r="P148" i="48"/>
  <c r="P149" i="48"/>
  <c r="P150" i="48"/>
  <c r="P151" i="48"/>
  <c r="P152" i="48"/>
  <c r="P153" i="48"/>
  <c r="P154" i="48"/>
  <c r="P155" i="48"/>
  <c r="P156" i="48"/>
  <c r="P157" i="48"/>
  <c r="P158" i="48"/>
  <c r="P159" i="48"/>
  <c r="P160" i="48"/>
  <c r="P161" i="48"/>
  <c r="P162" i="48"/>
  <c r="P163" i="48"/>
  <c r="P164" i="48"/>
  <c r="P165" i="48"/>
  <c r="P166" i="48"/>
  <c r="P167" i="48"/>
  <c r="P168" i="48"/>
  <c r="P169" i="48"/>
  <c r="P170" i="48"/>
  <c r="P171" i="48"/>
  <c r="P172" i="48"/>
  <c r="P173" i="48"/>
  <c r="P174" i="48"/>
  <c r="P175" i="48"/>
  <c r="P176" i="48"/>
  <c r="P177" i="48"/>
  <c r="P178" i="48"/>
  <c r="P179" i="48"/>
  <c r="P180" i="48"/>
  <c r="P181" i="48"/>
  <c r="P182" i="48"/>
  <c r="P183" i="48"/>
  <c r="P184" i="48"/>
  <c r="P185" i="48"/>
  <c r="P186" i="48"/>
  <c r="P187" i="48"/>
  <c r="P188" i="48"/>
  <c r="P189" i="48"/>
  <c r="P190" i="48"/>
  <c r="P191" i="48"/>
  <c r="P192" i="48"/>
  <c r="P193" i="48"/>
  <c r="P194" i="48"/>
  <c r="P195" i="48"/>
  <c r="P196" i="48"/>
  <c r="P197" i="48"/>
  <c r="P198" i="48"/>
  <c r="P199" i="48"/>
  <c r="P200" i="48"/>
  <c r="P201" i="48"/>
  <c r="P202" i="48"/>
  <c r="P203" i="48"/>
  <c r="P204" i="48"/>
  <c r="P205" i="48"/>
  <c r="P206" i="48"/>
  <c r="P207" i="48"/>
  <c r="P208" i="48"/>
  <c r="P209" i="48"/>
  <c r="P210" i="48"/>
  <c r="P211" i="48"/>
  <c r="P212" i="48"/>
  <c r="P213" i="48"/>
  <c r="P214" i="48"/>
  <c r="P215" i="48"/>
  <c r="P216" i="48"/>
  <c r="P217" i="48"/>
  <c r="P218" i="48"/>
  <c r="P219" i="48"/>
  <c r="P220" i="48"/>
  <c r="P221" i="48"/>
  <c r="P222" i="48"/>
  <c r="P223" i="48"/>
  <c r="P224" i="48"/>
  <c r="P225" i="48"/>
  <c r="P226" i="48"/>
  <c r="P227" i="48"/>
  <c r="P228" i="48"/>
  <c r="P229" i="48"/>
  <c r="P230" i="48"/>
  <c r="P231" i="48"/>
  <c r="P232" i="48"/>
  <c r="P233" i="48"/>
  <c r="P234" i="48"/>
  <c r="P235" i="48"/>
  <c r="P236" i="48"/>
  <c r="P237" i="48"/>
  <c r="P238" i="48"/>
  <c r="P239" i="48"/>
  <c r="P240" i="48"/>
  <c r="P241" i="48"/>
  <c r="P242" i="48"/>
  <c r="P243" i="48"/>
  <c r="P244" i="48"/>
  <c r="P245" i="48"/>
  <c r="P246" i="48"/>
  <c r="P247" i="48"/>
  <c r="P248" i="48"/>
  <c r="P249" i="48"/>
  <c r="P250" i="48"/>
  <c r="P251" i="48"/>
  <c r="P252" i="48"/>
  <c r="P253" i="48"/>
  <c r="P254" i="48"/>
  <c r="P255" i="48"/>
  <c r="P256" i="48"/>
  <c r="P257" i="48"/>
  <c r="P258" i="48"/>
  <c r="P259" i="48"/>
  <c r="P260" i="48"/>
  <c r="P261" i="48"/>
  <c r="P262" i="48"/>
  <c r="P263" i="48"/>
  <c r="P264" i="48"/>
  <c r="P265" i="48"/>
  <c r="P266" i="48"/>
  <c r="P267" i="48"/>
  <c r="P268" i="48"/>
  <c r="P269" i="48"/>
  <c r="P270" i="48"/>
  <c r="P271" i="48"/>
  <c r="P272" i="48"/>
  <c r="P273" i="48"/>
  <c r="P274" i="48"/>
  <c r="P275" i="48"/>
  <c r="P276" i="48"/>
  <c r="P277" i="48"/>
  <c r="P278" i="48"/>
  <c r="P279" i="48"/>
  <c r="P280" i="48"/>
  <c r="P281" i="48"/>
  <c r="P282" i="48"/>
  <c r="P283" i="48"/>
  <c r="P284" i="48"/>
  <c r="P285" i="48"/>
  <c r="P286" i="48"/>
  <c r="P287" i="48"/>
  <c r="P288" i="48"/>
  <c r="P289" i="48"/>
  <c r="P290" i="48"/>
  <c r="P291" i="48"/>
  <c r="P292" i="48"/>
  <c r="P293" i="48"/>
  <c r="P294" i="48"/>
  <c r="P295" i="48"/>
  <c r="P296" i="48"/>
  <c r="P297" i="48"/>
  <c r="P298" i="48"/>
  <c r="P299" i="48"/>
  <c r="P300" i="48"/>
  <c r="P301" i="48"/>
  <c r="P302" i="48"/>
  <c r="P303" i="48"/>
  <c r="P304" i="48"/>
  <c r="P305" i="48"/>
  <c r="P306" i="48"/>
  <c r="P307" i="48"/>
  <c r="P308" i="48"/>
  <c r="P309" i="48"/>
  <c r="P310" i="48"/>
  <c r="P311" i="48"/>
  <c r="P312" i="48"/>
  <c r="P313" i="48"/>
  <c r="P314" i="48"/>
  <c r="P315" i="48"/>
  <c r="P316" i="48"/>
  <c r="P317" i="48"/>
  <c r="P318" i="48"/>
  <c r="P319" i="48"/>
  <c r="P320" i="48"/>
  <c r="P321" i="48"/>
  <c r="P322" i="48"/>
  <c r="P323" i="48"/>
  <c r="P324" i="48"/>
  <c r="P325" i="48"/>
  <c r="P326" i="48"/>
  <c r="P327" i="48"/>
  <c r="P328" i="48"/>
  <c r="P329" i="48"/>
  <c r="P330" i="48"/>
  <c r="P331" i="48"/>
  <c r="P332" i="48"/>
  <c r="P333" i="48"/>
  <c r="P334" i="48"/>
  <c r="P335" i="48"/>
  <c r="P336" i="48"/>
  <c r="P337" i="48"/>
  <c r="P338" i="48"/>
  <c r="P339" i="48"/>
  <c r="P340" i="48"/>
  <c r="P341" i="48"/>
  <c r="P342" i="48"/>
  <c r="P343" i="48"/>
  <c r="P344" i="48"/>
  <c r="P345" i="48"/>
  <c r="P346" i="48"/>
  <c r="P347" i="48"/>
  <c r="P348" i="48"/>
  <c r="P349" i="48"/>
  <c r="P350" i="48"/>
  <c r="P351" i="48"/>
  <c r="P352" i="48"/>
  <c r="P353" i="48"/>
  <c r="P354" i="48"/>
  <c r="P355" i="48"/>
  <c r="P356" i="48"/>
  <c r="P357" i="48"/>
  <c r="P358" i="48"/>
  <c r="P359" i="48"/>
  <c r="P360" i="48"/>
  <c r="P361" i="48"/>
  <c r="P362" i="48"/>
  <c r="P363" i="48"/>
  <c r="P364" i="48"/>
  <c r="P365" i="48"/>
  <c r="P366" i="48"/>
  <c r="P367" i="48"/>
  <c r="P368" i="48"/>
  <c r="P369" i="48"/>
  <c r="O3" i="48"/>
  <c r="O4" i="48"/>
  <c r="O5" i="48"/>
  <c r="O6" i="48"/>
  <c r="O7" i="48"/>
  <c r="O8" i="48"/>
  <c r="O9" i="48"/>
  <c r="O10" i="48"/>
  <c r="O11" i="48"/>
  <c r="O12" i="48"/>
  <c r="O13" i="48"/>
  <c r="O14" i="48"/>
  <c r="O15" i="48"/>
  <c r="O16" i="48"/>
  <c r="O17" i="48"/>
  <c r="O18" i="48"/>
  <c r="O19" i="48"/>
  <c r="O20" i="48"/>
  <c r="O21" i="48"/>
  <c r="O22" i="48"/>
  <c r="O23" i="48"/>
  <c r="O24" i="48"/>
  <c r="O25" i="48"/>
  <c r="O26" i="48"/>
  <c r="O27" i="48"/>
  <c r="O28" i="48"/>
  <c r="O29" i="48"/>
  <c r="O30" i="48"/>
  <c r="O31" i="48"/>
  <c r="O32" i="48"/>
  <c r="O33" i="48"/>
  <c r="O34" i="48"/>
  <c r="O35" i="48"/>
  <c r="O36" i="48"/>
  <c r="O37" i="48"/>
  <c r="O38" i="48"/>
  <c r="O39" i="48"/>
  <c r="O40" i="48"/>
  <c r="O41" i="48"/>
  <c r="O42" i="48"/>
  <c r="O43" i="48"/>
  <c r="O44" i="48"/>
  <c r="O45" i="48"/>
  <c r="O46" i="48"/>
  <c r="O47" i="48"/>
  <c r="O48" i="48"/>
  <c r="O49" i="48"/>
  <c r="O50" i="48"/>
  <c r="O51" i="48"/>
  <c r="O52" i="48"/>
  <c r="O53" i="48"/>
  <c r="O54" i="48"/>
  <c r="O55" i="48"/>
  <c r="O56" i="48"/>
  <c r="O57" i="48"/>
  <c r="O58" i="48"/>
  <c r="O59" i="48"/>
  <c r="O60" i="48"/>
  <c r="O61" i="48"/>
  <c r="O62" i="48"/>
  <c r="O63" i="48"/>
  <c r="O64" i="48"/>
  <c r="O65" i="48"/>
  <c r="O66" i="48"/>
  <c r="O67" i="48"/>
  <c r="O68" i="48"/>
  <c r="O69" i="48"/>
  <c r="O70" i="48"/>
  <c r="O71" i="48"/>
  <c r="O72" i="48"/>
  <c r="O73" i="48"/>
  <c r="O74" i="48"/>
  <c r="O75" i="48"/>
  <c r="O76" i="48"/>
  <c r="O77" i="48"/>
  <c r="O78" i="48"/>
  <c r="O79" i="48"/>
  <c r="O80" i="48"/>
  <c r="O81" i="48"/>
  <c r="O82" i="48"/>
  <c r="O83" i="48"/>
  <c r="O84" i="48"/>
  <c r="O85" i="48"/>
  <c r="O86" i="48"/>
  <c r="O87" i="48"/>
  <c r="O88" i="48"/>
  <c r="O89" i="48"/>
  <c r="O90" i="48"/>
  <c r="O91" i="48"/>
  <c r="O92" i="48"/>
  <c r="O93" i="48"/>
  <c r="O94" i="48"/>
  <c r="O95" i="48"/>
  <c r="O96" i="48"/>
  <c r="O97" i="48"/>
  <c r="O98" i="48"/>
  <c r="O99" i="48"/>
  <c r="O100" i="48"/>
  <c r="O101" i="48"/>
  <c r="O102" i="48"/>
  <c r="O103" i="48"/>
  <c r="O104" i="48"/>
  <c r="O105" i="48"/>
  <c r="O106" i="48"/>
  <c r="O107" i="48"/>
  <c r="O108" i="48"/>
  <c r="O109" i="48"/>
  <c r="O110" i="48"/>
  <c r="O111" i="48"/>
  <c r="O112" i="48"/>
  <c r="O113" i="48"/>
  <c r="O114" i="48"/>
  <c r="O115" i="48"/>
  <c r="O116" i="48"/>
  <c r="O117" i="48"/>
  <c r="O118" i="48"/>
  <c r="O119" i="48"/>
  <c r="O120" i="48"/>
  <c r="O121" i="48"/>
  <c r="O122" i="48"/>
  <c r="O123" i="48"/>
  <c r="O124" i="48"/>
  <c r="O125" i="48"/>
  <c r="O126" i="48"/>
  <c r="O127" i="48"/>
  <c r="O128" i="48"/>
  <c r="O129" i="48"/>
  <c r="O130" i="48"/>
  <c r="O131" i="48"/>
  <c r="O132" i="48"/>
  <c r="O133" i="48"/>
  <c r="O134" i="48"/>
  <c r="O135" i="48"/>
  <c r="O136" i="48"/>
  <c r="O137" i="48"/>
  <c r="O138" i="48"/>
  <c r="O139" i="48"/>
  <c r="O140" i="48"/>
  <c r="O141" i="48"/>
  <c r="O142" i="48"/>
  <c r="O143" i="48"/>
  <c r="O144" i="48"/>
  <c r="O145" i="48"/>
  <c r="O146" i="48"/>
  <c r="O147" i="48"/>
  <c r="O148" i="48"/>
  <c r="O149" i="48"/>
  <c r="O150" i="48"/>
  <c r="O151" i="48"/>
  <c r="O152" i="48"/>
  <c r="O153" i="48"/>
  <c r="O154" i="48"/>
  <c r="O155" i="48"/>
  <c r="O156" i="48"/>
  <c r="O157" i="48"/>
  <c r="O158" i="48"/>
  <c r="O159" i="48"/>
  <c r="O160" i="48"/>
  <c r="O161" i="48"/>
  <c r="O162" i="48"/>
  <c r="O163" i="48"/>
  <c r="O164" i="48"/>
  <c r="O165" i="48"/>
  <c r="O166" i="48"/>
  <c r="O167" i="48"/>
  <c r="O168" i="48"/>
  <c r="O169" i="48"/>
  <c r="O170" i="48"/>
  <c r="O171" i="48"/>
  <c r="O172" i="48"/>
  <c r="O173" i="48"/>
  <c r="O174" i="48"/>
  <c r="O175" i="48"/>
  <c r="O176" i="48"/>
  <c r="O177" i="48"/>
  <c r="O178" i="48"/>
  <c r="O179" i="48"/>
  <c r="O180" i="48"/>
  <c r="O181" i="48"/>
  <c r="O182" i="48"/>
  <c r="O183" i="48"/>
  <c r="O184" i="48"/>
  <c r="O185" i="48"/>
  <c r="O186" i="48"/>
  <c r="O187" i="48"/>
  <c r="O188" i="48"/>
  <c r="O189" i="48"/>
  <c r="O190" i="48"/>
  <c r="O191" i="48"/>
  <c r="O192" i="48"/>
  <c r="O193" i="48"/>
  <c r="O194" i="48"/>
  <c r="O195" i="48"/>
  <c r="O196" i="48"/>
  <c r="O197" i="48"/>
  <c r="O198" i="48"/>
  <c r="O199" i="48"/>
  <c r="O200" i="48"/>
  <c r="O201" i="48"/>
  <c r="O202" i="48"/>
  <c r="O203" i="48"/>
  <c r="O204" i="48"/>
  <c r="O205" i="48"/>
  <c r="O206" i="48"/>
  <c r="O207" i="48"/>
  <c r="O208" i="48"/>
  <c r="O209" i="48"/>
  <c r="O210" i="48"/>
  <c r="O211" i="48"/>
  <c r="O212" i="48"/>
  <c r="O213" i="48"/>
  <c r="O214" i="48"/>
  <c r="O215" i="48"/>
  <c r="O216" i="48"/>
  <c r="O217" i="48"/>
  <c r="O218" i="48"/>
  <c r="O219" i="48"/>
  <c r="O220" i="48"/>
  <c r="O221" i="48"/>
  <c r="O222" i="48"/>
  <c r="O223" i="48"/>
  <c r="O224" i="48"/>
  <c r="O225" i="48"/>
  <c r="O226" i="48"/>
  <c r="O227" i="48"/>
  <c r="O228" i="48"/>
  <c r="O229" i="48"/>
  <c r="O230" i="48"/>
  <c r="O231" i="48"/>
  <c r="O232" i="48"/>
  <c r="O233" i="48"/>
  <c r="O234" i="48"/>
  <c r="O235" i="48"/>
  <c r="O236" i="48"/>
  <c r="O237" i="48"/>
  <c r="O238" i="48"/>
  <c r="O239" i="48"/>
  <c r="O240" i="48"/>
  <c r="O241" i="48"/>
  <c r="O242" i="48"/>
  <c r="O243" i="48"/>
  <c r="O244" i="48"/>
  <c r="O245" i="48"/>
  <c r="O246" i="48"/>
  <c r="O247" i="48"/>
  <c r="O248" i="48"/>
  <c r="O249" i="48"/>
  <c r="O250" i="48"/>
  <c r="O251" i="48"/>
  <c r="O252" i="48"/>
  <c r="O253" i="48"/>
  <c r="O254" i="48"/>
  <c r="O255" i="48"/>
  <c r="O256" i="48"/>
  <c r="O257" i="48"/>
  <c r="O258" i="48"/>
  <c r="O259" i="48"/>
  <c r="O260" i="48"/>
  <c r="O261" i="48"/>
  <c r="O262" i="48"/>
  <c r="O263" i="48"/>
  <c r="O264" i="48"/>
  <c r="O265" i="48"/>
  <c r="O266" i="48"/>
  <c r="O267" i="48"/>
  <c r="O268" i="48"/>
  <c r="O269" i="48"/>
  <c r="O270" i="48"/>
  <c r="O271" i="48"/>
  <c r="O272" i="48"/>
  <c r="O273" i="48"/>
  <c r="O274" i="48"/>
  <c r="O275" i="48"/>
  <c r="O276" i="48"/>
  <c r="O277" i="48"/>
  <c r="O278" i="48"/>
  <c r="O279" i="48"/>
  <c r="O280" i="48"/>
  <c r="O281" i="48"/>
  <c r="O282" i="48"/>
  <c r="O283" i="48"/>
  <c r="O284" i="48"/>
  <c r="O285" i="48"/>
  <c r="O286" i="48"/>
  <c r="O287" i="48"/>
  <c r="O288" i="48"/>
  <c r="O289" i="48"/>
  <c r="O290" i="48"/>
  <c r="O291" i="48"/>
  <c r="O292" i="48"/>
  <c r="O293" i="48"/>
  <c r="O294" i="48"/>
  <c r="O295" i="48"/>
  <c r="O296" i="48"/>
  <c r="O297" i="48"/>
  <c r="O298" i="48"/>
  <c r="O299" i="48"/>
  <c r="O300" i="48"/>
  <c r="O301" i="48"/>
  <c r="O302" i="48"/>
  <c r="O303" i="48"/>
  <c r="O304" i="48"/>
  <c r="O305" i="48"/>
  <c r="O306" i="48"/>
  <c r="O307" i="48"/>
  <c r="O308" i="48"/>
  <c r="O309" i="48"/>
  <c r="O310" i="48"/>
  <c r="O311" i="48"/>
  <c r="O312" i="48"/>
  <c r="O313" i="48"/>
  <c r="O314" i="48"/>
  <c r="O315" i="48"/>
  <c r="O316" i="48"/>
  <c r="O317" i="48"/>
  <c r="O318" i="48"/>
  <c r="O319" i="48"/>
  <c r="O320" i="48"/>
  <c r="O321" i="48"/>
  <c r="O322" i="48"/>
  <c r="O323" i="48"/>
  <c r="O324" i="48"/>
  <c r="O325" i="48"/>
  <c r="O326" i="48"/>
  <c r="O327" i="48"/>
  <c r="O328" i="48"/>
  <c r="O329" i="48"/>
  <c r="O330" i="48"/>
  <c r="O331" i="48"/>
  <c r="O332" i="48"/>
  <c r="O333" i="48"/>
  <c r="O334" i="48"/>
  <c r="O335" i="48"/>
  <c r="O336" i="48"/>
  <c r="O337" i="48"/>
  <c r="O338" i="48"/>
  <c r="O339" i="48"/>
  <c r="O340" i="48"/>
  <c r="O341" i="48"/>
  <c r="O342" i="48"/>
  <c r="O343" i="48"/>
  <c r="O344" i="48"/>
  <c r="O345" i="48"/>
  <c r="O346" i="48"/>
  <c r="O347" i="48"/>
  <c r="O348" i="48"/>
  <c r="O349" i="48"/>
  <c r="O350" i="48"/>
  <c r="O351" i="48"/>
  <c r="O352" i="48"/>
  <c r="O353" i="48"/>
  <c r="O354" i="48"/>
  <c r="O355" i="48"/>
  <c r="O356" i="48"/>
  <c r="O357" i="48"/>
  <c r="O358" i="48"/>
  <c r="O359" i="48"/>
  <c r="O360" i="48"/>
  <c r="O361" i="48"/>
  <c r="O362" i="48"/>
  <c r="O363" i="48"/>
  <c r="O364" i="48"/>
  <c r="O365" i="48"/>
  <c r="O366" i="48"/>
  <c r="O367" i="48"/>
  <c r="O368" i="48"/>
  <c r="O369" i="48"/>
  <c r="N3" i="48"/>
  <c r="N4" i="48"/>
  <c r="N5" i="48"/>
  <c r="N6" i="48"/>
  <c r="N7" i="48"/>
  <c r="N8" i="48"/>
  <c r="N9" i="48"/>
  <c r="N10" i="48"/>
  <c r="N11" i="48"/>
  <c r="N12" i="48"/>
  <c r="N13" i="48"/>
  <c r="N14" i="48"/>
  <c r="N15" i="48"/>
  <c r="N16" i="48"/>
  <c r="N17" i="48"/>
  <c r="N18" i="48"/>
  <c r="N19" i="48"/>
  <c r="N20" i="48"/>
  <c r="N21" i="48"/>
  <c r="N22" i="48"/>
  <c r="N23" i="48"/>
  <c r="N24" i="48"/>
  <c r="N25" i="48"/>
  <c r="N26" i="48"/>
  <c r="N27" i="48"/>
  <c r="N28" i="48"/>
  <c r="N29" i="48"/>
  <c r="N30" i="48"/>
  <c r="N31" i="48"/>
  <c r="N32" i="48"/>
  <c r="N33" i="48"/>
  <c r="N34" i="48"/>
  <c r="N35" i="48"/>
  <c r="N36" i="48"/>
  <c r="N37" i="48"/>
  <c r="N38" i="48"/>
  <c r="N39" i="48"/>
  <c r="N40" i="48"/>
  <c r="N41" i="48"/>
  <c r="N42" i="48"/>
  <c r="N43" i="48"/>
  <c r="N44" i="48"/>
  <c r="N45" i="48"/>
  <c r="N46" i="48"/>
  <c r="N47" i="48"/>
  <c r="N48" i="48"/>
  <c r="N49" i="48"/>
  <c r="N50" i="48"/>
  <c r="N51" i="48"/>
  <c r="N52" i="48"/>
  <c r="N53" i="48"/>
  <c r="N54" i="48"/>
  <c r="N55" i="48"/>
  <c r="N56" i="48"/>
  <c r="N57" i="48"/>
  <c r="N58" i="48"/>
  <c r="N59" i="48"/>
  <c r="N60" i="48"/>
  <c r="N61" i="48"/>
  <c r="N62" i="48"/>
  <c r="N63" i="48"/>
  <c r="N64" i="48"/>
  <c r="N65" i="48"/>
  <c r="N66" i="48"/>
  <c r="N67" i="48"/>
  <c r="N68" i="48"/>
  <c r="N69" i="48"/>
  <c r="N70" i="48"/>
  <c r="N71" i="48"/>
  <c r="N72" i="48"/>
  <c r="N73" i="48"/>
  <c r="N74" i="48"/>
  <c r="N75" i="48"/>
  <c r="N76" i="48"/>
  <c r="N77" i="48"/>
  <c r="N78" i="48"/>
  <c r="N79" i="48"/>
  <c r="N80" i="48"/>
  <c r="N81" i="48"/>
  <c r="N82" i="48"/>
  <c r="N83" i="48"/>
  <c r="N84" i="48"/>
  <c r="N85" i="48"/>
  <c r="N86" i="48"/>
  <c r="N87" i="48"/>
  <c r="N88" i="48"/>
  <c r="N89" i="48"/>
  <c r="N90" i="48"/>
  <c r="N91" i="48"/>
  <c r="N92" i="48"/>
  <c r="N93" i="48"/>
  <c r="N94" i="48"/>
  <c r="N95" i="48"/>
  <c r="N96" i="48"/>
  <c r="N97" i="48"/>
  <c r="N98" i="48"/>
  <c r="N99" i="48"/>
  <c r="N100" i="48"/>
  <c r="N101" i="48"/>
  <c r="N102" i="48"/>
  <c r="N103" i="48"/>
  <c r="N104" i="48"/>
  <c r="N105" i="48"/>
  <c r="N106" i="48"/>
  <c r="N107" i="48"/>
  <c r="N108" i="48"/>
  <c r="N109" i="48"/>
  <c r="N110" i="48"/>
  <c r="N111" i="48"/>
  <c r="N112" i="48"/>
  <c r="N113" i="48"/>
  <c r="N114" i="48"/>
  <c r="N115" i="48"/>
  <c r="N116" i="48"/>
  <c r="N117" i="48"/>
  <c r="N118" i="48"/>
  <c r="N119" i="48"/>
  <c r="N120" i="48"/>
  <c r="N121" i="48"/>
  <c r="N122" i="48"/>
  <c r="N123" i="48"/>
  <c r="N124" i="48"/>
  <c r="N125" i="48"/>
  <c r="N126" i="48"/>
  <c r="N127" i="48"/>
  <c r="N128" i="48"/>
  <c r="N129" i="48"/>
  <c r="N130" i="48"/>
  <c r="N131" i="48"/>
  <c r="N132" i="48"/>
  <c r="N133" i="48"/>
  <c r="N134" i="48"/>
  <c r="N135" i="48"/>
  <c r="N136" i="48"/>
  <c r="N137" i="48"/>
  <c r="N138" i="48"/>
  <c r="N139" i="48"/>
  <c r="N140" i="48"/>
  <c r="N141" i="48"/>
  <c r="N142" i="48"/>
  <c r="N143" i="48"/>
  <c r="N144" i="48"/>
  <c r="N145" i="48"/>
  <c r="N146" i="48"/>
  <c r="N147" i="48"/>
  <c r="N148" i="48"/>
  <c r="N149" i="48"/>
  <c r="N150" i="48"/>
  <c r="N151" i="48"/>
  <c r="N152" i="48"/>
  <c r="N153" i="48"/>
  <c r="N154" i="48"/>
  <c r="N155" i="48"/>
  <c r="N156" i="48"/>
  <c r="N157" i="48"/>
  <c r="N158" i="48"/>
  <c r="N159" i="48"/>
  <c r="N160" i="48"/>
  <c r="N161" i="48"/>
  <c r="N162" i="48"/>
  <c r="N163" i="48"/>
  <c r="N164" i="48"/>
  <c r="N165" i="48"/>
  <c r="N166" i="48"/>
  <c r="N167" i="48"/>
  <c r="N168" i="48"/>
  <c r="N169" i="48"/>
  <c r="N170" i="48"/>
  <c r="N171" i="48"/>
  <c r="N172" i="48"/>
  <c r="N173" i="48"/>
  <c r="N174" i="48"/>
  <c r="N175" i="48"/>
  <c r="N176" i="48"/>
  <c r="N177" i="48"/>
  <c r="N178" i="48"/>
  <c r="N179" i="48"/>
  <c r="N180" i="48"/>
  <c r="N181" i="48"/>
  <c r="N182" i="48"/>
  <c r="N183" i="48"/>
  <c r="N184" i="48"/>
  <c r="N185" i="48"/>
  <c r="N186" i="48"/>
  <c r="N187" i="48"/>
  <c r="N188" i="48"/>
  <c r="N189" i="48"/>
  <c r="N190" i="48"/>
  <c r="N191" i="48"/>
  <c r="N192" i="48"/>
  <c r="N193" i="48"/>
  <c r="N194" i="48"/>
  <c r="N195" i="48"/>
  <c r="N196" i="48"/>
  <c r="N197" i="48"/>
  <c r="N198" i="48"/>
  <c r="N199" i="48"/>
  <c r="N200" i="48"/>
  <c r="N201" i="48"/>
  <c r="N202" i="48"/>
  <c r="N203" i="48"/>
  <c r="N204" i="48"/>
  <c r="N205" i="48"/>
  <c r="N206" i="48"/>
  <c r="N207" i="48"/>
  <c r="N208" i="48"/>
  <c r="N209" i="48"/>
  <c r="N210" i="48"/>
  <c r="N211" i="48"/>
  <c r="N212" i="48"/>
  <c r="N213" i="48"/>
  <c r="N214" i="48"/>
  <c r="N215" i="48"/>
  <c r="N216" i="48"/>
  <c r="N217" i="48"/>
  <c r="N218" i="48"/>
  <c r="N219" i="48"/>
  <c r="N220" i="48"/>
  <c r="N221" i="48"/>
  <c r="N222" i="48"/>
  <c r="N223" i="48"/>
  <c r="N224" i="48"/>
  <c r="N225" i="48"/>
  <c r="N226" i="48"/>
  <c r="N227" i="48"/>
  <c r="N228" i="48"/>
  <c r="N229" i="48"/>
  <c r="N230" i="48"/>
  <c r="N231" i="48"/>
  <c r="N232" i="48"/>
  <c r="N233" i="48"/>
  <c r="N234" i="48"/>
  <c r="N235" i="48"/>
  <c r="N236" i="48"/>
  <c r="N237" i="48"/>
  <c r="N238" i="48"/>
  <c r="N239" i="48"/>
  <c r="N240" i="48"/>
  <c r="N241" i="48"/>
  <c r="N242" i="48"/>
  <c r="N243" i="48"/>
  <c r="N244" i="48"/>
  <c r="N245" i="48"/>
  <c r="N246" i="48"/>
  <c r="N247" i="48"/>
  <c r="N248" i="48"/>
  <c r="N249" i="48"/>
  <c r="N250" i="48"/>
  <c r="N251" i="48"/>
  <c r="N252" i="48"/>
  <c r="N253" i="48"/>
  <c r="N254" i="48"/>
  <c r="N255" i="48"/>
  <c r="N256" i="48"/>
  <c r="N257" i="48"/>
  <c r="N258" i="48"/>
  <c r="N259" i="48"/>
  <c r="N260" i="48"/>
  <c r="N261" i="48"/>
  <c r="N262" i="48"/>
  <c r="N263" i="48"/>
  <c r="N264" i="48"/>
  <c r="N265" i="48"/>
  <c r="N266" i="48"/>
  <c r="N267" i="48"/>
  <c r="N268" i="48"/>
  <c r="N269" i="48"/>
  <c r="N270" i="48"/>
  <c r="N271" i="48"/>
  <c r="N272" i="48"/>
  <c r="N273" i="48"/>
  <c r="N274" i="48"/>
  <c r="N275" i="48"/>
  <c r="N276" i="48"/>
  <c r="N277" i="48"/>
  <c r="N278" i="48"/>
  <c r="N279" i="48"/>
  <c r="N280" i="48"/>
  <c r="N281" i="48"/>
  <c r="N282" i="48"/>
  <c r="N283" i="48"/>
  <c r="N284" i="48"/>
  <c r="N285" i="48"/>
  <c r="N286" i="48"/>
  <c r="N287" i="48"/>
  <c r="N288" i="48"/>
  <c r="N289" i="48"/>
  <c r="N290" i="48"/>
  <c r="N291" i="48"/>
  <c r="N292" i="48"/>
  <c r="N293" i="48"/>
  <c r="N294" i="48"/>
  <c r="N295" i="48"/>
  <c r="N296" i="48"/>
  <c r="N297" i="48"/>
  <c r="N298" i="48"/>
  <c r="N299" i="48"/>
  <c r="N300" i="48"/>
  <c r="N301" i="48"/>
  <c r="N302" i="48"/>
  <c r="N303" i="48"/>
  <c r="N304" i="48"/>
  <c r="N305" i="48"/>
  <c r="N306" i="48"/>
  <c r="N307" i="48"/>
  <c r="N308" i="48"/>
  <c r="N309" i="48"/>
  <c r="N310" i="48"/>
  <c r="N311" i="48"/>
  <c r="N312" i="48"/>
  <c r="N313" i="48"/>
  <c r="N314" i="48"/>
  <c r="N315" i="48"/>
  <c r="N316" i="48"/>
  <c r="N317" i="48"/>
  <c r="N318" i="48"/>
  <c r="N319" i="48"/>
  <c r="N320" i="48"/>
  <c r="N321" i="48"/>
  <c r="N322" i="48"/>
  <c r="N323" i="48"/>
  <c r="N324" i="48"/>
  <c r="N325" i="48"/>
  <c r="N326" i="48"/>
  <c r="N327" i="48"/>
  <c r="N328" i="48"/>
  <c r="N329" i="48"/>
  <c r="N330" i="48"/>
  <c r="N331" i="48"/>
  <c r="N332" i="48"/>
  <c r="N333" i="48"/>
  <c r="N334" i="48"/>
  <c r="N335" i="48"/>
  <c r="N336" i="48"/>
  <c r="N337" i="48"/>
  <c r="N338" i="48"/>
  <c r="N339" i="48"/>
  <c r="N340" i="48"/>
  <c r="N341" i="48"/>
  <c r="N342" i="48"/>
  <c r="N343" i="48"/>
  <c r="N344" i="48"/>
  <c r="N345" i="48"/>
  <c r="N346" i="48"/>
  <c r="N347" i="48"/>
  <c r="N348" i="48"/>
  <c r="N349" i="48"/>
  <c r="N350" i="48"/>
  <c r="N351" i="48"/>
  <c r="N352" i="48"/>
  <c r="N353" i="48"/>
  <c r="N354" i="48"/>
  <c r="N355" i="48"/>
  <c r="N356" i="48"/>
  <c r="N357" i="48"/>
  <c r="N358" i="48"/>
  <c r="N359" i="48"/>
  <c r="N360" i="48"/>
  <c r="N361" i="48"/>
  <c r="N362" i="48"/>
  <c r="N363" i="48"/>
  <c r="N364" i="48"/>
  <c r="N365" i="48"/>
  <c r="N366" i="48"/>
  <c r="N367" i="48"/>
  <c r="N368" i="48"/>
  <c r="N369" i="48"/>
  <c r="Y5" i="43"/>
  <c r="R15" i="48"/>
  <c r="I24" i="48"/>
  <c r="I18" i="48"/>
  <c r="J12" i="45"/>
  <c r="L12" i="45" s="1"/>
  <c r="L11" i="45"/>
  <c r="L7" i="45"/>
  <c r="L6" i="45"/>
  <c r="L5" i="45"/>
  <c r="D13" i="45"/>
  <c r="C13" i="45"/>
  <c r="C27" i="45"/>
  <c r="D27" i="45"/>
  <c r="C28" i="45"/>
  <c r="D28" i="45"/>
  <c r="C29" i="45"/>
  <c r="D29" i="45"/>
  <c r="C30" i="45"/>
  <c r="D30" i="45"/>
  <c r="C31" i="45"/>
  <c r="D31" i="45"/>
  <c r="C32" i="45"/>
  <c r="D32" i="45"/>
  <c r="C33" i="45"/>
  <c r="D33" i="45"/>
  <c r="C34" i="45"/>
  <c r="D34" i="45"/>
  <c r="D24" i="45"/>
  <c r="D23" i="45"/>
  <c r="D22" i="45"/>
  <c r="C22" i="45"/>
  <c r="D21" i="45"/>
  <c r="C21" i="45"/>
  <c r="D20" i="45"/>
  <c r="C20" i="45"/>
  <c r="D19" i="45"/>
  <c r="C19" i="45"/>
  <c r="D18" i="45"/>
  <c r="C18" i="45"/>
  <c r="D17" i="45"/>
  <c r="E19" i="45"/>
  <c r="E18" i="45"/>
  <c r="A234" i="28"/>
  <c r="B234" i="28"/>
  <c r="D234" i="28"/>
  <c r="J234" i="28"/>
  <c r="K234" i="28"/>
  <c r="L234" i="28"/>
  <c r="A235" i="28"/>
  <c r="B235" i="28"/>
  <c r="D235" i="28"/>
  <c r="J235" i="28"/>
  <c r="K235" i="28"/>
  <c r="L235" i="28"/>
  <c r="A236" i="28"/>
  <c r="B236" i="28"/>
  <c r="D236" i="28"/>
  <c r="J236" i="28"/>
  <c r="K236" i="28"/>
  <c r="L236" i="28"/>
  <c r="A237" i="28"/>
  <c r="H237" i="28" s="1"/>
  <c r="B237" i="28"/>
  <c r="D237" i="28"/>
  <c r="J237" i="28"/>
  <c r="K237" i="28"/>
  <c r="L237" i="28"/>
  <c r="A238" i="28"/>
  <c r="B238" i="28"/>
  <c r="D238" i="28"/>
  <c r="J238" i="28"/>
  <c r="K238" i="28"/>
  <c r="L238" i="28"/>
  <c r="A239" i="28"/>
  <c r="B239" i="28"/>
  <c r="D239" i="28"/>
  <c r="J239" i="28"/>
  <c r="K239" i="28"/>
  <c r="L239" i="28"/>
  <c r="A240" i="28"/>
  <c r="B240" i="28"/>
  <c r="D240" i="28"/>
  <c r="J240" i="28"/>
  <c r="K240" i="28"/>
  <c r="L240" i="28"/>
  <c r="A241" i="28"/>
  <c r="H241" i="28" s="1"/>
  <c r="B241" i="28"/>
  <c r="D241" i="28"/>
  <c r="J241" i="28"/>
  <c r="K241" i="28"/>
  <c r="L241" i="28"/>
  <c r="A242" i="28"/>
  <c r="B242" i="28"/>
  <c r="D242" i="28"/>
  <c r="J242" i="28"/>
  <c r="K242" i="28"/>
  <c r="L242" i="28"/>
  <c r="A243" i="28"/>
  <c r="B243" i="28"/>
  <c r="D243" i="28"/>
  <c r="J243" i="28"/>
  <c r="K243" i="28"/>
  <c r="L243" i="28"/>
  <c r="A244" i="28"/>
  <c r="B244" i="28"/>
  <c r="D244" i="28"/>
  <c r="J244" i="28"/>
  <c r="K244" i="28"/>
  <c r="L244" i="28"/>
  <c r="A245" i="28"/>
  <c r="H245" i="28" s="1"/>
  <c r="B245" i="28"/>
  <c r="D245" i="28"/>
  <c r="J245" i="28"/>
  <c r="K245" i="28"/>
  <c r="L245" i="28"/>
  <c r="A246" i="28"/>
  <c r="B246" i="28"/>
  <c r="D246" i="28"/>
  <c r="J246" i="28"/>
  <c r="K246" i="28"/>
  <c r="L246" i="28"/>
  <c r="A228" i="28"/>
  <c r="B228" i="28"/>
  <c r="D228" i="28"/>
  <c r="J228" i="28"/>
  <c r="K228" i="28"/>
  <c r="L228" i="28"/>
  <c r="A229" i="28"/>
  <c r="B229" i="28"/>
  <c r="D229" i="28"/>
  <c r="J229" i="28"/>
  <c r="K229" i="28"/>
  <c r="L229" i="28"/>
  <c r="A230" i="28"/>
  <c r="H230" i="28" s="1"/>
  <c r="B230" i="28"/>
  <c r="D230" i="28"/>
  <c r="J230" i="28"/>
  <c r="K230" i="28"/>
  <c r="L230" i="28"/>
  <c r="A231" i="28"/>
  <c r="B231" i="28"/>
  <c r="D231" i="28"/>
  <c r="J231" i="28"/>
  <c r="K231" i="28"/>
  <c r="L231" i="28"/>
  <c r="A232" i="28"/>
  <c r="B232" i="28"/>
  <c r="D232" i="28"/>
  <c r="J232" i="28"/>
  <c r="K232" i="28"/>
  <c r="L232" i="28"/>
  <c r="A233" i="28"/>
  <c r="B233" i="28"/>
  <c r="D233" i="28"/>
  <c r="J233" i="28"/>
  <c r="K233" i="28"/>
  <c r="L233" i="28"/>
  <c r="R3" i="48"/>
  <c r="R4" i="48"/>
  <c r="R5" i="48"/>
  <c r="R6" i="48"/>
  <c r="R7" i="48"/>
  <c r="R8" i="48"/>
  <c r="R9" i="48"/>
  <c r="R10" i="48"/>
  <c r="R11" i="48"/>
  <c r="R12" i="48"/>
  <c r="R13" i="48"/>
  <c r="R14" i="48"/>
  <c r="R16" i="48"/>
  <c r="R17" i="48"/>
  <c r="R18" i="48"/>
  <c r="R19" i="48"/>
  <c r="R20" i="48"/>
  <c r="R21" i="48"/>
  <c r="R22" i="48"/>
  <c r="R23" i="48"/>
  <c r="R24" i="48"/>
  <c r="R25" i="48"/>
  <c r="R26" i="48"/>
  <c r="R27" i="48"/>
  <c r="R28" i="48"/>
  <c r="R29" i="48"/>
  <c r="R30" i="48"/>
  <c r="R31" i="48"/>
  <c r="R32" i="48"/>
  <c r="R33" i="48"/>
  <c r="R34" i="48"/>
  <c r="R35" i="48"/>
  <c r="R36" i="48"/>
  <c r="R37" i="48"/>
  <c r="R38" i="48"/>
  <c r="R39" i="48"/>
  <c r="R40" i="48"/>
  <c r="R41" i="48"/>
  <c r="R42" i="48"/>
  <c r="R43" i="48"/>
  <c r="R44" i="48"/>
  <c r="R45" i="48"/>
  <c r="R46" i="48"/>
  <c r="R47" i="48"/>
  <c r="R48" i="48"/>
  <c r="R49" i="48"/>
  <c r="R50" i="48"/>
  <c r="R51" i="48"/>
  <c r="R52" i="48"/>
  <c r="R53" i="48"/>
  <c r="R54" i="48"/>
  <c r="R55" i="48"/>
  <c r="R56" i="48"/>
  <c r="R57" i="48"/>
  <c r="R58" i="48"/>
  <c r="R59" i="48"/>
  <c r="R60" i="48"/>
  <c r="R61" i="48"/>
  <c r="R62" i="48"/>
  <c r="R63" i="48"/>
  <c r="R64" i="48"/>
  <c r="R65" i="48"/>
  <c r="R66" i="48"/>
  <c r="R67" i="48"/>
  <c r="R68" i="48"/>
  <c r="R69" i="48"/>
  <c r="R70" i="48"/>
  <c r="R71" i="48"/>
  <c r="R72" i="48"/>
  <c r="R73" i="48"/>
  <c r="R74" i="48"/>
  <c r="R75" i="48"/>
  <c r="R76" i="48"/>
  <c r="R77" i="48"/>
  <c r="R78" i="48"/>
  <c r="R79" i="48"/>
  <c r="R80" i="48"/>
  <c r="R81" i="48"/>
  <c r="R82" i="48"/>
  <c r="R83" i="48"/>
  <c r="R84" i="48"/>
  <c r="R85" i="48"/>
  <c r="R86" i="48"/>
  <c r="R87" i="48"/>
  <c r="R88" i="48"/>
  <c r="R89" i="48"/>
  <c r="R90" i="48"/>
  <c r="R91" i="48"/>
  <c r="R92" i="48"/>
  <c r="R93" i="48"/>
  <c r="R94" i="48"/>
  <c r="R95" i="48"/>
  <c r="R96" i="48"/>
  <c r="R97" i="48"/>
  <c r="R98" i="48"/>
  <c r="R99" i="48"/>
  <c r="R100" i="48"/>
  <c r="R101" i="48"/>
  <c r="R102" i="48"/>
  <c r="R103" i="48"/>
  <c r="R104" i="48"/>
  <c r="R105" i="48"/>
  <c r="R106" i="48"/>
  <c r="R107" i="48"/>
  <c r="R108" i="48"/>
  <c r="R109" i="48"/>
  <c r="R110" i="48"/>
  <c r="R111" i="48"/>
  <c r="R112" i="48"/>
  <c r="R113" i="48"/>
  <c r="R114" i="48"/>
  <c r="R115" i="48"/>
  <c r="R116" i="48"/>
  <c r="R117" i="48"/>
  <c r="R118" i="48"/>
  <c r="R119" i="48"/>
  <c r="R120" i="48"/>
  <c r="R121" i="48"/>
  <c r="R122" i="48"/>
  <c r="R123" i="48"/>
  <c r="R124" i="48"/>
  <c r="R125" i="48"/>
  <c r="R126" i="48"/>
  <c r="R127" i="48"/>
  <c r="R128" i="48"/>
  <c r="R129" i="48"/>
  <c r="R130" i="48"/>
  <c r="R131" i="48"/>
  <c r="R132" i="48"/>
  <c r="R133" i="48"/>
  <c r="R134" i="48"/>
  <c r="R135" i="48"/>
  <c r="R136" i="48"/>
  <c r="R137" i="48"/>
  <c r="R138" i="48"/>
  <c r="R139" i="48"/>
  <c r="R140" i="48"/>
  <c r="R141" i="48"/>
  <c r="R142" i="48"/>
  <c r="R143" i="48"/>
  <c r="R144" i="48"/>
  <c r="R145" i="48"/>
  <c r="R146" i="48"/>
  <c r="R147" i="48"/>
  <c r="R148" i="48"/>
  <c r="R149" i="48"/>
  <c r="R150" i="48"/>
  <c r="R151" i="48"/>
  <c r="R152" i="48"/>
  <c r="R153" i="48"/>
  <c r="R154" i="48"/>
  <c r="R155" i="48"/>
  <c r="R156" i="48"/>
  <c r="R157" i="48"/>
  <c r="R158" i="48"/>
  <c r="R159" i="48"/>
  <c r="R160" i="48"/>
  <c r="R161" i="48"/>
  <c r="R162" i="48"/>
  <c r="R163" i="48"/>
  <c r="R164" i="48"/>
  <c r="R165" i="48"/>
  <c r="R166" i="48"/>
  <c r="R167" i="48"/>
  <c r="R168" i="48"/>
  <c r="R169" i="48"/>
  <c r="R170" i="48"/>
  <c r="R171" i="48"/>
  <c r="R172" i="48"/>
  <c r="R173" i="48"/>
  <c r="R174" i="48"/>
  <c r="R175" i="48"/>
  <c r="R176" i="48"/>
  <c r="R177" i="48"/>
  <c r="R178" i="48"/>
  <c r="R179" i="48"/>
  <c r="R180" i="48"/>
  <c r="R181" i="48"/>
  <c r="R182" i="48"/>
  <c r="R183" i="48"/>
  <c r="R184" i="48"/>
  <c r="R185" i="48"/>
  <c r="R186" i="48"/>
  <c r="R187" i="48"/>
  <c r="R188" i="48"/>
  <c r="R189" i="48"/>
  <c r="R190" i="48"/>
  <c r="R191" i="48"/>
  <c r="R192" i="48"/>
  <c r="R193" i="48"/>
  <c r="R194" i="48"/>
  <c r="R195" i="48"/>
  <c r="R196" i="48"/>
  <c r="R197" i="48"/>
  <c r="R198" i="48"/>
  <c r="R199" i="48"/>
  <c r="R200" i="48"/>
  <c r="R201" i="48"/>
  <c r="R202" i="48"/>
  <c r="R203" i="48"/>
  <c r="R204" i="48"/>
  <c r="R205" i="48"/>
  <c r="R206" i="48"/>
  <c r="R207" i="48"/>
  <c r="R208" i="48"/>
  <c r="R209" i="48"/>
  <c r="R210" i="48"/>
  <c r="R211" i="48"/>
  <c r="R212" i="48"/>
  <c r="R213" i="48"/>
  <c r="R214" i="48"/>
  <c r="R215" i="48"/>
  <c r="R216" i="48"/>
  <c r="R217" i="48"/>
  <c r="R218" i="48"/>
  <c r="R219" i="48"/>
  <c r="R220" i="48"/>
  <c r="R221" i="48"/>
  <c r="R222" i="48"/>
  <c r="R223" i="48"/>
  <c r="R224" i="48"/>
  <c r="R225" i="48"/>
  <c r="R226" i="48"/>
  <c r="R227" i="48"/>
  <c r="R228" i="48"/>
  <c r="R229" i="48"/>
  <c r="R230" i="48"/>
  <c r="R231" i="48"/>
  <c r="R232" i="48"/>
  <c r="R233" i="48"/>
  <c r="R234" i="48"/>
  <c r="R235" i="48"/>
  <c r="R236" i="48"/>
  <c r="R237" i="48"/>
  <c r="R238" i="48"/>
  <c r="R239" i="48"/>
  <c r="R240" i="48"/>
  <c r="R241" i="48"/>
  <c r="R242" i="48"/>
  <c r="R243" i="48"/>
  <c r="R244" i="48"/>
  <c r="R245" i="48"/>
  <c r="R246" i="48"/>
  <c r="R247" i="48"/>
  <c r="R248" i="48"/>
  <c r="R249" i="48"/>
  <c r="R250" i="48"/>
  <c r="R251" i="48"/>
  <c r="R252" i="48"/>
  <c r="R253" i="48"/>
  <c r="R254" i="48"/>
  <c r="R255" i="48"/>
  <c r="R256" i="48"/>
  <c r="R257" i="48"/>
  <c r="R258" i="48"/>
  <c r="R259" i="48"/>
  <c r="R260" i="48"/>
  <c r="R261" i="48"/>
  <c r="R262" i="48"/>
  <c r="R263" i="48"/>
  <c r="R264" i="48"/>
  <c r="R265" i="48"/>
  <c r="R266" i="48"/>
  <c r="R267" i="48"/>
  <c r="R268" i="48"/>
  <c r="R269" i="48"/>
  <c r="R270" i="48"/>
  <c r="R271" i="48"/>
  <c r="R272" i="48"/>
  <c r="R273" i="48"/>
  <c r="R274" i="48"/>
  <c r="R275" i="48"/>
  <c r="R276" i="48"/>
  <c r="R277" i="48"/>
  <c r="R278" i="48"/>
  <c r="R279" i="48"/>
  <c r="R280" i="48"/>
  <c r="R281" i="48"/>
  <c r="R282" i="48"/>
  <c r="R283" i="48"/>
  <c r="R284" i="48"/>
  <c r="R285" i="48"/>
  <c r="R286" i="48"/>
  <c r="R287" i="48"/>
  <c r="R288" i="48"/>
  <c r="R289" i="48"/>
  <c r="R290" i="48"/>
  <c r="R291" i="48"/>
  <c r="R292" i="48"/>
  <c r="R293" i="48"/>
  <c r="R294" i="48"/>
  <c r="R295" i="48"/>
  <c r="R296" i="48"/>
  <c r="R297" i="48"/>
  <c r="R298" i="48"/>
  <c r="R299" i="48"/>
  <c r="R300" i="48"/>
  <c r="R301" i="48"/>
  <c r="R302" i="48"/>
  <c r="R303" i="48"/>
  <c r="R304" i="48"/>
  <c r="R305" i="48"/>
  <c r="R306" i="48"/>
  <c r="R307" i="48"/>
  <c r="R308" i="48"/>
  <c r="R309" i="48"/>
  <c r="R310" i="48"/>
  <c r="R311" i="48"/>
  <c r="R312" i="48"/>
  <c r="R313" i="48"/>
  <c r="R314" i="48"/>
  <c r="R315" i="48"/>
  <c r="R316" i="48"/>
  <c r="R317" i="48"/>
  <c r="R318" i="48"/>
  <c r="R319" i="48"/>
  <c r="R320" i="48"/>
  <c r="R321" i="48"/>
  <c r="R322" i="48"/>
  <c r="R323" i="48"/>
  <c r="R324" i="48"/>
  <c r="R325" i="48"/>
  <c r="R326" i="48"/>
  <c r="R327" i="48"/>
  <c r="R328" i="48"/>
  <c r="R329" i="48"/>
  <c r="R330" i="48"/>
  <c r="R331" i="48"/>
  <c r="R332" i="48"/>
  <c r="R333" i="48"/>
  <c r="R334" i="48"/>
  <c r="R335" i="48"/>
  <c r="R336" i="48"/>
  <c r="R337" i="48"/>
  <c r="R338" i="48"/>
  <c r="R339" i="48"/>
  <c r="R340" i="48"/>
  <c r="R341" i="48"/>
  <c r="R342" i="48"/>
  <c r="R343" i="48"/>
  <c r="R344" i="48"/>
  <c r="R345" i="48"/>
  <c r="R346" i="48"/>
  <c r="R347" i="48"/>
  <c r="R348" i="48"/>
  <c r="R349" i="48"/>
  <c r="R350" i="48"/>
  <c r="R351" i="48"/>
  <c r="R352" i="48"/>
  <c r="R353" i="48"/>
  <c r="R354" i="48"/>
  <c r="R355" i="48"/>
  <c r="R356" i="48"/>
  <c r="R357" i="48"/>
  <c r="R358" i="48"/>
  <c r="R359" i="48"/>
  <c r="R360" i="48"/>
  <c r="R361" i="48"/>
  <c r="R362" i="48"/>
  <c r="R363" i="48"/>
  <c r="R364" i="48"/>
  <c r="R365" i="48"/>
  <c r="R366" i="48"/>
  <c r="R367" i="48"/>
  <c r="R368" i="48"/>
  <c r="R369" i="48"/>
  <c r="C12" i="48"/>
  <c r="L227" i="28"/>
  <c r="K227" i="28"/>
  <c r="J227" i="28"/>
  <c r="D227" i="28"/>
  <c r="B227" i="28"/>
  <c r="A227" i="28"/>
  <c r="H227" i="28" s="1"/>
  <c r="L226" i="28"/>
  <c r="K226" i="28"/>
  <c r="J226" i="28"/>
  <c r="D226" i="28"/>
  <c r="B226" i="28"/>
  <c r="A226" i="28"/>
  <c r="G226" i="28" s="1"/>
  <c r="L225" i="28"/>
  <c r="K225" i="28"/>
  <c r="J225" i="28"/>
  <c r="D225" i="28"/>
  <c r="B225" i="28"/>
  <c r="A225" i="28"/>
  <c r="H225" i="28" s="1"/>
  <c r="L224" i="28"/>
  <c r="K224" i="28"/>
  <c r="J224" i="28"/>
  <c r="D224" i="28"/>
  <c r="B224" i="28"/>
  <c r="A224" i="28"/>
  <c r="G224" i="28" s="1"/>
  <c r="L223" i="28"/>
  <c r="K223" i="28"/>
  <c r="J223" i="28"/>
  <c r="D223" i="28"/>
  <c r="B223" i="28"/>
  <c r="A223" i="28"/>
  <c r="H223" i="28" s="1"/>
  <c r="L222" i="28"/>
  <c r="K222" i="28"/>
  <c r="J222" i="28"/>
  <c r="D222" i="28"/>
  <c r="B222" i="28"/>
  <c r="A222" i="28"/>
  <c r="L221" i="28"/>
  <c r="K221" i="28"/>
  <c r="J221" i="28"/>
  <c r="D221" i="28"/>
  <c r="B221" i="28"/>
  <c r="A221" i="28"/>
  <c r="H221" i="28" s="1"/>
  <c r="L220" i="28"/>
  <c r="K220" i="28"/>
  <c r="J220" i="28"/>
  <c r="D220" i="28"/>
  <c r="B220" i="28"/>
  <c r="A220" i="28"/>
  <c r="G220" i="28" s="1"/>
  <c r="L219" i="28"/>
  <c r="K219" i="28"/>
  <c r="J219" i="28"/>
  <c r="D219" i="28"/>
  <c r="B219" i="28"/>
  <c r="A219" i="28"/>
  <c r="H219" i="28" s="1"/>
  <c r="L218" i="28"/>
  <c r="K218" i="28"/>
  <c r="J218" i="28"/>
  <c r="D218" i="28"/>
  <c r="B218" i="28"/>
  <c r="A218" i="28"/>
  <c r="G218" i="28" s="1"/>
  <c r="L217" i="28"/>
  <c r="K217" i="28"/>
  <c r="J217" i="28"/>
  <c r="D217" i="28"/>
  <c r="B217" i="28"/>
  <c r="A217" i="28"/>
  <c r="H217" i="28" s="1"/>
  <c r="L216" i="28"/>
  <c r="K216" i="28"/>
  <c r="J216" i="28"/>
  <c r="D216" i="28"/>
  <c r="B216" i="28"/>
  <c r="A216" i="28"/>
  <c r="G216" i="28" s="1"/>
  <c r="L215" i="28"/>
  <c r="K215" i="28"/>
  <c r="J215" i="28"/>
  <c r="D215" i="28"/>
  <c r="B215" i="28"/>
  <c r="A215" i="28"/>
  <c r="H215" i="28" s="1"/>
  <c r="L214" i="28"/>
  <c r="K214" i="28"/>
  <c r="J214" i="28"/>
  <c r="D214" i="28"/>
  <c r="B214" i="28"/>
  <c r="A214" i="28"/>
  <c r="L213" i="28"/>
  <c r="K213" i="28"/>
  <c r="J213" i="28"/>
  <c r="D213" i="28"/>
  <c r="B213" i="28"/>
  <c r="A213" i="28"/>
  <c r="H213" i="28" s="1"/>
  <c r="L212" i="28"/>
  <c r="K212" i="28"/>
  <c r="J212" i="28"/>
  <c r="D212" i="28"/>
  <c r="B212" i="28"/>
  <c r="A212" i="28"/>
  <c r="G212" i="28" s="1"/>
  <c r="L211" i="28"/>
  <c r="K211" i="28"/>
  <c r="J211" i="28"/>
  <c r="D211" i="28"/>
  <c r="B211" i="28"/>
  <c r="A211" i="28"/>
  <c r="H211" i="28" s="1"/>
  <c r="L210" i="28"/>
  <c r="K210" i="28"/>
  <c r="J210" i="28"/>
  <c r="D210" i="28"/>
  <c r="B210" i="28"/>
  <c r="A210" i="28"/>
  <c r="G210" i="28" s="1"/>
  <c r="L209" i="28"/>
  <c r="K209" i="28"/>
  <c r="J209" i="28"/>
  <c r="D209" i="28"/>
  <c r="B209" i="28"/>
  <c r="A209" i="28"/>
  <c r="H209" i="28" s="1"/>
  <c r="L208" i="28"/>
  <c r="K208" i="28"/>
  <c r="J208" i="28"/>
  <c r="D208" i="28"/>
  <c r="B208" i="28"/>
  <c r="A208" i="28"/>
  <c r="G208" i="28" s="1"/>
  <c r="L207" i="28"/>
  <c r="K207" i="28"/>
  <c r="J207" i="28"/>
  <c r="D207" i="28"/>
  <c r="B207" i="28"/>
  <c r="A207" i="28"/>
  <c r="H207" i="28" s="1"/>
  <c r="L206" i="28"/>
  <c r="K206" i="28"/>
  <c r="J206" i="28"/>
  <c r="D206" i="28"/>
  <c r="B206" i="28"/>
  <c r="A206" i="28"/>
  <c r="L205" i="28"/>
  <c r="K205" i="28"/>
  <c r="J205" i="28"/>
  <c r="D205" i="28"/>
  <c r="B205" i="28"/>
  <c r="A205" i="28"/>
  <c r="H205" i="28" s="1"/>
  <c r="L204" i="28"/>
  <c r="K204" i="28"/>
  <c r="J204" i="28"/>
  <c r="D204" i="28"/>
  <c r="B204" i="28"/>
  <c r="A204" i="28"/>
  <c r="G204" i="28" s="1"/>
  <c r="L203" i="28"/>
  <c r="K203" i="28"/>
  <c r="J203" i="28"/>
  <c r="D203" i="28"/>
  <c r="B203" i="28"/>
  <c r="A203" i="28"/>
  <c r="H203" i="28" s="1"/>
  <c r="L202" i="28"/>
  <c r="K202" i="28"/>
  <c r="J202" i="28"/>
  <c r="D202" i="28"/>
  <c r="B202" i="28"/>
  <c r="A202" i="28"/>
  <c r="G202" i="28" s="1"/>
  <c r="L201" i="28"/>
  <c r="K201" i="28"/>
  <c r="J201" i="28"/>
  <c r="D201" i="28"/>
  <c r="B201" i="28"/>
  <c r="A201" i="28"/>
  <c r="H201" i="28" s="1"/>
  <c r="L200" i="28"/>
  <c r="K200" i="28"/>
  <c r="J200" i="28"/>
  <c r="D200" i="28"/>
  <c r="B200" i="28"/>
  <c r="A200" i="28"/>
  <c r="G200" i="28" s="1"/>
  <c r="L199" i="28"/>
  <c r="K199" i="28"/>
  <c r="J199" i="28"/>
  <c r="D199" i="28"/>
  <c r="B199" i="28"/>
  <c r="A199" i="28"/>
  <c r="H199" i="28" s="1"/>
  <c r="L198" i="28"/>
  <c r="K198" i="28"/>
  <c r="J198" i="28"/>
  <c r="D198" i="28"/>
  <c r="B198" i="28"/>
  <c r="A198" i="28"/>
  <c r="L197" i="28"/>
  <c r="K197" i="28"/>
  <c r="J197" i="28"/>
  <c r="D197" i="28"/>
  <c r="B197" i="28"/>
  <c r="A197" i="28"/>
  <c r="H197" i="28" s="1"/>
  <c r="L196" i="28"/>
  <c r="K196" i="28"/>
  <c r="J196" i="28"/>
  <c r="D196" i="28"/>
  <c r="B196" i="28"/>
  <c r="A196" i="28"/>
  <c r="G196" i="28" s="1"/>
  <c r="L195" i="28"/>
  <c r="K195" i="28"/>
  <c r="J195" i="28"/>
  <c r="D195" i="28"/>
  <c r="B195" i="28"/>
  <c r="A195" i="28"/>
  <c r="H195" i="28" s="1"/>
  <c r="L194" i="28"/>
  <c r="K194" i="28"/>
  <c r="J194" i="28"/>
  <c r="D194" i="28"/>
  <c r="B194" i="28"/>
  <c r="A194" i="28"/>
  <c r="G194" i="28" s="1"/>
  <c r="L193" i="28"/>
  <c r="K193" i="28"/>
  <c r="J193" i="28"/>
  <c r="D193" i="28"/>
  <c r="B193" i="28"/>
  <c r="A193" i="28"/>
  <c r="H193" i="28" s="1"/>
  <c r="L192" i="28"/>
  <c r="K192" i="28"/>
  <c r="J192" i="28"/>
  <c r="D192" i="28"/>
  <c r="B192" i="28"/>
  <c r="A192" i="28"/>
  <c r="G192" i="28" s="1"/>
  <c r="L191" i="28"/>
  <c r="K191" i="28"/>
  <c r="J191" i="28"/>
  <c r="D191" i="28"/>
  <c r="B191" i="28"/>
  <c r="A191" i="28"/>
  <c r="H191" i="28" s="1"/>
  <c r="L190" i="28"/>
  <c r="K190" i="28"/>
  <c r="J190" i="28"/>
  <c r="D190" i="28"/>
  <c r="B190" i="28"/>
  <c r="A190" i="28"/>
  <c r="L189" i="28"/>
  <c r="K189" i="28"/>
  <c r="J189" i="28"/>
  <c r="D189" i="28"/>
  <c r="B189" i="28"/>
  <c r="A189" i="28"/>
  <c r="H189" i="28" s="1"/>
  <c r="L188" i="28"/>
  <c r="K188" i="28"/>
  <c r="J188" i="28"/>
  <c r="D188" i="28"/>
  <c r="B188" i="28"/>
  <c r="A188" i="28"/>
  <c r="G188" i="28" s="1"/>
  <c r="L187" i="28"/>
  <c r="K187" i="28"/>
  <c r="J187" i="28"/>
  <c r="D187" i="28"/>
  <c r="B187" i="28"/>
  <c r="A187" i="28"/>
  <c r="H187" i="28" s="1"/>
  <c r="L186" i="28"/>
  <c r="K186" i="28"/>
  <c r="J186" i="28"/>
  <c r="D186" i="28"/>
  <c r="B186" i="28"/>
  <c r="A186" i="28"/>
  <c r="G186" i="28" s="1"/>
  <c r="L185" i="28"/>
  <c r="K185" i="28"/>
  <c r="J185" i="28"/>
  <c r="D185" i="28"/>
  <c r="B185" i="28"/>
  <c r="A185" i="28"/>
  <c r="H185" i="28" s="1"/>
  <c r="L184" i="28"/>
  <c r="K184" i="28"/>
  <c r="J184" i="28"/>
  <c r="D184" i="28"/>
  <c r="B184" i="28"/>
  <c r="A184" i="28"/>
  <c r="G184" i="28" s="1"/>
  <c r="L183" i="28"/>
  <c r="K183" i="28"/>
  <c r="J183" i="28"/>
  <c r="D183" i="28"/>
  <c r="B183" i="28"/>
  <c r="A183" i="28"/>
  <c r="H183" i="28" s="1"/>
  <c r="L182" i="28"/>
  <c r="K182" i="28"/>
  <c r="J182" i="28"/>
  <c r="D182" i="28"/>
  <c r="B182" i="28"/>
  <c r="A182" i="28"/>
  <c r="L181" i="28"/>
  <c r="K181" i="28"/>
  <c r="J181" i="28"/>
  <c r="D181" i="28"/>
  <c r="B181" i="28"/>
  <c r="A181" i="28"/>
  <c r="H181" i="28" s="1"/>
  <c r="L180" i="28"/>
  <c r="K180" i="28"/>
  <c r="J180" i="28"/>
  <c r="D180" i="28"/>
  <c r="B180" i="28"/>
  <c r="A180" i="28"/>
  <c r="G180" i="28" s="1"/>
  <c r="L179" i="28"/>
  <c r="K179" i="28"/>
  <c r="J179" i="28"/>
  <c r="D179" i="28"/>
  <c r="B179" i="28"/>
  <c r="A179" i="28"/>
  <c r="H179" i="28" s="1"/>
  <c r="L178" i="28"/>
  <c r="K178" i="28"/>
  <c r="J178" i="28"/>
  <c r="D178" i="28"/>
  <c r="B178" i="28"/>
  <c r="A178" i="28"/>
  <c r="G178" i="28" s="1"/>
  <c r="L177" i="28"/>
  <c r="K177" i="28"/>
  <c r="J177" i="28"/>
  <c r="D177" i="28"/>
  <c r="B177" i="28"/>
  <c r="A177" i="28"/>
  <c r="H177" i="28" s="1"/>
  <c r="L176" i="28"/>
  <c r="K176" i="28"/>
  <c r="J176" i="28"/>
  <c r="D176" i="28"/>
  <c r="B176" i="28"/>
  <c r="A176" i="28"/>
  <c r="G176" i="28" s="1"/>
  <c r="L175" i="28"/>
  <c r="K175" i="28"/>
  <c r="J175" i="28"/>
  <c r="D175" i="28"/>
  <c r="B175" i="28"/>
  <c r="A175" i="28"/>
  <c r="H175" i="28" s="1"/>
  <c r="L174" i="28"/>
  <c r="K174" i="28"/>
  <c r="J174" i="28"/>
  <c r="D174" i="28"/>
  <c r="B174" i="28"/>
  <c r="A174" i="28"/>
  <c r="L173" i="28"/>
  <c r="K173" i="28"/>
  <c r="J173" i="28"/>
  <c r="D173" i="28"/>
  <c r="B173" i="28"/>
  <c r="A173" i="28"/>
  <c r="H173" i="28" s="1"/>
  <c r="L172" i="28"/>
  <c r="K172" i="28"/>
  <c r="J172" i="28"/>
  <c r="D172" i="28"/>
  <c r="B172" i="28"/>
  <c r="A172" i="28"/>
  <c r="G172" i="28" s="1"/>
  <c r="L171" i="28"/>
  <c r="K171" i="28"/>
  <c r="J171" i="28"/>
  <c r="D171" i="28"/>
  <c r="B171" i="28"/>
  <c r="A171" i="28"/>
  <c r="H171" i="28" s="1"/>
  <c r="L170" i="28"/>
  <c r="K170" i="28"/>
  <c r="J170" i="28"/>
  <c r="D170" i="28"/>
  <c r="B170" i="28"/>
  <c r="A170" i="28"/>
  <c r="G170" i="28" s="1"/>
  <c r="L169" i="28"/>
  <c r="K169" i="28"/>
  <c r="J169" i="28"/>
  <c r="D169" i="28"/>
  <c r="B169" i="28"/>
  <c r="A169" i="28"/>
  <c r="H169" i="28" s="1"/>
  <c r="L168" i="28"/>
  <c r="K168" i="28"/>
  <c r="J168" i="28"/>
  <c r="D168" i="28"/>
  <c r="B168" i="28"/>
  <c r="A168" i="28"/>
  <c r="G168" i="28" s="1"/>
  <c r="L167" i="28"/>
  <c r="K167" i="28"/>
  <c r="J167" i="28"/>
  <c r="D167" i="28"/>
  <c r="B167" i="28"/>
  <c r="A167" i="28"/>
  <c r="H167" i="28" s="1"/>
  <c r="L166" i="28"/>
  <c r="K166" i="28"/>
  <c r="J166" i="28"/>
  <c r="D166" i="28"/>
  <c r="B166" i="28"/>
  <c r="A166" i="28"/>
  <c r="L165" i="28"/>
  <c r="K165" i="28"/>
  <c r="J165" i="28"/>
  <c r="D165" i="28"/>
  <c r="B165" i="28"/>
  <c r="A165" i="28"/>
  <c r="H165" i="28" s="1"/>
  <c r="L164" i="28"/>
  <c r="K164" i="28"/>
  <c r="J164" i="28"/>
  <c r="D164" i="28"/>
  <c r="B164" i="28"/>
  <c r="A164" i="28"/>
  <c r="G164" i="28" s="1"/>
  <c r="L163" i="28"/>
  <c r="K163" i="28"/>
  <c r="J163" i="28"/>
  <c r="D163" i="28"/>
  <c r="B163" i="28"/>
  <c r="A163" i="28"/>
  <c r="H163" i="28" s="1"/>
  <c r="L162" i="28"/>
  <c r="K162" i="28"/>
  <c r="J162" i="28"/>
  <c r="D162" i="28"/>
  <c r="B162" i="28"/>
  <c r="A162" i="28"/>
  <c r="G162" i="28" s="1"/>
  <c r="L161" i="28"/>
  <c r="K161" i="28"/>
  <c r="J161" i="28"/>
  <c r="D161" i="28"/>
  <c r="B161" i="28"/>
  <c r="A161" i="28"/>
  <c r="H161" i="28" s="1"/>
  <c r="L160" i="28"/>
  <c r="K160" i="28"/>
  <c r="J160" i="28"/>
  <c r="D160" i="28"/>
  <c r="B160" i="28"/>
  <c r="A160" i="28"/>
  <c r="G160" i="28" s="1"/>
  <c r="L159" i="28"/>
  <c r="K159" i="28"/>
  <c r="J159" i="28"/>
  <c r="D159" i="28"/>
  <c r="B159" i="28"/>
  <c r="A159" i="28"/>
  <c r="H159" i="28" s="1"/>
  <c r="L158" i="28"/>
  <c r="K158" i="28"/>
  <c r="J158" i="28"/>
  <c r="D158" i="28"/>
  <c r="B158" i="28"/>
  <c r="A158" i="28"/>
  <c r="L157" i="28"/>
  <c r="K157" i="28"/>
  <c r="J157" i="28"/>
  <c r="D157" i="28"/>
  <c r="B157" i="28"/>
  <c r="A157" i="28"/>
  <c r="H157" i="28" s="1"/>
  <c r="L156" i="28"/>
  <c r="K156" i="28"/>
  <c r="J156" i="28"/>
  <c r="D156" i="28"/>
  <c r="B156" i="28"/>
  <c r="A156" i="28"/>
  <c r="G156" i="28" s="1"/>
  <c r="L155" i="28"/>
  <c r="K155" i="28"/>
  <c r="J155" i="28"/>
  <c r="D155" i="28"/>
  <c r="B155" i="28"/>
  <c r="A155" i="28"/>
  <c r="H155" i="28" s="1"/>
  <c r="L154" i="28"/>
  <c r="K154" i="28"/>
  <c r="J154" i="28"/>
  <c r="D154" i="28"/>
  <c r="B154" i="28"/>
  <c r="A154" i="28"/>
  <c r="G154" i="28" s="1"/>
  <c r="L153" i="28"/>
  <c r="K153" i="28"/>
  <c r="J153" i="28"/>
  <c r="D153" i="28"/>
  <c r="B153" i="28"/>
  <c r="A153" i="28"/>
  <c r="H153" i="28" s="1"/>
  <c r="L152" i="28"/>
  <c r="K152" i="28"/>
  <c r="J152" i="28"/>
  <c r="D152" i="28"/>
  <c r="B152" i="28"/>
  <c r="A152" i="28"/>
  <c r="G152" i="28" s="1"/>
  <c r="L151" i="28"/>
  <c r="K151" i="28"/>
  <c r="J151" i="28"/>
  <c r="D151" i="28"/>
  <c r="B151" i="28"/>
  <c r="A151" i="28"/>
  <c r="G151" i="28" s="1"/>
  <c r="L150" i="28"/>
  <c r="K150" i="28"/>
  <c r="J150" i="28"/>
  <c r="D150" i="28"/>
  <c r="B150" i="28"/>
  <c r="A150" i="28"/>
  <c r="G150" i="28" s="1"/>
  <c r="L149" i="28"/>
  <c r="K149" i="28"/>
  <c r="J149" i="28"/>
  <c r="D149" i="28"/>
  <c r="B149" i="28"/>
  <c r="A149" i="28"/>
  <c r="G149" i="28" s="1"/>
  <c r="L148" i="28"/>
  <c r="K148" i="28"/>
  <c r="J148" i="28"/>
  <c r="D148" i="28"/>
  <c r="B148" i="28"/>
  <c r="A148" i="28"/>
  <c r="G148" i="28" s="1"/>
  <c r="L147" i="28"/>
  <c r="K147" i="28"/>
  <c r="J147" i="28"/>
  <c r="D147" i="28"/>
  <c r="B147" i="28"/>
  <c r="A147" i="28"/>
  <c r="G147" i="28" s="1"/>
  <c r="L146" i="28"/>
  <c r="K146" i="28"/>
  <c r="J146" i="28"/>
  <c r="D146" i="28"/>
  <c r="B146" i="28"/>
  <c r="A146" i="28"/>
  <c r="G146" i="28" s="1"/>
  <c r="L145" i="28"/>
  <c r="K145" i="28"/>
  <c r="J145" i="28"/>
  <c r="D145" i="28"/>
  <c r="B145" i="28"/>
  <c r="A145" i="28"/>
  <c r="G145" i="28" s="1"/>
  <c r="L144" i="28"/>
  <c r="K144" i="28"/>
  <c r="J144" i="28"/>
  <c r="D144" i="28"/>
  <c r="B144" i="28"/>
  <c r="A144" i="28"/>
  <c r="G144" i="28" s="1"/>
  <c r="L143" i="28"/>
  <c r="K143" i="28"/>
  <c r="J143" i="28"/>
  <c r="D143" i="28"/>
  <c r="B143" i="28"/>
  <c r="A143" i="28"/>
  <c r="G143" i="28" s="1"/>
  <c r="L142" i="28"/>
  <c r="K142" i="28"/>
  <c r="J142" i="28"/>
  <c r="D142" i="28"/>
  <c r="B142" i="28"/>
  <c r="A142" i="28"/>
  <c r="H142" i="28" s="1"/>
  <c r="L141" i="28"/>
  <c r="K141" i="28"/>
  <c r="J141" i="28"/>
  <c r="D141" i="28"/>
  <c r="B141" i="28"/>
  <c r="A141" i="28"/>
  <c r="G141" i="28" s="1"/>
  <c r="L140" i="28"/>
  <c r="K140" i="28"/>
  <c r="J140" i="28"/>
  <c r="D140" i="28"/>
  <c r="B140" i="28"/>
  <c r="A140" i="28"/>
  <c r="H140" i="28" s="1"/>
  <c r="L139" i="28"/>
  <c r="K139" i="28"/>
  <c r="J139" i="28"/>
  <c r="D139" i="28"/>
  <c r="B139" i="28"/>
  <c r="A139" i="28"/>
  <c r="G139" i="28" s="1"/>
  <c r="L138" i="28"/>
  <c r="K138" i="28"/>
  <c r="J138" i="28"/>
  <c r="D138" i="28"/>
  <c r="B138" i="28"/>
  <c r="A138" i="28"/>
  <c r="L137" i="28"/>
  <c r="K137" i="28"/>
  <c r="J137" i="28"/>
  <c r="D137" i="28"/>
  <c r="B137" i="28"/>
  <c r="A137" i="28"/>
  <c r="L136" i="28"/>
  <c r="K136" i="28"/>
  <c r="J136" i="28"/>
  <c r="D136" i="28"/>
  <c r="B136" i="28"/>
  <c r="A136" i="28"/>
  <c r="H136" i="28" s="1"/>
  <c r="L135" i="28"/>
  <c r="K135" i="28"/>
  <c r="J135" i="28"/>
  <c r="D135" i="28"/>
  <c r="B135" i="28"/>
  <c r="A135" i="28"/>
  <c r="G135" i="28" s="1"/>
  <c r="L134" i="28"/>
  <c r="K134" i="28"/>
  <c r="J134" i="28"/>
  <c r="D134" i="28"/>
  <c r="B134" i="28"/>
  <c r="A134" i="28"/>
  <c r="H134" i="28" s="1"/>
  <c r="L133" i="28"/>
  <c r="K133" i="28"/>
  <c r="J133" i="28"/>
  <c r="D133" i="28"/>
  <c r="B133" i="28"/>
  <c r="A133" i="28"/>
  <c r="G133" i="28" s="1"/>
  <c r="L132" i="28"/>
  <c r="K132" i="28"/>
  <c r="J132" i="28"/>
  <c r="D132" i="28"/>
  <c r="B132" i="28"/>
  <c r="A132" i="28"/>
  <c r="H132" i="28" s="1"/>
  <c r="L131" i="28"/>
  <c r="K131" i="28"/>
  <c r="J131" i="28"/>
  <c r="D131" i="28"/>
  <c r="B131" i="28"/>
  <c r="A131" i="28"/>
  <c r="G131" i="28" s="1"/>
  <c r="L130" i="28"/>
  <c r="K130" i="28"/>
  <c r="J130" i="28"/>
  <c r="D130" i="28"/>
  <c r="B130" i="28"/>
  <c r="A130" i="28"/>
  <c r="L129" i="28"/>
  <c r="K129" i="28"/>
  <c r="J129" i="28"/>
  <c r="D129" i="28"/>
  <c r="B129" i="28"/>
  <c r="A129" i="28"/>
  <c r="L128" i="28"/>
  <c r="K128" i="28"/>
  <c r="J128" i="28"/>
  <c r="D128" i="28"/>
  <c r="B128" i="28"/>
  <c r="A128" i="28"/>
  <c r="H128" i="28" s="1"/>
  <c r="L127" i="28"/>
  <c r="K127" i="28"/>
  <c r="J127" i="28"/>
  <c r="D127" i="28"/>
  <c r="B127" i="28"/>
  <c r="A127" i="28"/>
  <c r="G127" i="28" s="1"/>
  <c r="L126" i="28"/>
  <c r="K126" i="28"/>
  <c r="J126" i="28"/>
  <c r="D126" i="28"/>
  <c r="B126" i="28"/>
  <c r="A126" i="28"/>
  <c r="H126" i="28" s="1"/>
  <c r="L125" i="28"/>
  <c r="K125" i="28"/>
  <c r="J125" i="28"/>
  <c r="D125" i="28"/>
  <c r="B125" i="28"/>
  <c r="A125" i="28"/>
  <c r="G125" i="28" s="1"/>
  <c r="L124" i="28"/>
  <c r="K124" i="28"/>
  <c r="J124" i="28"/>
  <c r="D124" i="28"/>
  <c r="B124" i="28"/>
  <c r="A124" i="28"/>
  <c r="H124" i="28" s="1"/>
  <c r="L123" i="28"/>
  <c r="K123" i="28"/>
  <c r="J123" i="28"/>
  <c r="D123" i="28"/>
  <c r="B123" i="28"/>
  <c r="A123" i="28"/>
  <c r="G123" i="28" s="1"/>
  <c r="L122" i="28"/>
  <c r="K122" i="28"/>
  <c r="J122" i="28"/>
  <c r="D122" i="28"/>
  <c r="B122" i="28"/>
  <c r="A122" i="28"/>
  <c r="L121" i="28"/>
  <c r="K121" i="28"/>
  <c r="J121" i="28"/>
  <c r="D121" i="28"/>
  <c r="B121" i="28"/>
  <c r="A121" i="28"/>
  <c r="L120" i="28"/>
  <c r="K120" i="28"/>
  <c r="J120" i="28"/>
  <c r="D120" i="28"/>
  <c r="B120" i="28"/>
  <c r="A120" i="28"/>
  <c r="H120" i="28" s="1"/>
  <c r="L119" i="28"/>
  <c r="K119" i="28"/>
  <c r="J119" i="28"/>
  <c r="D119" i="28"/>
  <c r="B119" i="28"/>
  <c r="A119" i="28"/>
  <c r="G119" i="28" s="1"/>
  <c r="L118" i="28"/>
  <c r="K118" i="28"/>
  <c r="J118" i="28"/>
  <c r="D118" i="28"/>
  <c r="B118" i="28"/>
  <c r="A118" i="28"/>
  <c r="H118" i="28" s="1"/>
  <c r="L117" i="28"/>
  <c r="K117" i="28"/>
  <c r="J117" i="28"/>
  <c r="D117" i="28"/>
  <c r="B117" i="28"/>
  <c r="A117" i="28"/>
  <c r="G117" i="28" s="1"/>
  <c r="L116" i="28"/>
  <c r="K116" i="28"/>
  <c r="J116" i="28"/>
  <c r="D116" i="28"/>
  <c r="B116" i="28"/>
  <c r="A116" i="28"/>
  <c r="H116" i="28" s="1"/>
  <c r="L115" i="28"/>
  <c r="K115" i="28"/>
  <c r="J115" i="28"/>
  <c r="D115" i="28"/>
  <c r="B115" i="28"/>
  <c r="A115" i="28"/>
  <c r="G115" i="28" s="1"/>
  <c r="L114" i="28"/>
  <c r="K114" i="28"/>
  <c r="J114" i="28"/>
  <c r="D114" i="28"/>
  <c r="B114" i="28"/>
  <c r="A114" i="28"/>
  <c r="L113" i="28"/>
  <c r="K113" i="28"/>
  <c r="J113" i="28"/>
  <c r="D113" i="28"/>
  <c r="B113" i="28"/>
  <c r="A113" i="28"/>
  <c r="L112" i="28"/>
  <c r="K112" i="28"/>
  <c r="J112" i="28"/>
  <c r="D112" i="28"/>
  <c r="B112" i="28"/>
  <c r="A112" i="28"/>
  <c r="H112" i="28" s="1"/>
  <c r="L111" i="28"/>
  <c r="K111" i="28"/>
  <c r="J111" i="28"/>
  <c r="D111" i="28"/>
  <c r="B111" i="28"/>
  <c r="A111" i="28"/>
  <c r="G111" i="28" s="1"/>
  <c r="L110" i="28"/>
  <c r="K110" i="28"/>
  <c r="J110" i="28"/>
  <c r="D110" i="28"/>
  <c r="B110" i="28"/>
  <c r="A110" i="28"/>
  <c r="H110" i="28" s="1"/>
  <c r="L109" i="28"/>
  <c r="K109" i="28"/>
  <c r="J109" i="28"/>
  <c r="D109" i="28"/>
  <c r="B109" i="28"/>
  <c r="A109" i="28"/>
  <c r="G109" i="28" s="1"/>
  <c r="L108" i="28"/>
  <c r="K108" i="28"/>
  <c r="J108" i="28"/>
  <c r="D108" i="28"/>
  <c r="B108" i="28"/>
  <c r="A108" i="28"/>
  <c r="H108" i="28" s="1"/>
  <c r="L107" i="28"/>
  <c r="K107" i="28"/>
  <c r="J107" i="28"/>
  <c r="D107" i="28"/>
  <c r="B107" i="28"/>
  <c r="A107" i="28"/>
  <c r="G107" i="28" s="1"/>
  <c r="L106" i="28"/>
  <c r="K106" i="28"/>
  <c r="J106" i="28"/>
  <c r="D106" i="28"/>
  <c r="B106" i="28"/>
  <c r="A106" i="28"/>
  <c r="L105" i="28"/>
  <c r="K105" i="28"/>
  <c r="J105" i="28"/>
  <c r="D105" i="28"/>
  <c r="B105" i="28"/>
  <c r="A105" i="28"/>
  <c r="L104" i="28"/>
  <c r="K104" i="28"/>
  <c r="J104" i="28"/>
  <c r="D104" i="28"/>
  <c r="B104" i="28"/>
  <c r="A104" i="28"/>
  <c r="H104" i="28" s="1"/>
  <c r="L103" i="28"/>
  <c r="K103" i="28"/>
  <c r="J103" i="28"/>
  <c r="D103" i="28"/>
  <c r="B103" i="28"/>
  <c r="A103" i="28"/>
  <c r="G103" i="28" s="1"/>
  <c r="L102" i="28"/>
  <c r="K102" i="28"/>
  <c r="J102" i="28"/>
  <c r="D102" i="28"/>
  <c r="B102" i="28"/>
  <c r="A102" i="28"/>
  <c r="H102" i="28" s="1"/>
  <c r="L101" i="28"/>
  <c r="K101" i="28"/>
  <c r="J101" i="28"/>
  <c r="D101" i="28"/>
  <c r="B101" i="28"/>
  <c r="A101" i="28"/>
  <c r="G101" i="28" s="1"/>
  <c r="L100" i="28"/>
  <c r="K100" i="28"/>
  <c r="J100" i="28"/>
  <c r="D100" i="28"/>
  <c r="B100" i="28"/>
  <c r="A100" i="28"/>
  <c r="H100" i="28" s="1"/>
  <c r="L99" i="28"/>
  <c r="K99" i="28"/>
  <c r="J99" i="28"/>
  <c r="D99" i="28"/>
  <c r="B99" i="28"/>
  <c r="A99" i="28"/>
  <c r="G99" i="28" s="1"/>
  <c r="L98" i="28"/>
  <c r="K98" i="28"/>
  <c r="J98" i="28"/>
  <c r="D98" i="28"/>
  <c r="B98" i="28"/>
  <c r="A98" i="28"/>
  <c r="L97" i="28"/>
  <c r="K97" i="28"/>
  <c r="J97" i="28"/>
  <c r="D97" i="28"/>
  <c r="B97" i="28"/>
  <c r="A97" i="28"/>
  <c r="L96" i="28"/>
  <c r="K96" i="28"/>
  <c r="J96" i="28"/>
  <c r="D96" i="28"/>
  <c r="B96" i="28"/>
  <c r="A96" i="28"/>
  <c r="H96" i="28" s="1"/>
  <c r="L95" i="28"/>
  <c r="K95" i="28"/>
  <c r="J95" i="28"/>
  <c r="D95" i="28"/>
  <c r="B95" i="28"/>
  <c r="A95" i="28"/>
  <c r="G95" i="28" s="1"/>
  <c r="L94" i="28"/>
  <c r="K94" i="28"/>
  <c r="J94" i="28"/>
  <c r="D94" i="28"/>
  <c r="B94" i="28"/>
  <c r="A94" i="28"/>
  <c r="H94" i="28" s="1"/>
  <c r="L93" i="28"/>
  <c r="K93" i="28"/>
  <c r="J93" i="28"/>
  <c r="D93" i="28"/>
  <c r="B93" i="28"/>
  <c r="A93" i="28"/>
  <c r="G93" i="28" s="1"/>
  <c r="L92" i="28"/>
  <c r="K92" i="28"/>
  <c r="J92" i="28"/>
  <c r="D92" i="28"/>
  <c r="B92" i="28"/>
  <c r="A92" i="28"/>
  <c r="H92" i="28" s="1"/>
  <c r="L91" i="28"/>
  <c r="K91" i="28"/>
  <c r="J91" i="28"/>
  <c r="D91" i="28"/>
  <c r="B91" i="28"/>
  <c r="A91" i="28"/>
  <c r="G91" i="28" s="1"/>
  <c r="L90" i="28"/>
  <c r="K90" i="28"/>
  <c r="J90" i="28"/>
  <c r="D90" i="28"/>
  <c r="B90" i="28"/>
  <c r="A90" i="28"/>
  <c r="L89" i="28"/>
  <c r="K89" i="28"/>
  <c r="J89" i="28"/>
  <c r="D89" i="28"/>
  <c r="B89" i="28"/>
  <c r="A89" i="28"/>
  <c r="L88" i="28"/>
  <c r="K88" i="28"/>
  <c r="J88" i="28"/>
  <c r="D88" i="28"/>
  <c r="B88" i="28"/>
  <c r="A88" i="28"/>
  <c r="H88" i="28" s="1"/>
  <c r="L87" i="28"/>
  <c r="K87" i="28"/>
  <c r="J87" i="28"/>
  <c r="D87" i="28"/>
  <c r="B87" i="28"/>
  <c r="A87" i="28"/>
  <c r="G87" i="28" s="1"/>
  <c r="L86" i="28"/>
  <c r="K86" i="28"/>
  <c r="J86" i="28"/>
  <c r="D86" i="28"/>
  <c r="B86" i="28"/>
  <c r="A86" i="28"/>
  <c r="H86" i="28" s="1"/>
  <c r="L85" i="28"/>
  <c r="K85" i="28"/>
  <c r="J85" i="28"/>
  <c r="D85" i="28"/>
  <c r="B85" i="28"/>
  <c r="A85" i="28"/>
  <c r="G85" i="28" s="1"/>
  <c r="L84" i="28"/>
  <c r="K84" i="28"/>
  <c r="J84" i="28"/>
  <c r="D84" i="28"/>
  <c r="B84" i="28"/>
  <c r="A84" i="28"/>
  <c r="H84" i="28" s="1"/>
  <c r="L83" i="28"/>
  <c r="K83" i="28"/>
  <c r="J83" i="28"/>
  <c r="D83" i="28"/>
  <c r="B83" i="28"/>
  <c r="A83" i="28"/>
  <c r="F83" i="28" s="1"/>
  <c r="L82" i="28"/>
  <c r="K82" i="28"/>
  <c r="J82" i="28"/>
  <c r="D82" i="28"/>
  <c r="B82" i="28"/>
  <c r="A82" i="28"/>
  <c r="L81" i="28"/>
  <c r="K81" i="28"/>
  <c r="J81" i="28"/>
  <c r="D81" i="28"/>
  <c r="B81" i="28"/>
  <c r="A81" i="28"/>
  <c r="F81" i="28" s="1"/>
  <c r="L80" i="28"/>
  <c r="K80" i="28"/>
  <c r="J80" i="28"/>
  <c r="D80" i="28"/>
  <c r="B80" i="28"/>
  <c r="A80" i="28"/>
  <c r="H80" i="28" s="1"/>
  <c r="L79" i="28"/>
  <c r="K79" i="28"/>
  <c r="J79" i="28"/>
  <c r="D79" i="28"/>
  <c r="B79" i="28"/>
  <c r="A79" i="28"/>
  <c r="G79" i="28" s="1"/>
  <c r="L78" i="28"/>
  <c r="K78" i="28"/>
  <c r="J78" i="28"/>
  <c r="D78" i="28"/>
  <c r="B78" i="28"/>
  <c r="A78" i="28"/>
  <c r="G78" i="28" s="1"/>
  <c r="L77" i="28"/>
  <c r="K77" i="28"/>
  <c r="J77" i="28"/>
  <c r="D77" i="28"/>
  <c r="B77" i="28"/>
  <c r="A77" i="28"/>
  <c r="G77" i="28" s="1"/>
  <c r="L76" i="28"/>
  <c r="K76" i="28"/>
  <c r="J76" i="28"/>
  <c r="D76" i="28"/>
  <c r="B76" i="28"/>
  <c r="A76" i="28"/>
  <c r="G76" i="28" s="1"/>
  <c r="L75" i="28"/>
  <c r="K75" i="28"/>
  <c r="J75" i="28"/>
  <c r="D75" i="28"/>
  <c r="B75" i="28"/>
  <c r="A75" i="28"/>
  <c r="G75" i="28" s="1"/>
  <c r="L74" i="28"/>
  <c r="K74" i="28"/>
  <c r="J74" i="28"/>
  <c r="D74" i="28"/>
  <c r="B74" i="28"/>
  <c r="A74" i="28"/>
  <c r="G74" i="28" s="1"/>
  <c r="L73" i="28"/>
  <c r="K73" i="28"/>
  <c r="J73" i="28"/>
  <c r="D73" i="28"/>
  <c r="B73" i="28"/>
  <c r="A73" i="28"/>
  <c r="G73" i="28" s="1"/>
  <c r="L72" i="28"/>
  <c r="K72" i="28"/>
  <c r="J72" i="28"/>
  <c r="D72" i="28"/>
  <c r="B72" i="28"/>
  <c r="A72" i="28"/>
  <c r="G72" i="28" s="1"/>
  <c r="L71" i="28"/>
  <c r="K71" i="28"/>
  <c r="J71" i="28"/>
  <c r="D71" i="28"/>
  <c r="B71" i="28"/>
  <c r="A71" i="28"/>
  <c r="G71" i="28" s="1"/>
  <c r="L70" i="28"/>
  <c r="K70" i="28"/>
  <c r="J70" i="28"/>
  <c r="D70" i="28"/>
  <c r="B70" i="28"/>
  <c r="A70" i="28"/>
  <c r="G70" i="28" s="1"/>
  <c r="L69" i="28"/>
  <c r="K69" i="28"/>
  <c r="J69" i="28"/>
  <c r="D69" i="28"/>
  <c r="B69" i="28"/>
  <c r="A69" i="28"/>
  <c r="G69" i="28" s="1"/>
  <c r="L68" i="28"/>
  <c r="K68" i="28"/>
  <c r="J68" i="28"/>
  <c r="D68" i="28"/>
  <c r="B68" i="28"/>
  <c r="A68" i="28"/>
  <c r="G68" i="28" s="1"/>
  <c r="L67" i="28"/>
  <c r="K67" i="28"/>
  <c r="J67" i="28"/>
  <c r="D67" i="28"/>
  <c r="B67" i="28"/>
  <c r="A67" i="28"/>
  <c r="G67" i="28" s="1"/>
  <c r="L66" i="28"/>
  <c r="K66" i="28"/>
  <c r="J66" i="28"/>
  <c r="D66" i="28"/>
  <c r="B66" i="28"/>
  <c r="A66" i="28"/>
  <c r="G66" i="28" s="1"/>
  <c r="L65" i="28"/>
  <c r="K65" i="28"/>
  <c r="J65" i="28"/>
  <c r="D65" i="28"/>
  <c r="B65" i="28"/>
  <c r="A65" i="28"/>
  <c r="G65" i="28" s="1"/>
  <c r="L64" i="28"/>
  <c r="K64" i="28"/>
  <c r="J64" i="28"/>
  <c r="D64" i="28"/>
  <c r="B64" i="28"/>
  <c r="A64" i="28"/>
  <c r="G64" i="28" s="1"/>
  <c r="L63" i="28"/>
  <c r="K63" i="28"/>
  <c r="J63" i="28"/>
  <c r="D63" i="28"/>
  <c r="B63" i="28"/>
  <c r="A63" i="28"/>
  <c r="G63" i="28" s="1"/>
  <c r="L62" i="28"/>
  <c r="K62" i="28"/>
  <c r="J62" i="28"/>
  <c r="D62" i="28"/>
  <c r="B62" i="28"/>
  <c r="A62" i="28"/>
  <c r="G62" i="28" s="1"/>
  <c r="L61" i="28"/>
  <c r="K61" i="28"/>
  <c r="J61" i="28"/>
  <c r="D61" i="28"/>
  <c r="B61" i="28"/>
  <c r="A61" i="28"/>
  <c r="G61" i="28" s="1"/>
  <c r="L60" i="28"/>
  <c r="K60" i="28"/>
  <c r="J60" i="28"/>
  <c r="D60" i="28"/>
  <c r="B60" i="28"/>
  <c r="A60" i="28"/>
  <c r="G60" i="28" s="1"/>
  <c r="L59" i="28"/>
  <c r="K59" i="28"/>
  <c r="J59" i="28"/>
  <c r="D59" i="28"/>
  <c r="B59" i="28"/>
  <c r="A59" i="28"/>
  <c r="G59" i="28" s="1"/>
  <c r="L58" i="28"/>
  <c r="K58" i="28"/>
  <c r="J58" i="28"/>
  <c r="D58" i="28"/>
  <c r="B58" i="28"/>
  <c r="A58" i="28"/>
  <c r="G58" i="28" s="1"/>
  <c r="L57" i="28"/>
  <c r="K57" i="28"/>
  <c r="J57" i="28"/>
  <c r="D57" i="28"/>
  <c r="B57" i="28"/>
  <c r="A57" i="28"/>
  <c r="G57" i="28" s="1"/>
  <c r="L56" i="28"/>
  <c r="K56" i="28"/>
  <c r="J56" i="28"/>
  <c r="D56" i="28"/>
  <c r="B56" i="28"/>
  <c r="A56" i="28"/>
  <c r="G56" i="28" s="1"/>
  <c r="L55" i="28"/>
  <c r="K55" i="28"/>
  <c r="J55" i="28"/>
  <c r="D55" i="28"/>
  <c r="B55" i="28"/>
  <c r="A55" i="28"/>
  <c r="G55" i="28" s="1"/>
  <c r="L54" i="28"/>
  <c r="K54" i="28"/>
  <c r="J54" i="28"/>
  <c r="D54" i="28"/>
  <c r="B54" i="28"/>
  <c r="A54" i="28"/>
  <c r="G54" i="28" s="1"/>
  <c r="L53" i="28"/>
  <c r="K53" i="28"/>
  <c r="J53" i="28"/>
  <c r="D53" i="28"/>
  <c r="B53" i="28"/>
  <c r="A53" i="28"/>
  <c r="G53" i="28" s="1"/>
  <c r="L52" i="28"/>
  <c r="K52" i="28"/>
  <c r="J52" i="28"/>
  <c r="D52" i="28"/>
  <c r="B52" i="28"/>
  <c r="A52" i="28"/>
  <c r="G52" i="28" s="1"/>
  <c r="L51" i="28"/>
  <c r="K51" i="28"/>
  <c r="J51" i="28"/>
  <c r="D51" i="28"/>
  <c r="B51" i="28"/>
  <c r="A51" i="28"/>
  <c r="G51" i="28" s="1"/>
  <c r="L50" i="28"/>
  <c r="K50" i="28"/>
  <c r="J50" i="28"/>
  <c r="D50" i="28"/>
  <c r="B50" i="28"/>
  <c r="A50" i="28"/>
  <c r="G50" i="28" s="1"/>
  <c r="L49" i="28"/>
  <c r="K49" i="28"/>
  <c r="J49" i="28"/>
  <c r="D49" i="28"/>
  <c r="B49" i="28"/>
  <c r="A49" i="28"/>
  <c r="G49" i="28" s="1"/>
  <c r="L48" i="28"/>
  <c r="K48" i="28"/>
  <c r="J48" i="28"/>
  <c r="D48" i="28"/>
  <c r="B48" i="28"/>
  <c r="A48" i="28"/>
  <c r="G48" i="28" s="1"/>
  <c r="L47" i="28"/>
  <c r="K47" i="28"/>
  <c r="J47" i="28"/>
  <c r="D47" i="28"/>
  <c r="B47" i="28"/>
  <c r="A47" i="28"/>
  <c r="G47" i="28" s="1"/>
  <c r="L46" i="28"/>
  <c r="K46" i="28"/>
  <c r="J46" i="28"/>
  <c r="D46" i="28"/>
  <c r="B46" i="28"/>
  <c r="A46" i="28"/>
  <c r="G46" i="28" s="1"/>
  <c r="L45" i="28"/>
  <c r="K45" i="28"/>
  <c r="J45" i="28"/>
  <c r="D45" i="28"/>
  <c r="B45" i="28"/>
  <c r="A45" i="28"/>
  <c r="G45" i="28" s="1"/>
  <c r="L44" i="28"/>
  <c r="K44" i="28"/>
  <c r="J44" i="28"/>
  <c r="D44" i="28"/>
  <c r="B44" i="28"/>
  <c r="A44" i="28"/>
  <c r="F44" i="28" s="1"/>
  <c r="L43" i="28"/>
  <c r="K43" i="28"/>
  <c r="J43" i="28"/>
  <c r="D43" i="28"/>
  <c r="B43" i="28"/>
  <c r="A43" i="28"/>
  <c r="G43" i="28" s="1"/>
  <c r="L42" i="28"/>
  <c r="K42" i="28"/>
  <c r="J42" i="28"/>
  <c r="D42" i="28"/>
  <c r="B42" i="28"/>
  <c r="A42" i="28"/>
  <c r="G42" i="28" s="1"/>
  <c r="L41" i="28"/>
  <c r="K41" i="28"/>
  <c r="J41" i="28"/>
  <c r="D41" i="28"/>
  <c r="B41" i="28"/>
  <c r="A41" i="28"/>
  <c r="G41" i="28" s="1"/>
  <c r="L40" i="28"/>
  <c r="K40" i="28"/>
  <c r="J40" i="28"/>
  <c r="D40" i="28"/>
  <c r="B40" i="28"/>
  <c r="A40" i="28"/>
  <c r="G40" i="28" s="1"/>
  <c r="L39" i="28"/>
  <c r="K39" i="28"/>
  <c r="J39" i="28"/>
  <c r="D39" i="28"/>
  <c r="B39" i="28"/>
  <c r="A39" i="28"/>
  <c r="G39" i="28" s="1"/>
  <c r="L38" i="28"/>
  <c r="K38" i="28"/>
  <c r="J38" i="28"/>
  <c r="D38" i="28"/>
  <c r="B38" i="28"/>
  <c r="A38" i="28"/>
  <c r="G38" i="28" s="1"/>
  <c r="L37" i="28"/>
  <c r="K37" i="28"/>
  <c r="J37" i="28"/>
  <c r="D37" i="28"/>
  <c r="B37" i="28"/>
  <c r="A37" i="28"/>
  <c r="G37" i="28" s="1"/>
  <c r="L36" i="28"/>
  <c r="K36" i="28"/>
  <c r="J36" i="28"/>
  <c r="D36" i="28"/>
  <c r="B36" i="28"/>
  <c r="A36" i="28"/>
  <c r="G36" i="28" s="1"/>
  <c r="L35" i="28"/>
  <c r="K35" i="28"/>
  <c r="J35" i="28"/>
  <c r="D35" i="28"/>
  <c r="B35" i="28"/>
  <c r="A35" i="28"/>
  <c r="G35" i="28" s="1"/>
  <c r="L34" i="28"/>
  <c r="K34" i="28"/>
  <c r="J34" i="28"/>
  <c r="D34" i="28"/>
  <c r="B34" i="28"/>
  <c r="A34" i="28"/>
  <c r="G34" i="28" s="1"/>
  <c r="L33" i="28"/>
  <c r="K33" i="28"/>
  <c r="J33" i="28"/>
  <c r="D33" i="28"/>
  <c r="B33" i="28"/>
  <c r="A33" i="28"/>
  <c r="G33" i="28" s="1"/>
  <c r="L32" i="28"/>
  <c r="K32" i="28"/>
  <c r="J32" i="28"/>
  <c r="D32" i="28"/>
  <c r="B32" i="28"/>
  <c r="A32" i="28"/>
  <c r="G32" i="28" s="1"/>
  <c r="L31" i="28"/>
  <c r="K31" i="28"/>
  <c r="J31" i="28"/>
  <c r="D31" i="28"/>
  <c r="B31" i="28"/>
  <c r="A31" i="28"/>
  <c r="G31" i="28" s="1"/>
  <c r="L30" i="28"/>
  <c r="K30" i="28"/>
  <c r="J30" i="28"/>
  <c r="D30" i="28"/>
  <c r="B30" i="28"/>
  <c r="A30" i="28"/>
  <c r="G30" i="28" s="1"/>
  <c r="L29" i="28"/>
  <c r="K29" i="28"/>
  <c r="J29" i="28"/>
  <c r="D29" i="28"/>
  <c r="B29" i="28"/>
  <c r="A29" i="28"/>
  <c r="G29" i="28" s="1"/>
  <c r="L28" i="28"/>
  <c r="K28" i="28"/>
  <c r="J28" i="28"/>
  <c r="D28" i="28"/>
  <c r="B28" i="28"/>
  <c r="A28" i="28"/>
  <c r="G28" i="28" s="1"/>
  <c r="L27" i="28"/>
  <c r="K27" i="28"/>
  <c r="J27" i="28"/>
  <c r="D27" i="28"/>
  <c r="B27" i="28"/>
  <c r="A27" i="28"/>
  <c r="G27" i="28" s="1"/>
  <c r="L26" i="28"/>
  <c r="K26" i="28"/>
  <c r="J26" i="28"/>
  <c r="D26" i="28"/>
  <c r="B26" i="28"/>
  <c r="A26" i="28"/>
  <c r="G26" i="28" s="1"/>
  <c r="L25" i="28"/>
  <c r="K25" i="28"/>
  <c r="J25" i="28"/>
  <c r="D25" i="28"/>
  <c r="B25" i="28"/>
  <c r="A25" i="28"/>
  <c r="G25" i="28" s="1"/>
  <c r="L24" i="28"/>
  <c r="K24" i="28"/>
  <c r="J24" i="28"/>
  <c r="D24" i="28"/>
  <c r="B24" i="28"/>
  <c r="A24" i="28"/>
  <c r="G24" i="28" s="1"/>
  <c r="L23" i="28"/>
  <c r="K23" i="28"/>
  <c r="J23" i="28"/>
  <c r="D23" i="28"/>
  <c r="B23" i="28"/>
  <c r="A23" i="28"/>
  <c r="G23" i="28" s="1"/>
  <c r="L22" i="28"/>
  <c r="K22" i="28"/>
  <c r="J22" i="28"/>
  <c r="D22" i="28"/>
  <c r="B22" i="28"/>
  <c r="A22" i="28"/>
  <c r="G22" i="28" s="1"/>
  <c r="L21" i="28"/>
  <c r="K21" i="28"/>
  <c r="J21" i="28"/>
  <c r="D21" i="28"/>
  <c r="B21" i="28"/>
  <c r="A21" i="28"/>
  <c r="G21" i="28" s="1"/>
  <c r="L20" i="28"/>
  <c r="K20" i="28"/>
  <c r="J20" i="28"/>
  <c r="D20" i="28"/>
  <c r="B20" i="28"/>
  <c r="A20" i="28"/>
  <c r="G20" i="28" s="1"/>
  <c r="L19" i="28"/>
  <c r="K19" i="28"/>
  <c r="J19" i="28"/>
  <c r="D19" i="28"/>
  <c r="B19" i="28"/>
  <c r="A19" i="28"/>
  <c r="G19" i="28" s="1"/>
  <c r="L18" i="28"/>
  <c r="K18" i="28"/>
  <c r="J18" i="28"/>
  <c r="D18" i="28"/>
  <c r="B18" i="28"/>
  <c r="A18" i="28"/>
  <c r="G18" i="28" s="1"/>
  <c r="L17" i="28"/>
  <c r="K17" i="28"/>
  <c r="J17" i="28"/>
  <c r="D17" i="28"/>
  <c r="B17" i="28"/>
  <c r="A17" i="28"/>
  <c r="G17" i="28" s="1"/>
  <c r="L16" i="28"/>
  <c r="K16" i="28"/>
  <c r="J16" i="28"/>
  <c r="D16" i="28"/>
  <c r="B16" i="28"/>
  <c r="A16" i="28"/>
  <c r="G16" i="28" s="1"/>
  <c r="L15" i="28"/>
  <c r="K15" i="28"/>
  <c r="J15" i="28"/>
  <c r="D15" i="28"/>
  <c r="B15" i="28"/>
  <c r="A15" i="28"/>
  <c r="G15" i="28" s="1"/>
  <c r="L14" i="28"/>
  <c r="K14" i="28"/>
  <c r="J14" i="28"/>
  <c r="D14" i="28"/>
  <c r="B14" i="28"/>
  <c r="A14" i="28"/>
  <c r="G14" i="28" s="1"/>
  <c r="L13" i="28"/>
  <c r="K13" i="28"/>
  <c r="J13" i="28"/>
  <c r="D13" i="28"/>
  <c r="B13" i="28"/>
  <c r="A13" i="28"/>
  <c r="G13" i="28" s="1"/>
  <c r="L12" i="28"/>
  <c r="K12" i="28"/>
  <c r="J12" i="28"/>
  <c r="D12" i="28"/>
  <c r="B12" i="28"/>
  <c r="A12" i="28"/>
  <c r="G12" i="28" s="1"/>
  <c r="L11" i="28"/>
  <c r="K11" i="28"/>
  <c r="J11" i="28"/>
  <c r="D11" i="28"/>
  <c r="B11" i="28"/>
  <c r="A11" i="28"/>
  <c r="G11" i="28" s="1"/>
  <c r="L10" i="28"/>
  <c r="K10" i="28"/>
  <c r="J10" i="28"/>
  <c r="D10" i="28"/>
  <c r="B10" i="28"/>
  <c r="A10" i="28"/>
  <c r="G10" i="28" s="1"/>
  <c r="L9" i="28"/>
  <c r="K9" i="28"/>
  <c r="J9" i="28"/>
  <c r="D9" i="28"/>
  <c r="B9" i="28"/>
  <c r="A9" i="28"/>
  <c r="G9" i="28" s="1"/>
  <c r="L8" i="28"/>
  <c r="K8" i="28"/>
  <c r="J8" i="28"/>
  <c r="D8" i="28"/>
  <c r="B8" i="28"/>
  <c r="A8" i="28"/>
  <c r="G8" i="28" s="1"/>
  <c r="L7" i="28"/>
  <c r="K7" i="28"/>
  <c r="J7" i="28"/>
  <c r="D7" i="28"/>
  <c r="B7" i="28"/>
  <c r="A7" i="28"/>
  <c r="G7" i="28" s="1"/>
  <c r="L6" i="28"/>
  <c r="K6" i="28"/>
  <c r="J6" i="28"/>
  <c r="D6" i="28"/>
  <c r="B6" i="28"/>
  <c r="A6" i="28"/>
  <c r="G6" i="28" s="1"/>
  <c r="L5" i="28"/>
  <c r="K5" i="28"/>
  <c r="J5" i="28"/>
  <c r="D5" i="28"/>
  <c r="B5" i="28"/>
  <c r="A5" i="28"/>
  <c r="G5" i="28" s="1"/>
  <c r="L4" i="28"/>
  <c r="K4" i="28"/>
  <c r="J4" i="28"/>
  <c r="D4" i="28"/>
  <c r="B4" i="28"/>
  <c r="A4" i="28"/>
  <c r="G4" i="28" s="1"/>
  <c r="K3" i="28"/>
  <c r="J3" i="28"/>
  <c r="D3" i="28"/>
  <c r="B3" i="28"/>
  <c r="A3" i="28"/>
  <c r="G3" i="28" s="1"/>
  <c r="A2" i="28"/>
  <c r="B2" i="28"/>
  <c r="D2" i="28"/>
  <c r="J2" i="28"/>
  <c r="K2" i="28"/>
  <c r="G14" i="48"/>
  <c r="G15" i="48"/>
  <c r="G16" i="48"/>
  <c r="G17" i="48"/>
  <c r="G18" i="48"/>
  <c r="G20" i="48"/>
  <c r="G21" i="48"/>
  <c r="G22" i="48"/>
  <c r="G23" i="48"/>
  <c r="G25" i="48"/>
  <c r="G26" i="48"/>
  <c r="G13" i="48"/>
  <c r="F26" i="48"/>
  <c r="F25" i="48"/>
  <c r="F23" i="48"/>
  <c r="F22" i="48"/>
  <c r="F21" i="48"/>
  <c r="F20" i="48"/>
  <c r="F18" i="48"/>
  <c r="F17" i="48"/>
  <c r="F16" i="48"/>
  <c r="F15" i="48"/>
  <c r="F14" i="48"/>
  <c r="F13" i="48"/>
  <c r="E21" i="45"/>
  <c r="E17" i="45"/>
  <c r="E13" i="45"/>
  <c r="N9" i="28" l="1"/>
  <c r="I9" i="28"/>
  <c r="I33" i="28"/>
  <c r="N33" i="28"/>
  <c r="I35" i="28"/>
  <c r="N35" i="28"/>
  <c r="I61" i="28"/>
  <c r="N61" i="28"/>
  <c r="I67" i="28"/>
  <c r="N67" i="28"/>
  <c r="I77" i="28"/>
  <c r="N77" i="28"/>
  <c r="N107" i="28"/>
  <c r="I107" i="28"/>
  <c r="I109" i="28"/>
  <c r="N109" i="28"/>
  <c r="N111" i="28"/>
  <c r="I111" i="28"/>
  <c r="I113" i="28"/>
  <c r="N113" i="28"/>
  <c r="I115" i="28"/>
  <c r="N115" i="28"/>
  <c r="I117" i="28"/>
  <c r="N117" i="28"/>
  <c r="I119" i="28"/>
  <c r="N119" i="28"/>
  <c r="I131" i="28"/>
  <c r="N131" i="28"/>
  <c r="I141" i="28"/>
  <c r="N141" i="28"/>
  <c r="I157" i="28"/>
  <c r="N157" i="28"/>
  <c r="I177" i="28"/>
  <c r="N177" i="28"/>
  <c r="I179" i="28"/>
  <c r="N179" i="28"/>
  <c r="I181" i="28"/>
  <c r="N181" i="28"/>
  <c r="I205" i="28"/>
  <c r="N205" i="28"/>
  <c r="N207" i="28"/>
  <c r="I207" i="28"/>
  <c r="I209" i="28"/>
  <c r="N209" i="28"/>
  <c r="N211" i="28"/>
  <c r="I211" i="28"/>
  <c r="I213" i="28"/>
  <c r="N213" i="28"/>
  <c r="I215" i="28"/>
  <c r="N215" i="28"/>
  <c r="I221" i="28"/>
  <c r="N221" i="28"/>
  <c r="I225" i="28"/>
  <c r="N225" i="28"/>
  <c r="I229" i="28"/>
  <c r="N229" i="28"/>
  <c r="N244" i="28"/>
  <c r="I244" i="28"/>
  <c r="I279" i="28"/>
  <c r="N279" i="28"/>
  <c r="I287" i="28"/>
  <c r="N287" i="28"/>
  <c r="N317" i="28"/>
  <c r="I317" i="28"/>
  <c r="N319" i="28"/>
  <c r="I319" i="28"/>
  <c r="I325" i="28"/>
  <c r="N325" i="28"/>
  <c r="I327" i="28"/>
  <c r="N327" i="28"/>
  <c r="I329" i="28"/>
  <c r="N329" i="28"/>
  <c r="I331" i="28"/>
  <c r="N331" i="28"/>
  <c r="N335" i="28"/>
  <c r="I335" i="28"/>
  <c r="I337" i="28"/>
  <c r="N337" i="28"/>
  <c r="I3" i="28"/>
  <c r="N3" i="28"/>
  <c r="N338" i="28"/>
  <c r="I338" i="28"/>
  <c r="I340" i="28"/>
  <c r="N340" i="28"/>
  <c r="I342" i="28"/>
  <c r="N342" i="28"/>
  <c r="I344" i="28"/>
  <c r="N344" i="28"/>
  <c r="N346" i="28"/>
  <c r="I346" i="28"/>
  <c r="I348" i="28"/>
  <c r="N348" i="28"/>
  <c r="N350" i="28"/>
  <c r="I350" i="28"/>
  <c r="I352" i="28"/>
  <c r="N352" i="28"/>
  <c r="N354" i="28"/>
  <c r="I354" i="28"/>
  <c r="I356" i="28"/>
  <c r="N356" i="28"/>
  <c r="I358" i="28"/>
  <c r="N358" i="28"/>
  <c r="I360" i="28"/>
  <c r="N360" i="28"/>
  <c r="N362" i="28"/>
  <c r="I362" i="28"/>
  <c r="I364" i="28"/>
  <c r="N364" i="28"/>
  <c r="N366" i="28"/>
  <c r="I366" i="28"/>
  <c r="I368" i="28"/>
  <c r="N368" i="28"/>
  <c r="N370" i="28"/>
  <c r="I370" i="28"/>
  <c r="I372" i="28"/>
  <c r="N372" i="28"/>
  <c r="I374" i="28"/>
  <c r="N374" i="28"/>
  <c r="I376" i="28"/>
  <c r="N376" i="28"/>
  <c r="N378" i="28"/>
  <c r="I378" i="28"/>
  <c r="I380" i="28"/>
  <c r="N380" i="28"/>
  <c r="I382" i="28"/>
  <c r="N382" i="28"/>
  <c r="I384" i="28"/>
  <c r="N384" i="28"/>
  <c r="N386" i="28"/>
  <c r="I386" i="28"/>
  <c r="I388" i="28"/>
  <c r="N388" i="28"/>
  <c r="I390" i="28"/>
  <c r="N390" i="28"/>
  <c r="I392" i="28"/>
  <c r="N392" i="28"/>
  <c r="N394" i="28"/>
  <c r="I394" i="28"/>
  <c r="I396" i="28"/>
  <c r="N396" i="28"/>
  <c r="N398" i="28"/>
  <c r="I398" i="28"/>
  <c r="I400" i="28"/>
  <c r="N400" i="28"/>
  <c r="N402" i="28"/>
  <c r="I402" i="28"/>
  <c r="I404" i="28"/>
  <c r="N404" i="28"/>
  <c r="I406" i="28"/>
  <c r="N406" i="28"/>
  <c r="I408" i="28"/>
  <c r="N408" i="28"/>
  <c r="N410" i="28"/>
  <c r="I410" i="28"/>
  <c r="I412" i="28"/>
  <c r="N412" i="28"/>
  <c r="I414" i="28"/>
  <c r="N414" i="28"/>
  <c r="I416" i="28"/>
  <c r="N416" i="28"/>
  <c r="N418" i="28"/>
  <c r="I418" i="28"/>
  <c r="I420" i="28"/>
  <c r="N420" i="28"/>
  <c r="I422" i="28"/>
  <c r="N422" i="28"/>
  <c r="I424" i="28"/>
  <c r="N424" i="28"/>
  <c r="N426" i="28"/>
  <c r="I426" i="28"/>
  <c r="I428" i="28"/>
  <c r="N428" i="28"/>
  <c r="N430" i="28"/>
  <c r="I430" i="28"/>
  <c r="I432" i="28"/>
  <c r="N432" i="28"/>
  <c r="N434" i="28"/>
  <c r="I434" i="28"/>
  <c r="I436" i="28"/>
  <c r="N436" i="28"/>
  <c r="I438" i="28"/>
  <c r="N438" i="28"/>
  <c r="I440" i="28"/>
  <c r="N440" i="28"/>
  <c r="N442" i="28"/>
  <c r="I442" i="28"/>
  <c r="I444" i="28"/>
  <c r="N444" i="28"/>
  <c r="I446" i="28"/>
  <c r="N446" i="28"/>
  <c r="I448" i="28"/>
  <c r="N448" i="28"/>
  <c r="I7" i="28"/>
  <c r="N7" i="28"/>
  <c r="I11" i="28"/>
  <c r="N11" i="28"/>
  <c r="I13" i="28"/>
  <c r="N13" i="28"/>
  <c r="N47" i="28"/>
  <c r="I47" i="28"/>
  <c r="I49" i="28"/>
  <c r="N49" i="28"/>
  <c r="I51" i="28"/>
  <c r="N51" i="28"/>
  <c r="I53" i="28"/>
  <c r="N53" i="28"/>
  <c r="I55" i="28"/>
  <c r="N55" i="28"/>
  <c r="I63" i="28"/>
  <c r="N63" i="28"/>
  <c r="I65" i="28"/>
  <c r="N65" i="28"/>
  <c r="N79" i="28"/>
  <c r="I79" i="28"/>
  <c r="I81" i="28"/>
  <c r="N81" i="28"/>
  <c r="N83" i="28"/>
  <c r="I83" i="28"/>
  <c r="I85" i="28"/>
  <c r="N85" i="28"/>
  <c r="I89" i="28"/>
  <c r="N89" i="28"/>
  <c r="N91" i="28"/>
  <c r="I91" i="28"/>
  <c r="I95" i="28"/>
  <c r="N95" i="28"/>
  <c r="I97" i="28"/>
  <c r="N97" i="28"/>
  <c r="I99" i="28"/>
  <c r="N99" i="28"/>
  <c r="I101" i="28"/>
  <c r="N101" i="28"/>
  <c r="I103" i="28"/>
  <c r="N103" i="28"/>
  <c r="I105" i="28"/>
  <c r="N105" i="28"/>
  <c r="I121" i="28"/>
  <c r="N121" i="28"/>
  <c r="N123" i="28"/>
  <c r="I123" i="28"/>
  <c r="I125" i="28"/>
  <c r="N125" i="28"/>
  <c r="I129" i="28"/>
  <c r="N129" i="28"/>
  <c r="I133" i="28"/>
  <c r="N133" i="28"/>
  <c r="I135" i="28"/>
  <c r="N135" i="28"/>
  <c r="I137" i="28"/>
  <c r="N137" i="28"/>
  <c r="N139" i="28"/>
  <c r="I139" i="28"/>
  <c r="N147" i="28"/>
  <c r="I147" i="28"/>
  <c r="I149" i="28"/>
  <c r="N149" i="28"/>
  <c r="I167" i="28"/>
  <c r="N167" i="28"/>
  <c r="I169" i="28"/>
  <c r="N169" i="28"/>
  <c r="N171" i="28"/>
  <c r="I171" i="28"/>
  <c r="I173" i="28"/>
  <c r="N173" i="28"/>
  <c r="N175" i="28"/>
  <c r="I175" i="28"/>
  <c r="I183" i="28"/>
  <c r="N183" i="28"/>
  <c r="I185" i="28"/>
  <c r="N185" i="28"/>
  <c r="N187" i="28"/>
  <c r="I187" i="28"/>
  <c r="I189" i="28"/>
  <c r="N189" i="28"/>
  <c r="I191" i="28"/>
  <c r="N191" i="28"/>
  <c r="I193" i="28"/>
  <c r="N193" i="28"/>
  <c r="I195" i="28"/>
  <c r="N195" i="28"/>
  <c r="I197" i="28"/>
  <c r="N197" i="28"/>
  <c r="I199" i="28"/>
  <c r="N199" i="28"/>
  <c r="I201" i="28"/>
  <c r="N201" i="28"/>
  <c r="I223" i="28"/>
  <c r="N223" i="28"/>
  <c r="I233" i="28"/>
  <c r="N233" i="28"/>
  <c r="I231" i="28"/>
  <c r="N231" i="28"/>
  <c r="I246" i="28"/>
  <c r="N246" i="28"/>
  <c r="I240" i="28"/>
  <c r="N240" i="28"/>
  <c r="I247" i="28"/>
  <c r="N247" i="28"/>
  <c r="I249" i="28"/>
  <c r="N249" i="28"/>
  <c r="N251" i="28"/>
  <c r="I251" i="28"/>
  <c r="I257" i="28"/>
  <c r="N257" i="28"/>
  <c r="N267" i="28"/>
  <c r="I267" i="28"/>
  <c r="N271" i="28"/>
  <c r="I271" i="28"/>
  <c r="I273" i="28"/>
  <c r="N273" i="28"/>
  <c r="N275" i="28"/>
  <c r="I275" i="28"/>
  <c r="N277" i="28"/>
  <c r="I277" i="28"/>
  <c r="I281" i="28"/>
  <c r="N281" i="28"/>
  <c r="N283" i="28"/>
  <c r="I283" i="28"/>
  <c r="I291" i="28"/>
  <c r="N291" i="28"/>
  <c r="I293" i="28"/>
  <c r="N293" i="28"/>
  <c r="I295" i="28"/>
  <c r="N295" i="28"/>
  <c r="N303" i="28"/>
  <c r="I303" i="28"/>
  <c r="N2" i="28"/>
  <c r="I2" i="28"/>
  <c r="I4" i="28"/>
  <c r="N4" i="28"/>
  <c r="N6" i="28"/>
  <c r="I6" i="28"/>
  <c r="I8" i="28"/>
  <c r="N8" i="28"/>
  <c r="N10" i="28"/>
  <c r="I10" i="28"/>
  <c r="I12" i="28"/>
  <c r="N12" i="28"/>
  <c r="I14" i="28"/>
  <c r="N14" i="28"/>
  <c r="I16" i="28"/>
  <c r="N16" i="28"/>
  <c r="N18" i="28"/>
  <c r="I18" i="28"/>
  <c r="N20" i="28"/>
  <c r="I20" i="28"/>
  <c r="I22" i="28"/>
  <c r="N22" i="28"/>
  <c r="I24" i="28"/>
  <c r="N24" i="28"/>
  <c r="N26" i="28"/>
  <c r="I26" i="28"/>
  <c r="N28" i="28"/>
  <c r="I28" i="28"/>
  <c r="I30" i="28"/>
  <c r="N30" i="28"/>
  <c r="I32" i="28"/>
  <c r="N32" i="28"/>
  <c r="N34" i="28"/>
  <c r="I34" i="28"/>
  <c r="N36" i="28"/>
  <c r="I36" i="28"/>
  <c r="I38" i="28"/>
  <c r="N38" i="28"/>
  <c r="I40" i="28"/>
  <c r="N40" i="28"/>
  <c r="N42" i="28"/>
  <c r="I42" i="28"/>
  <c r="I44" i="28"/>
  <c r="N44" i="28"/>
  <c r="I46" i="28"/>
  <c r="N46" i="28"/>
  <c r="I48" i="28"/>
  <c r="N48" i="28"/>
  <c r="N50" i="28"/>
  <c r="I50" i="28"/>
  <c r="N52" i="28"/>
  <c r="I52" i="28"/>
  <c r="I54" i="28"/>
  <c r="N54" i="28"/>
  <c r="I56" i="28"/>
  <c r="N56" i="28"/>
  <c r="N58" i="28"/>
  <c r="I58" i="28"/>
  <c r="N60" i="28"/>
  <c r="I60" i="28"/>
  <c r="I62" i="28"/>
  <c r="N62" i="28"/>
  <c r="I64" i="28"/>
  <c r="N64" i="28"/>
  <c r="N66" i="28"/>
  <c r="I66" i="28"/>
  <c r="N68" i="28"/>
  <c r="I68" i="28"/>
  <c r="I70" i="28"/>
  <c r="N70" i="28"/>
  <c r="I72" i="28"/>
  <c r="N72" i="28"/>
  <c r="N74" i="28"/>
  <c r="I74" i="28"/>
  <c r="N76" i="28"/>
  <c r="I76" i="28"/>
  <c r="I78" i="28"/>
  <c r="N78" i="28"/>
  <c r="I80" i="28"/>
  <c r="N80" i="28"/>
  <c r="N82" i="28"/>
  <c r="I82" i="28"/>
  <c r="N84" i="28"/>
  <c r="I84" i="28"/>
  <c r="I86" i="28"/>
  <c r="N86" i="28"/>
  <c r="I88" i="28"/>
  <c r="N88" i="28"/>
  <c r="N90" i="28"/>
  <c r="I90" i="28"/>
  <c r="N92" i="28"/>
  <c r="I92" i="28"/>
  <c r="I94" i="28"/>
  <c r="N94" i="28"/>
  <c r="I96" i="28"/>
  <c r="N96" i="28"/>
  <c r="N98" i="28"/>
  <c r="I98" i="28"/>
  <c r="N100" i="28"/>
  <c r="I100" i="28"/>
  <c r="I102" i="28"/>
  <c r="N102" i="28"/>
  <c r="I104" i="28"/>
  <c r="N104" i="28"/>
  <c r="N106" i="28"/>
  <c r="I106" i="28"/>
  <c r="I108" i="28"/>
  <c r="N108" i="28"/>
  <c r="I110" i="28"/>
  <c r="N110" i="28"/>
  <c r="I112" i="28"/>
  <c r="N112" i="28"/>
  <c r="N114" i="28"/>
  <c r="I114" i="28"/>
  <c r="N116" i="28"/>
  <c r="I116" i="28"/>
  <c r="I118" i="28"/>
  <c r="N118" i="28"/>
  <c r="I120" i="28"/>
  <c r="N120" i="28"/>
  <c r="N122" i="28"/>
  <c r="I122" i="28"/>
  <c r="N124" i="28"/>
  <c r="I124" i="28"/>
  <c r="I126" i="28"/>
  <c r="N126" i="28"/>
  <c r="I128" i="28"/>
  <c r="N128" i="28"/>
  <c r="N130" i="28"/>
  <c r="I130" i="28"/>
  <c r="N132" i="28"/>
  <c r="I132" i="28"/>
  <c r="I134" i="28"/>
  <c r="N134" i="28"/>
  <c r="I136" i="28"/>
  <c r="N136" i="28"/>
  <c r="N138" i="28"/>
  <c r="I138" i="28"/>
  <c r="N140" i="28"/>
  <c r="I140" i="28"/>
  <c r="I142" i="28"/>
  <c r="N142" i="28"/>
  <c r="I144" i="28"/>
  <c r="N144" i="28"/>
  <c r="N146" i="28"/>
  <c r="I146" i="28"/>
  <c r="N148" i="28"/>
  <c r="I148" i="28"/>
  <c r="I150" i="28"/>
  <c r="N150" i="28"/>
  <c r="I152" i="28"/>
  <c r="N152" i="28"/>
  <c r="N154" i="28"/>
  <c r="I154" i="28"/>
  <c r="N156" i="28"/>
  <c r="I156" i="28"/>
  <c r="I158" i="28"/>
  <c r="N158" i="28"/>
  <c r="I160" i="28"/>
  <c r="N160" i="28"/>
  <c r="N162" i="28"/>
  <c r="I162" i="28"/>
  <c r="N164" i="28"/>
  <c r="I164" i="28"/>
  <c r="I166" i="28"/>
  <c r="N166" i="28"/>
  <c r="I168" i="28"/>
  <c r="N168" i="28"/>
  <c r="N170" i="28"/>
  <c r="I170" i="28"/>
  <c r="N172" i="28"/>
  <c r="I172" i="28"/>
  <c r="I174" i="28"/>
  <c r="N174" i="28"/>
  <c r="I176" i="28"/>
  <c r="N176" i="28"/>
  <c r="N178" i="28"/>
  <c r="I178" i="28"/>
  <c r="N180" i="28"/>
  <c r="I180" i="28"/>
  <c r="I182" i="28"/>
  <c r="N182" i="28"/>
  <c r="I184" i="28"/>
  <c r="N184" i="28"/>
  <c r="N186" i="28"/>
  <c r="I186" i="28"/>
  <c r="N188" i="28"/>
  <c r="I188" i="28"/>
  <c r="I190" i="28"/>
  <c r="N190" i="28"/>
  <c r="I192" i="28"/>
  <c r="N192" i="28"/>
  <c r="N194" i="28"/>
  <c r="I194" i="28"/>
  <c r="N196" i="28"/>
  <c r="I196" i="28"/>
  <c r="I198" i="28"/>
  <c r="N198" i="28"/>
  <c r="I200" i="28"/>
  <c r="N200" i="28"/>
  <c r="N202" i="28"/>
  <c r="I202" i="28"/>
  <c r="N204" i="28"/>
  <c r="I204" i="28"/>
  <c r="I206" i="28"/>
  <c r="N206" i="28"/>
  <c r="I208" i="28"/>
  <c r="N208" i="28"/>
  <c r="N210" i="28"/>
  <c r="I210" i="28"/>
  <c r="N212" i="28"/>
  <c r="I212" i="28"/>
  <c r="I214" i="28"/>
  <c r="N214" i="28"/>
  <c r="I216" i="28"/>
  <c r="N216" i="28"/>
  <c r="N218" i="28"/>
  <c r="I218" i="28"/>
  <c r="N220" i="28"/>
  <c r="I220" i="28"/>
  <c r="I222" i="28"/>
  <c r="N222" i="28"/>
  <c r="I224" i="28"/>
  <c r="N224" i="28"/>
  <c r="N226" i="28"/>
  <c r="I226" i="28"/>
  <c r="I232" i="28"/>
  <c r="N232" i="28"/>
  <c r="I230" i="28"/>
  <c r="N230" i="28"/>
  <c r="N228" i="28"/>
  <c r="I228" i="28"/>
  <c r="I245" i="28"/>
  <c r="N245" i="28"/>
  <c r="I243" i="28"/>
  <c r="N243" i="28"/>
  <c r="I241" i="28"/>
  <c r="N241" i="28"/>
  <c r="N239" i="28"/>
  <c r="I239" i="28"/>
  <c r="I237" i="28"/>
  <c r="N237" i="28"/>
  <c r="N235" i="28"/>
  <c r="I235" i="28"/>
  <c r="I248" i="28"/>
  <c r="N248" i="28"/>
  <c r="N250" i="28"/>
  <c r="I250" i="28"/>
  <c r="N252" i="28"/>
  <c r="I252" i="28"/>
  <c r="I254" i="28"/>
  <c r="N254" i="28"/>
  <c r="I256" i="28"/>
  <c r="N256" i="28"/>
  <c r="N258" i="28"/>
  <c r="I258" i="28"/>
  <c r="N260" i="28"/>
  <c r="I260" i="28"/>
  <c r="I262" i="28"/>
  <c r="N262" i="28"/>
  <c r="I264" i="28"/>
  <c r="N264" i="28"/>
  <c r="N266" i="28"/>
  <c r="I266" i="28"/>
  <c r="N268" i="28"/>
  <c r="I268" i="28"/>
  <c r="N270" i="28"/>
  <c r="I270" i="28"/>
  <c r="I272" i="28"/>
  <c r="N272" i="28"/>
  <c r="N274" i="28"/>
  <c r="I274" i="28"/>
  <c r="N276" i="28"/>
  <c r="I276" i="28"/>
  <c r="N278" i="28"/>
  <c r="I278" i="28"/>
  <c r="I280" i="28"/>
  <c r="N280" i="28"/>
  <c r="N282" i="28"/>
  <c r="I282" i="28"/>
  <c r="N284" i="28"/>
  <c r="I284" i="28"/>
  <c r="N286" i="28"/>
  <c r="I286" i="28"/>
  <c r="I288" i="28"/>
  <c r="N288" i="28"/>
  <c r="N290" i="28"/>
  <c r="I290" i="28"/>
  <c r="N292" i="28"/>
  <c r="I292" i="28"/>
  <c r="N294" i="28"/>
  <c r="I294" i="28"/>
  <c r="I296" i="28"/>
  <c r="N296" i="28"/>
  <c r="N298" i="28"/>
  <c r="I298" i="28"/>
  <c r="N300" i="28"/>
  <c r="I300" i="28"/>
  <c r="N302" i="28"/>
  <c r="I302" i="28"/>
  <c r="I304" i="28"/>
  <c r="N304" i="28"/>
  <c r="N306" i="28"/>
  <c r="I306" i="28"/>
  <c r="N308" i="28"/>
  <c r="I308" i="28"/>
  <c r="N310" i="28"/>
  <c r="I310" i="28"/>
  <c r="I312" i="28"/>
  <c r="N312" i="28"/>
  <c r="N314" i="28"/>
  <c r="I314" i="28"/>
  <c r="I316" i="28"/>
  <c r="N316" i="28"/>
  <c r="N318" i="28"/>
  <c r="I318" i="28"/>
  <c r="I320" i="28"/>
  <c r="N320" i="28"/>
  <c r="I322" i="28"/>
  <c r="N322" i="28"/>
  <c r="I324" i="28"/>
  <c r="N324" i="28"/>
  <c r="N326" i="28"/>
  <c r="I326" i="28"/>
  <c r="I328" i="28"/>
  <c r="N328" i="28"/>
  <c r="I330" i="28"/>
  <c r="N330" i="28"/>
  <c r="I332" i="28"/>
  <c r="N332" i="28"/>
  <c r="I334" i="28"/>
  <c r="N334" i="28"/>
  <c r="I336" i="28"/>
  <c r="N336" i="28"/>
  <c r="N5" i="28"/>
  <c r="I5" i="28"/>
  <c r="N15" i="28"/>
  <c r="I15" i="28"/>
  <c r="I17" i="28"/>
  <c r="N17" i="28"/>
  <c r="N19" i="28"/>
  <c r="I19" i="28"/>
  <c r="I21" i="28"/>
  <c r="N21" i="28"/>
  <c r="I23" i="28"/>
  <c r="N23" i="28"/>
  <c r="I25" i="28"/>
  <c r="N25" i="28"/>
  <c r="N27" i="28"/>
  <c r="I27" i="28"/>
  <c r="I29" i="28"/>
  <c r="N29" i="28"/>
  <c r="I31" i="28"/>
  <c r="N31" i="28"/>
  <c r="I37" i="28"/>
  <c r="N37" i="28"/>
  <c r="I39" i="28"/>
  <c r="N39" i="28"/>
  <c r="I41" i="28"/>
  <c r="N41" i="28"/>
  <c r="N43" i="28"/>
  <c r="I43" i="28"/>
  <c r="I45" i="28"/>
  <c r="N45" i="28"/>
  <c r="I57" i="28"/>
  <c r="N57" i="28"/>
  <c r="N59" i="28"/>
  <c r="I59" i="28"/>
  <c r="I69" i="28"/>
  <c r="N69" i="28"/>
  <c r="I71" i="28"/>
  <c r="N71" i="28"/>
  <c r="I73" i="28"/>
  <c r="N73" i="28"/>
  <c r="N75" i="28"/>
  <c r="I75" i="28"/>
  <c r="I87" i="28"/>
  <c r="N87" i="28"/>
  <c r="I93" i="28"/>
  <c r="N93" i="28"/>
  <c r="I127" i="28"/>
  <c r="N127" i="28"/>
  <c r="N143" i="28"/>
  <c r="I143" i="28"/>
  <c r="I145" i="28"/>
  <c r="N145" i="28"/>
  <c r="I151" i="28"/>
  <c r="N151" i="28"/>
  <c r="I153" i="28"/>
  <c r="N153" i="28"/>
  <c r="N155" i="28"/>
  <c r="I155" i="28"/>
  <c r="I159" i="28"/>
  <c r="N159" i="28"/>
  <c r="I161" i="28"/>
  <c r="N161" i="28"/>
  <c r="I163" i="28"/>
  <c r="N163" i="28"/>
  <c r="I165" i="28"/>
  <c r="N165" i="28"/>
  <c r="N203" i="28"/>
  <c r="I203" i="28"/>
  <c r="I217" i="28"/>
  <c r="N217" i="28"/>
  <c r="N219" i="28"/>
  <c r="I219" i="28"/>
  <c r="I227" i="28"/>
  <c r="N227" i="28"/>
  <c r="N242" i="28"/>
  <c r="I242" i="28"/>
  <c r="I238" i="28"/>
  <c r="N238" i="28"/>
  <c r="N236" i="28"/>
  <c r="I236" i="28"/>
  <c r="N234" i="28"/>
  <c r="I234" i="28"/>
  <c r="N253" i="28"/>
  <c r="I253" i="28"/>
  <c r="I255" i="28"/>
  <c r="N255" i="28"/>
  <c r="I259" i="28"/>
  <c r="N259" i="28"/>
  <c r="N261" i="28"/>
  <c r="I261" i="28"/>
  <c r="I263" i="28"/>
  <c r="N263" i="28"/>
  <c r="I265" i="28"/>
  <c r="N265" i="28"/>
  <c r="N269" i="28"/>
  <c r="I269" i="28"/>
  <c r="N285" i="28"/>
  <c r="I285" i="28"/>
  <c r="I289" i="28"/>
  <c r="N289" i="28"/>
  <c r="I297" i="28"/>
  <c r="N297" i="28"/>
  <c r="N299" i="28"/>
  <c r="I299" i="28"/>
  <c r="N301" i="28"/>
  <c r="I301" i="28"/>
  <c r="I305" i="28"/>
  <c r="N305" i="28"/>
  <c r="I307" i="28"/>
  <c r="N307" i="28"/>
  <c r="I309" i="28"/>
  <c r="N309" i="28"/>
  <c r="I311" i="28"/>
  <c r="N311" i="28"/>
  <c r="I313" i="28"/>
  <c r="N313" i="28"/>
  <c r="N315" i="28"/>
  <c r="I315" i="28"/>
  <c r="I321" i="28"/>
  <c r="N321" i="28"/>
  <c r="N323" i="28"/>
  <c r="I323" i="28"/>
  <c r="I333" i="28"/>
  <c r="N333" i="28"/>
  <c r="I339" i="28"/>
  <c r="N339" i="28"/>
  <c r="N341" i="28"/>
  <c r="I341" i="28"/>
  <c r="I343" i="28"/>
  <c r="N343" i="28"/>
  <c r="I345" i="28"/>
  <c r="N345" i="28"/>
  <c r="N347" i="28"/>
  <c r="I347" i="28"/>
  <c r="N349" i="28"/>
  <c r="I349" i="28"/>
  <c r="N351" i="28"/>
  <c r="I351" i="28"/>
  <c r="I353" i="28"/>
  <c r="N353" i="28"/>
  <c r="N355" i="28"/>
  <c r="I355" i="28"/>
  <c r="I357" i="28"/>
  <c r="N357" i="28"/>
  <c r="N359" i="28"/>
  <c r="I359" i="28"/>
  <c r="I361" i="28"/>
  <c r="N361" i="28"/>
  <c r="N363" i="28"/>
  <c r="I363" i="28"/>
  <c r="N365" i="28"/>
  <c r="I365" i="28"/>
  <c r="N367" i="28"/>
  <c r="I367" i="28"/>
  <c r="I369" i="28"/>
  <c r="N369" i="28"/>
  <c r="N371" i="28"/>
  <c r="I371" i="28"/>
  <c r="N373" i="28"/>
  <c r="I373" i="28"/>
  <c r="I375" i="28"/>
  <c r="N375" i="28"/>
  <c r="I377" i="28"/>
  <c r="N377" i="28"/>
  <c r="N379" i="28"/>
  <c r="I379" i="28"/>
  <c r="N381" i="28"/>
  <c r="I381" i="28"/>
  <c r="I383" i="28"/>
  <c r="N383" i="28"/>
  <c r="I385" i="28"/>
  <c r="N385" i="28"/>
  <c r="I387" i="28"/>
  <c r="N387" i="28"/>
  <c r="N389" i="28"/>
  <c r="I389" i="28"/>
  <c r="I391" i="28"/>
  <c r="N391" i="28"/>
  <c r="I393" i="28"/>
  <c r="N393" i="28"/>
  <c r="I395" i="28"/>
  <c r="N395" i="28"/>
  <c r="N397" i="28"/>
  <c r="I397" i="28"/>
  <c r="N399" i="28"/>
  <c r="I399" i="28"/>
  <c r="I401" i="28"/>
  <c r="N401" i="28"/>
  <c r="N403" i="28"/>
  <c r="I403" i="28"/>
  <c r="N405" i="28"/>
  <c r="I405" i="28"/>
  <c r="I407" i="28"/>
  <c r="N407" i="28"/>
  <c r="I409" i="28"/>
  <c r="N409" i="28"/>
  <c r="N411" i="28"/>
  <c r="I411" i="28"/>
  <c r="I413" i="28"/>
  <c r="N413" i="28"/>
  <c r="N415" i="28"/>
  <c r="I415" i="28"/>
  <c r="I417" i="28"/>
  <c r="N417" i="28"/>
  <c r="N419" i="28"/>
  <c r="I419" i="28"/>
  <c r="I421" i="28"/>
  <c r="N421" i="28"/>
  <c r="N423" i="28"/>
  <c r="I423" i="28"/>
  <c r="N425" i="28"/>
  <c r="I425" i="28"/>
  <c r="N427" i="28"/>
  <c r="I427" i="28"/>
  <c r="N429" i="28"/>
  <c r="I429" i="28"/>
  <c r="N431" i="28"/>
  <c r="I431" i="28"/>
  <c r="N433" i="28"/>
  <c r="I433" i="28"/>
  <c r="N435" i="28"/>
  <c r="I435" i="28"/>
  <c r="I437" i="28"/>
  <c r="N437" i="28"/>
  <c r="I439" i="28"/>
  <c r="N439" i="28"/>
  <c r="N441" i="28"/>
  <c r="I441" i="28"/>
  <c r="N443" i="28"/>
  <c r="I443" i="28"/>
  <c r="N445" i="28"/>
  <c r="I445" i="28"/>
  <c r="I447" i="28"/>
  <c r="N447" i="28"/>
  <c r="H234" i="28"/>
  <c r="G371" i="28"/>
  <c r="H406" i="28"/>
  <c r="H414" i="28"/>
  <c r="H412" i="28"/>
  <c r="H420" i="28"/>
  <c r="H428" i="28"/>
  <c r="H436" i="28"/>
  <c r="H444" i="28"/>
  <c r="H410" i="28"/>
  <c r="H418" i="28"/>
  <c r="H426" i="28"/>
  <c r="H434" i="28"/>
  <c r="H442" i="28"/>
  <c r="H422" i="28"/>
  <c r="H430" i="28"/>
  <c r="H438" i="28"/>
  <c r="H446" i="28"/>
  <c r="G406" i="28"/>
  <c r="H408" i="28"/>
  <c r="G414" i="28"/>
  <c r="H416" i="28"/>
  <c r="G422" i="28"/>
  <c r="H424" i="28"/>
  <c r="G430" i="28"/>
  <c r="H432" i="28"/>
  <c r="G438" i="28"/>
  <c r="H440" i="28"/>
  <c r="G446" i="28"/>
  <c r="H448" i="28"/>
  <c r="G405" i="28"/>
  <c r="G407" i="28"/>
  <c r="G409" i="28"/>
  <c r="G411" i="28"/>
  <c r="G413" i="28"/>
  <c r="G415" i="28"/>
  <c r="G417" i="28"/>
  <c r="G419" i="28"/>
  <c r="G421" i="28"/>
  <c r="G423" i="28"/>
  <c r="G425" i="28"/>
  <c r="G427" i="28"/>
  <c r="G429" i="28"/>
  <c r="G431" i="28"/>
  <c r="G433" i="28"/>
  <c r="G435" i="28"/>
  <c r="G437" i="28"/>
  <c r="G439" i="28"/>
  <c r="G441" i="28"/>
  <c r="G443" i="28"/>
  <c r="G445" i="28"/>
  <c r="G447" i="28"/>
  <c r="G377" i="28"/>
  <c r="G381" i="28"/>
  <c r="G383" i="28"/>
  <c r="G389" i="28"/>
  <c r="G393" i="28"/>
  <c r="G351" i="28"/>
  <c r="G353" i="28"/>
  <c r="G355" i="28"/>
  <c r="G357" i="28"/>
  <c r="G359" i="28"/>
  <c r="G361" i="28"/>
  <c r="G363" i="28"/>
  <c r="G365" i="28"/>
  <c r="G367" i="28"/>
  <c r="G369" i="28"/>
  <c r="G373" i="28"/>
  <c r="G375" i="28"/>
  <c r="G379" i="28"/>
  <c r="G385" i="28"/>
  <c r="G387" i="28"/>
  <c r="G391" i="28"/>
  <c r="G395" i="28"/>
  <c r="G397" i="28"/>
  <c r="G399" i="28"/>
  <c r="G401" i="28"/>
  <c r="G403" i="28"/>
  <c r="H351" i="28"/>
  <c r="H353" i="28"/>
  <c r="H355" i="28"/>
  <c r="H357" i="28"/>
  <c r="H359" i="28"/>
  <c r="H361" i="28"/>
  <c r="H363" i="28"/>
  <c r="H365" i="28"/>
  <c r="H367" i="28"/>
  <c r="H369" i="28"/>
  <c r="H371" i="28"/>
  <c r="H373" i="28"/>
  <c r="H375" i="28"/>
  <c r="H377" i="28"/>
  <c r="H379" i="28"/>
  <c r="H381" i="28"/>
  <c r="H383" i="28"/>
  <c r="H385" i="28"/>
  <c r="H387" i="28"/>
  <c r="H389" i="28"/>
  <c r="H391" i="28"/>
  <c r="H393" i="28"/>
  <c r="H395" i="28"/>
  <c r="H397" i="28"/>
  <c r="H399" i="28"/>
  <c r="H401" i="28"/>
  <c r="H403" i="28"/>
  <c r="G352" i="28"/>
  <c r="G354" i="28"/>
  <c r="G356" i="28"/>
  <c r="G358" i="28"/>
  <c r="G360" i="28"/>
  <c r="G362" i="28"/>
  <c r="G364" i="28"/>
  <c r="G366" i="28"/>
  <c r="G368" i="28"/>
  <c r="G370" i="28"/>
  <c r="G372" i="28"/>
  <c r="G374" i="28"/>
  <c r="G376" i="28"/>
  <c r="G378" i="28"/>
  <c r="G380" i="28"/>
  <c r="G382" i="28"/>
  <c r="G384" i="28"/>
  <c r="G386" i="28"/>
  <c r="G388" i="28"/>
  <c r="G390" i="28"/>
  <c r="G392" i="28"/>
  <c r="G394" i="28"/>
  <c r="G396" i="28"/>
  <c r="G398" i="28"/>
  <c r="G400" i="28"/>
  <c r="G402" i="28"/>
  <c r="G404" i="28"/>
  <c r="G339" i="28"/>
  <c r="G341" i="28"/>
  <c r="G343" i="28"/>
  <c r="G345" i="28"/>
  <c r="G347" i="28"/>
  <c r="G349" i="28"/>
  <c r="H339" i="28"/>
  <c r="H341" i="28"/>
  <c r="H343" i="28"/>
  <c r="H345" i="28"/>
  <c r="H347" i="28"/>
  <c r="H349" i="28"/>
  <c r="G338" i="28"/>
  <c r="G340" i="28"/>
  <c r="G342" i="28"/>
  <c r="G344" i="28"/>
  <c r="G346" i="28"/>
  <c r="G348" i="28"/>
  <c r="G350" i="28"/>
  <c r="H233" i="28"/>
  <c r="H283" i="28"/>
  <c r="H285" i="28"/>
  <c r="H287" i="28"/>
  <c r="H289" i="28"/>
  <c r="H291" i="28"/>
  <c r="H293" i="28"/>
  <c r="H295" i="28"/>
  <c r="H297" i="28"/>
  <c r="H299" i="28"/>
  <c r="H301" i="28"/>
  <c r="H303" i="28"/>
  <c r="H305" i="28"/>
  <c r="H307" i="28"/>
  <c r="H309" i="28"/>
  <c r="H311" i="28"/>
  <c r="H313" i="28"/>
  <c r="H315" i="28"/>
  <c r="H317" i="28"/>
  <c r="H319" i="28"/>
  <c r="H321" i="28"/>
  <c r="H323" i="28"/>
  <c r="H325" i="28"/>
  <c r="H327" i="28"/>
  <c r="H329" i="28"/>
  <c r="H331" i="28"/>
  <c r="H333" i="28"/>
  <c r="H335" i="28"/>
  <c r="H337" i="28"/>
  <c r="G337" i="28"/>
  <c r="G284" i="28"/>
  <c r="G286" i="28"/>
  <c r="G288" i="28"/>
  <c r="G290" i="28"/>
  <c r="G292" i="28"/>
  <c r="G294" i="28"/>
  <c r="G296" i="28"/>
  <c r="G298" i="28"/>
  <c r="G300" i="28"/>
  <c r="G302" i="28"/>
  <c r="G304" i="28"/>
  <c r="G306" i="28"/>
  <c r="G308" i="28"/>
  <c r="G310" i="28"/>
  <c r="G312" i="28"/>
  <c r="G314" i="28"/>
  <c r="G316" i="28"/>
  <c r="G318" i="28"/>
  <c r="G320" i="28"/>
  <c r="G322" i="28"/>
  <c r="G324" i="28"/>
  <c r="G326" i="28"/>
  <c r="G328" i="28"/>
  <c r="G330" i="28"/>
  <c r="G332" i="28"/>
  <c r="G334" i="28"/>
  <c r="G336" i="28"/>
  <c r="H244" i="28"/>
  <c r="G234" i="28"/>
  <c r="H236" i="28"/>
  <c r="H231" i="28"/>
  <c r="H242" i="28"/>
  <c r="H229" i="28"/>
  <c r="H240" i="28"/>
  <c r="H246" i="28"/>
  <c r="H238" i="28"/>
  <c r="G235" i="28"/>
  <c r="G231" i="28"/>
  <c r="G246" i="28"/>
  <c r="G242" i="28"/>
  <c r="G238" i="28"/>
  <c r="G259" i="28"/>
  <c r="G267" i="28"/>
  <c r="G233" i="28"/>
  <c r="G229" i="28"/>
  <c r="G244" i="28"/>
  <c r="G240" i="28"/>
  <c r="G236" i="28"/>
  <c r="G269" i="28"/>
  <c r="G271" i="28"/>
  <c r="G273" i="28"/>
  <c r="G275" i="28"/>
  <c r="G277" i="28"/>
  <c r="G279" i="28"/>
  <c r="G281" i="28"/>
  <c r="H269" i="28"/>
  <c r="H271" i="28"/>
  <c r="H273" i="28"/>
  <c r="H275" i="28"/>
  <c r="H277" i="28"/>
  <c r="H279" i="28"/>
  <c r="H281" i="28"/>
  <c r="G270" i="28"/>
  <c r="G272" i="28"/>
  <c r="G274" i="28"/>
  <c r="G276" i="28"/>
  <c r="G278" i="28"/>
  <c r="G280" i="28"/>
  <c r="G282" i="28"/>
  <c r="G247" i="28"/>
  <c r="G249" i="28"/>
  <c r="G251" i="28"/>
  <c r="G253" i="28"/>
  <c r="G255" i="28"/>
  <c r="G257" i="28"/>
  <c r="G263" i="28"/>
  <c r="G265" i="28"/>
  <c r="H247" i="28"/>
  <c r="H249" i="28"/>
  <c r="H251" i="28"/>
  <c r="H253" i="28"/>
  <c r="H255" i="28"/>
  <c r="H257" i="28"/>
  <c r="H259" i="28"/>
  <c r="H261" i="28"/>
  <c r="H263" i="28"/>
  <c r="H265" i="28"/>
  <c r="H267" i="28"/>
  <c r="G261" i="28"/>
  <c r="G248" i="28"/>
  <c r="G250" i="28"/>
  <c r="G252" i="28"/>
  <c r="G254" i="28"/>
  <c r="G256" i="28"/>
  <c r="G258" i="28"/>
  <c r="G260" i="28"/>
  <c r="G262" i="28"/>
  <c r="G264" i="28"/>
  <c r="G266" i="28"/>
  <c r="G268" i="28"/>
  <c r="G232" i="28"/>
  <c r="G230" i="28"/>
  <c r="G228" i="28"/>
  <c r="G245" i="28"/>
  <c r="G243" i="28"/>
  <c r="G241" i="28"/>
  <c r="G239" i="28"/>
  <c r="G237" i="28"/>
  <c r="F55" i="28"/>
  <c r="K12" i="45"/>
  <c r="K9" i="45"/>
  <c r="H232" i="28"/>
  <c r="H228" i="28"/>
  <c r="H243" i="28"/>
  <c r="H239" i="28"/>
  <c r="H235" i="28"/>
  <c r="F5" i="28"/>
  <c r="F26" i="28"/>
  <c r="F39" i="28"/>
  <c r="F67" i="28"/>
  <c r="H111" i="28"/>
  <c r="F45" i="28"/>
  <c r="F77" i="28"/>
  <c r="F100" i="28"/>
  <c r="H119" i="28"/>
  <c r="F16" i="28"/>
  <c r="F35" i="28"/>
  <c r="F61" i="28"/>
  <c r="K8" i="45"/>
  <c r="K6" i="45"/>
  <c r="K10" i="45"/>
  <c r="K7" i="45"/>
  <c r="K11" i="45"/>
  <c r="F9" i="28"/>
  <c r="F20" i="28"/>
  <c r="F29" i="28"/>
  <c r="F51" i="28"/>
  <c r="F71" i="28"/>
  <c r="F84" i="28"/>
  <c r="H95" i="28"/>
  <c r="F7" i="28"/>
  <c r="F12" i="28"/>
  <c r="F24" i="28"/>
  <c r="H27" i="28"/>
  <c r="F37" i="28"/>
  <c r="F47" i="28"/>
  <c r="F59" i="28"/>
  <c r="F69" i="28"/>
  <c r="F79" i="28"/>
  <c r="F116" i="28"/>
  <c r="F18" i="28"/>
  <c r="F31" i="28"/>
  <c r="F43" i="28"/>
  <c r="F53" i="28"/>
  <c r="F63" i="28"/>
  <c r="F75" i="28"/>
  <c r="H87" i="28"/>
  <c r="F92" i="28"/>
  <c r="F3" i="28"/>
  <c r="F11" i="28"/>
  <c r="F14" i="28"/>
  <c r="F22" i="28"/>
  <c r="F33" i="28"/>
  <c r="F41" i="28"/>
  <c r="F49" i="28"/>
  <c r="F57" i="28"/>
  <c r="F65" i="28"/>
  <c r="F73" i="28"/>
  <c r="H103" i="28"/>
  <c r="F108" i="28"/>
  <c r="M12" i="48"/>
  <c r="F4" i="28"/>
  <c r="F8" i="28"/>
  <c r="F13" i="28"/>
  <c r="F17" i="28"/>
  <c r="F21" i="28"/>
  <c r="F25" i="28"/>
  <c r="F30" i="28"/>
  <c r="F34" i="28"/>
  <c r="F38" i="28"/>
  <c r="F42" i="28"/>
  <c r="F46" i="28"/>
  <c r="F50" i="28"/>
  <c r="F54" i="28"/>
  <c r="F58" i="28"/>
  <c r="F62" i="28"/>
  <c r="F66" i="28"/>
  <c r="F70" i="28"/>
  <c r="F74" i="28"/>
  <c r="F78" i="28"/>
  <c r="F88" i="28"/>
  <c r="H91" i="28"/>
  <c r="F104" i="28"/>
  <c r="H107" i="28"/>
  <c r="F120" i="28"/>
  <c r="H123" i="28"/>
  <c r="H131" i="28"/>
  <c r="F6" i="28"/>
  <c r="F10" i="28"/>
  <c r="H11" i="28"/>
  <c r="F15" i="28"/>
  <c r="F19" i="28"/>
  <c r="F23" i="28"/>
  <c r="F27" i="28"/>
  <c r="F28" i="28"/>
  <c r="F32" i="28"/>
  <c r="F36" i="28"/>
  <c r="F40" i="28"/>
  <c r="F48" i="28"/>
  <c r="F52" i="28"/>
  <c r="F56" i="28"/>
  <c r="F60" i="28"/>
  <c r="F64" i="28"/>
  <c r="F68" i="28"/>
  <c r="F72" i="28"/>
  <c r="F76" i="28"/>
  <c r="F80" i="28"/>
  <c r="F96" i="28"/>
  <c r="H99" i="28"/>
  <c r="F112" i="28"/>
  <c r="H115" i="28"/>
  <c r="H127" i="28"/>
  <c r="H135" i="28"/>
  <c r="G113" i="28"/>
  <c r="H113" i="28"/>
  <c r="H4" i="28"/>
  <c r="H6" i="28"/>
  <c r="H8" i="28"/>
  <c r="H19" i="28"/>
  <c r="H22" i="28"/>
  <c r="H33" i="28"/>
  <c r="H35" i="28"/>
  <c r="H36" i="28"/>
  <c r="H38" i="28"/>
  <c r="H40" i="28"/>
  <c r="H41" i="28"/>
  <c r="H90" i="28"/>
  <c r="F90" i="28"/>
  <c r="H106" i="28"/>
  <c r="F106" i="28"/>
  <c r="H122" i="28"/>
  <c r="H138" i="28"/>
  <c r="G89" i="28"/>
  <c r="H89" i="28"/>
  <c r="G105" i="28"/>
  <c r="H105" i="28"/>
  <c r="G121" i="28"/>
  <c r="H121" i="28"/>
  <c r="G137" i="28"/>
  <c r="H137" i="28"/>
  <c r="G97" i="28"/>
  <c r="H97" i="28"/>
  <c r="G129" i="28"/>
  <c r="H129" i="28"/>
  <c r="H3" i="28"/>
  <c r="H5" i="28"/>
  <c r="H7" i="28"/>
  <c r="H9" i="28"/>
  <c r="H10" i="28"/>
  <c r="H12" i="28"/>
  <c r="H13" i="28"/>
  <c r="H14" i="28"/>
  <c r="H15" i="28"/>
  <c r="H16" i="28"/>
  <c r="H17" i="28"/>
  <c r="H18" i="28"/>
  <c r="H20" i="28"/>
  <c r="H21" i="28"/>
  <c r="H23" i="28"/>
  <c r="H24" i="28"/>
  <c r="H25" i="28"/>
  <c r="H26" i="28"/>
  <c r="H28" i="28"/>
  <c r="H29" i="28"/>
  <c r="H30" i="28"/>
  <c r="H31" i="28"/>
  <c r="H32" i="28"/>
  <c r="H34" i="28"/>
  <c r="H37" i="28"/>
  <c r="H39" i="28"/>
  <c r="H42" i="28"/>
  <c r="H43" i="28"/>
  <c r="G44" i="28"/>
  <c r="H44" i="28"/>
  <c r="H82" i="28"/>
  <c r="F82" i="28"/>
  <c r="H98" i="28"/>
  <c r="F98" i="28"/>
  <c r="H114" i="28"/>
  <c r="F114" i="28"/>
  <c r="H130" i="28"/>
  <c r="H139" i="28"/>
  <c r="H45" i="28"/>
  <c r="H46" i="28"/>
  <c r="H47" i="28"/>
  <c r="H48" i="28"/>
  <c r="H49" i="28"/>
  <c r="H50" i="28"/>
  <c r="H51" i="28"/>
  <c r="H52" i="28"/>
  <c r="H53" i="28"/>
  <c r="H54" i="28"/>
  <c r="H55" i="28"/>
  <c r="H56" i="28"/>
  <c r="H57" i="28"/>
  <c r="H58" i="28"/>
  <c r="H59" i="28"/>
  <c r="H60" i="28"/>
  <c r="H61" i="28"/>
  <c r="H62" i="28"/>
  <c r="H63" i="28"/>
  <c r="H64" i="28"/>
  <c r="H65" i="28"/>
  <c r="H66" i="28"/>
  <c r="H67" i="28"/>
  <c r="H68" i="28"/>
  <c r="H69" i="28"/>
  <c r="H70" i="28"/>
  <c r="H71" i="28"/>
  <c r="H72" i="28"/>
  <c r="H73" i="28"/>
  <c r="H74" i="28"/>
  <c r="H75" i="28"/>
  <c r="H76" i="28"/>
  <c r="H77" i="28"/>
  <c r="H78" i="28"/>
  <c r="H79" i="28"/>
  <c r="H85" i="28"/>
  <c r="F86" i="28"/>
  <c r="H93" i="28"/>
  <c r="F94" i="28"/>
  <c r="H101" i="28"/>
  <c r="F102" i="28"/>
  <c r="H109" i="28"/>
  <c r="F110" i="28"/>
  <c r="H117" i="28"/>
  <c r="F118" i="28"/>
  <c r="H125" i="28"/>
  <c r="H133" i="28"/>
  <c r="H141" i="28"/>
  <c r="H81" i="28"/>
  <c r="H166" i="28"/>
  <c r="G166" i="28"/>
  <c r="H182" i="28"/>
  <c r="G182" i="28"/>
  <c r="H198" i="28"/>
  <c r="G198" i="28"/>
  <c r="H214" i="28"/>
  <c r="G214" i="28"/>
  <c r="G82" i="28"/>
  <c r="G83" i="28"/>
  <c r="H83" i="28"/>
  <c r="H158" i="28"/>
  <c r="G158" i="28"/>
  <c r="H174" i="28"/>
  <c r="G174" i="28"/>
  <c r="H190" i="28"/>
  <c r="G190" i="28"/>
  <c r="H206" i="28"/>
  <c r="G206" i="28"/>
  <c r="H222" i="28"/>
  <c r="G222" i="28"/>
  <c r="G80" i="28"/>
  <c r="G81" i="28"/>
  <c r="G84" i="28"/>
  <c r="G86" i="28"/>
  <c r="G88" i="28"/>
  <c r="G90" i="28"/>
  <c r="G92" i="28"/>
  <c r="G94" i="28"/>
  <c r="G96" i="28"/>
  <c r="G98" i="28"/>
  <c r="G100" i="28"/>
  <c r="G102" i="28"/>
  <c r="G104" i="28"/>
  <c r="G106" i="28"/>
  <c r="G108" i="28"/>
  <c r="G110" i="28"/>
  <c r="G112" i="28"/>
  <c r="G114" i="28"/>
  <c r="G116" i="28"/>
  <c r="G118" i="28"/>
  <c r="G120" i="28"/>
  <c r="G122" i="28"/>
  <c r="G124" i="28"/>
  <c r="G126" i="28"/>
  <c r="G128" i="28"/>
  <c r="G130" i="28"/>
  <c r="G132" i="28"/>
  <c r="G134" i="28"/>
  <c r="G136" i="28"/>
  <c r="G138" i="28"/>
  <c r="G140" i="28"/>
  <c r="G142" i="28"/>
  <c r="H156" i="28"/>
  <c r="H164" i="28"/>
  <c r="H172" i="28"/>
  <c r="H180" i="28"/>
  <c r="H188" i="28"/>
  <c r="H196" i="28"/>
  <c r="H204" i="28"/>
  <c r="H212" i="28"/>
  <c r="H220" i="28"/>
  <c r="F85" i="28"/>
  <c r="F87" i="28"/>
  <c r="F89" i="28"/>
  <c r="F91" i="28"/>
  <c r="F93" i="28"/>
  <c r="F95" i="28"/>
  <c r="F97" i="28"/>
  <c r="F99" i="28"/>
  <c r="F101" i="28"/>
  <c r="F103" i="28"/>
  <c r="F105" i="28"/>
  <c r="F107" i="28"/>
  <c r="F109" i="28"/>
  <c r="F111" i="28"/>
  <c r="F113" i="28"/>
  <c r="F115" i="28"/>
  <c r="F117" i="28"/>
  <c r="F119" i="28"/>
  <c r="F121" i="28"/>
  <c r="H154" i="28"/>
  <c r="H162" i="28"/>
  <c r="H170" i="28"/>
  <c r="H178" i="28"/>
  <c r="H186" i="28"/>
  <c r="H194" i="28"/>
  <c r="H202" i="28"/>
  <c r="H210" i="28"/>
  <c r="H218" i="28"/>
  <c r="H226" i="28"/>
  <c r="H143" i="28"/>
  <c r="H144" i="28"/>
  <c r="H145" i="28"/>
  <c r="H146" i="28"/>
  <c r="H147" i="28"/>
  <c r="H148" i="28"/>
  <c r="H149" i="28"/>
  <c r="H150" i="28"/>
  <c r="H151" i="28"/>
  <c r="H152" i="28"/>
  <c r="H160" i="28"/>
  <c r="H168" i="28"/>
  <c r="H176" i="28"/>
  <c r="H184" i="28"/>
  <c r="H192" i="28"/>
  <c r="H200" i="28"/>
  <c r="H208" i="28"/>
  <c r="H216" i="28"/>
  <c r="H224" i="28"/>
  <c r="G153" i="28"/>
  <c r="G155" i="28"/>
  <c r="G157" i="28"/>
  <c r="G159" i="28"/>
  <c r="G161" i="28"/>
  <c r="G163" i="28"/>
  <c r="G165" i="28"/>
  <c r="G167" i="28"/>
  <c r="G169" i="28"/>
  <c r="G171" i="28"/>
  <c r="G173" i="28"/>
  <c r="G175" i="28"/>
  <c r="G177" i="28"/>
  <c r="G179" i="28"/>
  <c r="G181" i="28"/>
  <c r="G183" i="28"/>
  <c r="G185" i="28"/>
  <c r="G187" i="28"/>
  <c r="G189" i="28"/>
  <c r="G191" i="28"/>
  <c r="G193" i="28"/>
  <c r="G195" i="28"/>
  <c r="G197" i="28"/>
  <c r="G199" i="28"/>
  <c r="G201" i="28"/>
  <c r="G203" i="28"/>
  <c r="G205" i="28"/>
  <c r="G207" i="28"/>
  <c r="G209" i="28"/>
  <c r="G211" i="28"/>
  <c r="G213" i="28"/>
  <c r="G215" i="28"/>
  <c r="G217" i="28"/>
  <c r="G219" i="28"/>
  <c r="G221" i="28"/>
  <c r="G223" i="28"/>
  <c r="G225" i="28"/>
  <c r="G227" i="28"/>
  <c r="J3" i="45"/>
  <c r="C11" i="48" l="1"/>
  <c r="M11" i="48"/>
  <c r="B26" i="48" l="1"/>
  <c r="B25" i="48"/>
  <c r="B24" i="48"/>
  <c r="B23" i="48"/>
  <c r="B22" i="48"/>
  <c r="B21" i="48"/>
  <c r="B20" i="48"/>
  <c r="C3" i="48"/>
  <c r="M3" i="48"/>
  <c r="C4" i="48"/>
  <c r="M4" i="48"/>
  <c r="C5" i="48"/>
  <c r="M5" i="48"/>
  <c r="C6" i="48"/>
  <c r="M6" i="48"/>
  <c r="C7" i="48"/>
  <c r="M7" i="48"/>
  <c r="C8" i="48"/>
  <c r="M8" i="48"/>
  <c r="C9" i="48"/>
  <c r="M9" i="48"/>
  <c r="C10" i="48"/>
  <c r="M10" i="48"/>
  <c r="F180" i="28" l="1"/>
  <c r="F171" i="28"/>
  <c r="F179" i="28"/>
  <c r="F187" i="28"/>
  <c r="F184" i="28"/>
  <c r="F170" i="28"/>
  <c r="F186" i="28"/>
  <c r="F176" i="28"/>
  <c r="F173" i="28"/>
  <c r="F181" i="28"/>
  <c r="F189" i="28"/>
  <c r="F182" i="28"/>
  <c r="F178" i="28"/>
  <c r="F177" i="28"/>
  <c r="F174" i="28"/>
  <c r="F172" i="28"/>
  <c r="F188" i="28"/>
  <c r="F175" i="28"/>
  <c r="F183" i="28"/>
  <c r="F185" i="28"/>
  <c r="F124" i="28"/>
  <c r="F128" i="28"/>
  <c r="F125" i="28"/>
  <c r="F127" i="28"/>
  <c r="F122" i="28"/>
  <c r="F126" i="28"/>
  <c r="F123" i="28"/>
  <c r="F132" i="28"/>
  <c r="F136" i="28"/>
  <c r="F140" i="28"/>
  <c r="F138" i="28"/>
  <c r="F134" i="28"/>
  <c r="F133" i="28"/>
  <c r="F141" i="28"/>
  <c r="F139" i="28"/>
  <c r="F144" i="28"/>
  <c r="F135" i="28"/>
  <c r="F131" i="28"/>
  <c r="F130" i="28"/>
  <c r="F142" i="28"/>
  <c r="F129" i="28"/>
  <c r="F137" i="28"/>
  <c r="F143" i="28"/>
  <c r="F145" i="28"/>
  <c r="F147" i="28"/>
  <c r="F146" i="28"/>
  <c r="B32" i="48"/>
  <c r="F206" i="28"/>
  <c r="F196" i="28"/>
  <c r="F195" i="28"/>
  <c r="F203" i="28"/>
  <c r="F194" i="28"/>
  <c r="F193" i="28"/>
  <c r="F190" i="28"/>
  <c r="F202" i="28"/>
  <c r="F192" i="28"/>
  <c r="F208" i="28"/>
  <c r="F197" i="28"/>
  <c r="F205" i="28"/>
  <c r="F201" i="28"/>
  <c r="F198" i="28"/>
  <c r="F204" i="28"/>
  <c r="F191" i="28"/>
  <c r="F199" i="28"/>
  <c r="F207" i="28"/>
  <c r="F200" i="28"/>
  <c r="F166" i="28"/>
  <c r="F164" i="28"/>
  <c r="F155" i="28"/>
  <c r="F163" i="28"/>
  <c r="F158" i="28"/>
  <c r="F150" i="28"/>
  <c r="F169" i="28"/>
  <c r="F154" i="28"/>
  <c r="F160" i="28"/>
  <c r="F157" i="28"/>
  <c r="F165" i="28"/>
  <c r="F148" i="28"/>
  <c r="F168" i="28"/>
  <c r="F153" i="28"/>
  <c r="F156" i="28"/>
  <c r="F149" i="28"/>
  <c r="F151" i="28"/>
  <c r="F159" i="28"/>
  <c r="F167" i="28"/>
  <c r="F162" i="28"/>
  <c r="F152" i="28"/>
  <c r="F161" i="28"/>
  <c r="B33" i="48"/>
  <c r="F212" i="28"/>
  <c r="F211" i="28"/>
  <c r="F219" i="28"/>
  <c r="F227" i="28"/>
  <c r="F216" i="28"/>
  <c r="F217" i="28"/>
  <c r="F214" i="28"/>
  <c r="F218" i="28"/>
  <c r="F224" i="28"/>
  <c r="F213" i="28"/>
  <c r="F221" i="28"/>
  <c r="F222" i="28"/>
  <c r="F226" i="28"/>
  <c r="F225" i="28"/>
  <c r="F220" i="28"/>
  <c r="F215" i="28"/>
  <c r="F223" i="28"/>
  <c r="F210" i="28"/>
  <c r="F209" i="28"/>
  <c r="B28" i="48"/>
  <c r="B29" i="48"/>
  <c r="B30" i="48"/>
  <c r="B31" i="48"/>
  <c r="B27" i="48"/>
  <c r="B37" i="48" l="1"/>
  <c r="F286" i="28"/>
  <c r="F288" i="28"/>
  <c r="F291" i="28"/>
  <c r="F295" i="28"/>
  <c r="F299" i="28"/>
  <c r="F290" i="28"/>
  <c r="F298" i="28"/>
  <c r="F296" i="28"/>
  <c r="F283" i="28"/>
  <c r="F287" i="28"/>
  <c r="F284" i="28"/>
  <c r="F294" i="28"/>
  <c r="F292" i="28"/>
  <c r="F285" i="28"/>
  <c r="F289" i="28"/>
  <c r="F293" i="28"/>
  <c r="F297" i="28"/>
  <c r="B39" i="48"/>
  <c r="B46" i="48" s="1"/>
  <c r="B53" i="48" s="1"/>
  <c r="B60" i="48" s="1"/>
  <c r="B67" i="48" s="1"/>
  <c r="B74" i="48" s="1"/>
  <c r="B81" i="48" s="1"/>
  <c r="B88" i="48" s="1"/>
  <c r="B95" i="48" s="1"/>
  <c r="B102" i="48" s="1"/>
  <c r="B109" i="48" s="1"/>
  <c r="B116" i="48" s="1"/>
  <c r="B123" i="48" s="1"/>
  <c r="B130" i="48" s="1"/>
  <c r="B137" i="48" s="1"/>
  <c r="B144" i="48" s="1"/>
  <c r="B151" i="48" s="1"/>
  <c r="B158" i="48" s="1"/>
  <c r="B165" i="48" s="1"/>
  <c r="B172" i="48" s="1"/>
  <c r="B179" i="48" s="1"/>
  <c r="B186" i="48" s="1"/>
  <c r="B193" i="48" s="1"/>
  <c r="B200" i="48" s="1"/>
  <c r="B207" i="48" s="1"/>
  <c r="B214" i="48" s="1"/>
  <c r="B221" i="48" s="1"/>
  <c r="B228" i="48" s="1"/>
  <c r="B235" i="48" s="1"/>
  <c r="B242" i="48" s="1"/>
  <c r="B249" i="48" s="1"/>
  <c r="B256" i="48" s="1"/>
  <c r="B263" i="48" s="1"/>
  <c r="B270" i="48" s="1"/>
  <c r="B277" i="48" s="1"/>
  <c r="B284" i="48" s="1"/>
  <c r="B291" i="48" s="1"/>
  <c r="B298" i="48" s="1"/>
  <c r="B305" i="48" s="1"/>
  <c r="B312" i="48" s="1"/>
  <c r="B319" i="48" s="1"/>
  <c r="B326" i="48" s="1"/>
  <c r="B333" i="48" s="1"/>
  <c r="B340" i="48" s="1"/>
  <c r="B347" i="48" s="1"/>
  <c r="B354" i="48" s="1"/>
  <c r="B361" i="48" s="1"/>
  <c r="F310" i="28"/>
  <c r="F320" i="28"/>
  <c r="F332" i="28"/>
  <c r="F311" i="28"/>
  <c r="F315" i="28"/>
  <c r="F319" i="28"/>
  <c r="F323" i="28"/>
  <c r="F327" i="28"/>
  <c r="F331" i="28"/>
  <c r="F335" i="28"/>
  <c r="F334" i="28"/>
  <c r="F322" i="28"/>
  <c r="F326" i="28"/>
  <c r="F328" i="28"/>
  <c r="F330" i="28"/>
  <c r="F314" i="28"/>
  <c r="F318" i="28"/>
  <c r="F336" i="28"/>
  <c r="F316" i="28"/>
  <c r="F312" i="28"/>
  <c r="F324" i="28"/>
  <c r="F309" i="28"/>
  <c r="F313" i="28"/>
  <c r="F317" i="28"/>
  <c r="F321" i="28"/>
  <c r="F325" i="28"/>
  <c r="F329" i="28"/>
  <c r="F333" i="28"/>
  <c r="F337" i="28"/>
  <c r="B38" i="48"/>
  <c r="F306" i="28"/>
  <c r="F300" i="28"/>
  <c r="F303" i="28"/>
  <c r="F307" i="28"/>
  <c r="F302" i="28"/>
  <c r="F308" i="28"/>
  <c r="F304" i="28"/>
  <c r="F301" i="28"/>
  <c r="F305" i="28"/>
  <c r="B36" i="48"/>
  <c r="F249" i="28"/>
  <c r="F265" i="28"/>
  <c r="F281" i="28"/>
  <c r="F259" i="28"/>
  <c r="F275" i="28"/>
  <c r="F272" i="28"/>
  <c r="F276" i="28"/>
  <c r="F280" i="28"/>
  <c r="F250" i="28"/>
  <c r="F254" i="28"/>
  <c r="F258" i="28"/>
  <c r="F262" i="28"/>
  <c r="F266" i="28"/>
  <c r="F253" i="28"/>
  <c r="F269" i="28"/>
  <c r="F247" i="28"/>
  <c r="F263" i="28"/>
  <c r="F279" i="28"/>
  <c r="F257" i="28"/>
  <c r="F273" i="28"/>
  <c r="F251" i="28"/>
  <c r="F267" i="28"/>
  <c r="F270" i="28"/>
  <c r="F274" i="28"/>
  <c r="F278" i="28"/>
  <c r="F282" i="28"/>
  <c r="F248" i="28"/>
  <c r="F261" i="28"/>
  <c r="F277" i="28"/>
  <c r="F255" i="28"/>
  <c r="F271" i="28"/>
  <c r="F252" i="28"/>
  <c r="F256" i="28"/>
  <c r="F260" i="28"/>
  <c r="F264" i="28"/>
  <c r="F268" i="28"/>
  <c r="B34" i="48"/>
  <c r="F232" i="28"/>
  <c r="F235" i="28"/>
  <c r="F231" i="28"/>
  <c r="F234" i="28"/>
  <c r="F230" i="28"/>
  <c r="F228" i="28"/>
  <c r="F229" i="28"/>
  <c r="F240" i="28"/>
  <c r="F238" i="28"/>
  <c r="F237" i="28"/>
  <c r="F239" i="28"/>
  <c r="F233" i="28"/>
  <c r="F236" i="28"/>
  <c r="B35" i="48"/>
  <c r="F242" i="28"/>
  <c r="F241" i="28"/>
  <c r="F243" i="28"/>
  <c r="F246" i="28"/>
  <c r="F245" i="28"/>
  <c r="F244" i="28"/>
  <c r="B40" i="48"/>
  <c r="F341" i="28"/>
  <c r="F349" i="28"/>
  <c r="F338" i="28"/>
  <c r="F342" i="28"/>
  <c r="F346" i="28"/>
  <c r="F343" i="28"/>
  <c r="F345" i="28"/>
  <c r="F339" i="28"/>
  <c r="F340" i="28"/>
  <c r="F344" i="28"/>
  <c r="F348" i="28"/>
  <c r="F347" i="28"/>
  <c r="I9" i="52"/>
  <c r="I8" i="52"/>
  <c r="I7" i="52"/>
  <c r="I6" i="52"/>
  <c r="C2" i="52"/>
  <c r="I20" i="48"/>
  <c r="I21" i="48"/>
  <c r="I22" i="48"/>
  <c r="I23" i="48"/>
  <c r="I26" i="48"/>
  <c r="I27" i="48"/>
  <c r="I28" i="48"/>
  <c r="I29" i="48"/>
  <c r="I30" i="48"/>
  <c r="I31" i="48"/>
  <c r="I32" i="48"/>
  <c r="I33" i="48"/>
  <c r="I34" i="48"/>
  <c r="I35" i="48"/>
  <c r="I36" i="48"/>
  <c r="I37" i="48"/>
  <c r="I38" i="48"/>
  <c r="I39" i="48"/>
  <c r="I40" i="48"/>
  <c r="I41" i="48"/>
  <c r="I42" i="48"/>
  <c r="I43" i="48"/>
  <c r="I44" i="48"/>
  <c r="I45" i="48"/>
  <c r="I46" i="48"/>
  <c r="I47" i="48"/>
  <c r="I48" i="48"/>
  <c r="I49" i="48"/>
  <c r="I50" i="48"/>
  <c r="I51" i="48"/>
  <c r="I52" i="48"/>
  <c r="I53" i="48"/>
  <c r="I54" i="48"/>
  <c r="I55" i="48"/>
  <c r="I56" i="48"/>
  <c r="I57" i="48"/>
  <c r="I58" i="48"/>
  <c r="I59" i="48"/>
  <c r="I60" i="48"/>
  <c r="I61" i="48"/>
  <c r="I62" i="48"/>
  <c r="I63" i="48"/>
  <c r="I64" i="48"/>
  <c r="I65" i="48"/>
  <c r="I66" i="48"/>
  <c r="I67" i="48"/>
  <c r="I68" i="48"/>
  <c r="I69" i="48"/>
  <c r="I70" i="48"/>
  <c r="I71" i="48"/>
  <c r="I72" i="48"/>
  <c r="I73" i="48"/>
  <c r="I74" i="48"/>
  <c r="I75" i="48"/>
  <c r="I76" i="48"/>
  <c r="I77" i="48"/>
  <c r="I78" i="48"/>
  <c r="I79" i="48"/>
  <c r="I80" i="48"/>
  <c r="I81" i="48"/>
  <c r="I82" i="48"/>
  <c r="I83" i="48"/>
  <c r="I84" i="48"/>
  <c r="I85" i="48"/>
  <c r="I86" i="48"/>
  <c r="I87" i="48"/>
  <c r="I88" i="48"/>
  <c r="I89" i="48"/>
  <c r="I90" i="48"/>
  <c r="I91" i="48"/>
  <c r="I92" i="48"/>
  <c r="I93" i="48"/>
  <c r="I94" i="48"/>
  <c r="I95" i="48"/>
  <c r="I96" i="48"/>
  <c r="I97" i="48"/>
  <c r="I98" i="48"/>
  <c r="I99" i="48"/>
  <c r="I100" i="48"/>
  <c r="I101" i="48"/>
  <c r="I102" i="48"/>
  <c r="I103" i="48"/>
  <c r="I104" i="48"/>
  <c r="I105" i="48"/>
  <c r="I106" i="48"/>
  <c r="I107" i="48"/>
  <c r="I108" i="48"/>
  <c r="I109" i="48"/>
  <c r="I110" i="48"/>
  <c r="I111" i="48"/>
  <c r="I112" i="48"/>
  <c r="I113" i="48"/>
  <c r="I114" i="48"/>
  <c r="I115" i="48"/>
  <c r="I116" i="48"/>
  <c r="I117" i="48"/>
  <c r="I118" i="48"/>
  <c r="I119" i="48"/>
  <c r="I120" i="48"/>
  <c r="I121" i="48"/>
  <c r="I122" i="48"/>
  <c r="I123" i="48"/>
  <c r="I124" i="48"/>
  <c r="I125" i="48"/>
  <c r="I126" i="48"/>
  <c r="I127" i="48"/>
  <c r="I128" i="48"/>
  <c r="I129" i="48"/>
  <c r="I130" i="48"/>
  <c r="I131" i="48"/>
  <c r="I132" i="48"/>
  <c r="I133" i="48"/>
  <c r="I134" i="48"/>
  <c r="I135" i="48"/>
  <c r="I136" i="48"/>
  <c r="I137" i="48"/>
  <c r="I138" i="48"/>
  <c r="I139" i="48"/>
  <c r="I140" i="48"/>
  <c r="I141" i="48"/>
  <c r="I142" i="48"/>
  <c r="I143" i="48"/>
  <c r="I144" i="48"/>
  <c r="I145" i="48"/>
  <c r="I146" i="48"/>
  <c r="I147" i="48"/>
  <c r="I148" i="48"/>
  <c r="I149" i="48"/>
  <c r="I150" i="48"/>
  <c r="I151" i="48"/>
  <c r="I152" i="48"/>
  <c r="I153" i="48"/>
  <c r="I154" i="48"/>
  <c r="I155" i="48"/>
  <c r="I156" i="48"/>
  <c r="I157" i="48"/>
  <c r="I158" i="48"/>
  <c r="I159" i="48"/>
  <c r="I160" i="48"/>
  <c r="I161" i="48"/>
  <c r="I162" i="48"/>
  <c r="I163" i="48"/>
  <c r="I164" i="48"/>
  <c r="I165" i="48"/>
  <c r="I166" i="48"/>
  <c r="I167" i="48"/>
  <c r="I168" i="48"/>
  <c r="I169" i="48"/>
  <c r="I170" i="48"/>
  <c r="I171" i="48"/>
  <c r="I172" i="48"/>
  <c r="I173" i="48"/>
  <c r="I174" i="48"/>
  <c r="I175" i="48"/>
  <c r="I176" i="48"/>
  <c r="I177" i="48"/>
  <c r="I178" i="48"/>
  <c r="I179" i="48"/>
  <c r="I180" i="48"/>
  <c r="I181" i="48"/>
  <c r="I182" i="48"/>
  <c r="I183" i="48"/>
  <c r="I184" i="48"/>
  <c r="I185" i="48"/>
  <c r="I186" i="48"/>
  <c r="I187" i="48"/>
  <c r="I188" i="48"/>
  <c r="I189" i="48"/>
  <c r="I190" i="48"/>
  <c r="I191" i="48"/>
  <c r="I192" i="48"/>
  <c r="I193" i="48"/>
  <c r="I194" i="48"/>
  <c r="I195" i="48"/>
  <c r="I196" i="48"/>
  <c r="I197" i="48"/>
  <c r="I198" i="48"/>
  <c r="I199" i="48"/>
  <c r="I200" i="48"/>
  <c r="I201" i="48"/>
  <c r="I202" i="48"/>
  <c r="I203" i="48"/>
  <c r="I204" i="48"/>
  <c r="I205" i="48"/>
  <c r="I206" i="48"/>
  <c r="I207" i="48"/>
  <c r="I208" i="48"/>
  <c r="I209" i="48"/>
  <c r="I210" i="48"/>
  <c r="I211" i="48"/>
  <c r="I212" i="48"/>
  <c r="I213" i="48"/>
  <c r="I214" i="48"/>
  <c r="I215" i="48"/>
  <c r="I216" i="48"/>
  <c r="I217" i="48"/>
  <c r="I218" i="48"/>
  <c r="I219" i="48"/>
  <c r="I220" i="48"/>
  <c r="I221" i="48"/>
  <c r="I222" i="48"/>
  <c r="I223" i="48"/>
  <c r="I224" i="48"/>
  <c r="I225" i="48"/>
  <c r="I226" i="48"/>
  <c r="I227" i="48"/>
  <c r="I228" i="48"/>
  <c r="I229" i="48"/>
  <c r="I230" i="48"/>
  <c r="I231" i="48"/>
  <c r="I232" i="48"/>
  <c r="I233" i="48"/>
  <c r="I234" i="48"/>
  <c r="I235" i="48"/>
  <c r="I236" i="48"/>
  <c r="I237" i="48"/>
  <c r="I238" i="48"/>
  <c r="I239" i="48"/>
  <c r="I240" i="48"/>
  <c r="I241" i="48"/>
  <c r="I242" i="48"/>
  <c r="I243" i="48"/>
  <c r="I244" i="48"/>
  <c r="I245" i="48"/>
  <c r="I246" i="48"/>
  <c r="I247" i="48"/>
  <c r="I248" i="48"/>
  <c r="I249" i="48"/>
  <c r="I250" i="48"/>
  <c r="I251" i="48"/>
  <c r="I252" i="48"/>
  <c r="I253" i="48"/>
  <c r="I254" i="48"/>
  <c r="I255" i="48"/>
  <c r="I256" i="48"/>
  <c r="I257" i="48"/>
  <c r="I258" i="48"/>
  <c r="I259" i="48"/>
  <c r="I260" i="48"/>
  <c r="I261" i="48"/>
  <c r="I262" i="48"/>
  <c r="I263" i="48"/>
  <c r="I264" i="48"/>
  <c r="I265" i="48"/>
  <c r="I266" i="48"/>
  <c r="I267" i="48"/>
  <c r="I268" i="48"/>
  <c r="I269" i="48"/>
  <c r="I270" i="48"/>
  <c r="I271" i="48"/>
  <c r="I272" i="48"/>
  <c r="I273" i="48"/>
  <c r="I274" i="48"/>
  <c r="I275" i="48"/>
  <c r="I276" i="48"/>
  <c r="I277" i="48"/>
  <c r="I278" i="48"/>
  <c r="I279" i="48"/>
  <c r="I280" i="48"/>
  <c r="I281" i="48"/>
  <c r="I282" i="48"/>
  <c r="I283" i="48"/>
  <c r="I284" i="48"/>
  <c r="I285" i="48"/>
  <c r="I286" i="48"/>
  <c r="I287" i="48"/>
  <c r="I288" i="48"/>
  <c r="I289" i="48"/>
  <c r="I290" i="48"/>
  <c r="I291" i="48"/>
  <c r="I292" i="48"/>
  <c r="I293" i="48"/>
  <c r="I294" i="48"/>
  <c r="I295" i="48"/>
  <c r="I296" i="48"/>
  <c r="I297" i="48"/>
  <c r="I298" i="48"/>
  <c r="I299" i="48"/>
  <c r="I300" i="48"/>
  <c r="I301" i="48"/>
  <c r="I302" i="48"/>
  <c r="I303" i="48"/>
  <c r="I304" i="48"/>
  <c r="I305" i="48"/>
  <c r="I306" i="48"/>
  <c r="I307" i="48"/>
  <c r="I308" i="48"/>
  <c r="I309" i="48"/>
  <c r="I310" i="48"/>
  <c r="I311" i="48"/>
  <c r="I312" i="48"/>
  <c r="I313" i="48"/>
  <c r="I314" i="48"/>
  <c r="I315" i="48"/>
  <c r="I316" i="48"/>
  <c r="I317" i="48"/>
  <c r="I318" i="48"/>
  <c r="I319" i="48"/>
  <c r="I320" i="48"/>
  <c r="I321" i="48"/>
  <c r="I322" i="48"/>
  <c r="I323" i="48"/>
  <c r="I324" i="48"/>
  <c r="I325" i="48"/>
  <c r="I326" i="48"/>
  <c r="I327" i="48"/>
  <c r="I328" i="48"/>
  <c r="I329" i="48"/>
  <c r="I330" i="48"/>
  <c r="I331" i="48"/>
  <c r="I332" i="48"/>
  <c r="I333" i="48"/>
  <c r="I334" i="48"/>
  <c r="I335" i="48"/>
  <c r="I336" i="48"/>
  <c r="I337" i="48"/>
  <c r="I338" i="48"/>
  <c r="I339" i="48"/>
  <c r="I340" i="48"/>
  <c r="I341" i="48"/>
  <c r="I342" i="48"/>
  <c r="I343" i="48"/>
  <c r="I344" i="48"/>
  <c r="I345" i="48"/>
  <c r="I346" i="48"/>
  <c r="I347" i="48"/>
  <c r="I348" i="48"/>
  <c r="I349" i="48"/>
  <c r="I350" i="48"/>
  <c r="I351" i="48"/>
  <c r="I352" i="48"/>
  <c r="I353" i="48"/>
  <c r="I354" i="48"/>
  <c r="I355" i="48"/>
  <c r="I356" i="48"/>
  <c r="I357" i="48"/>
  <c r="I358" i="48"/>
  <c r="I359" i="48"/>
  <c r="I360" i="48"/>
  <c r="I361" i="48"/>
  <c r="I362" i="48"/>
  <c r="I363" i="48"/>
  <c r="I364" i="48"/>
  <c r="I365" i="48"/>
  <c r="I366" i="48"/>
  <c r="I367" i="48"/>
  <c r="I368" i="48"/>
  <c r="I369" i="48"/>
  <c r="I13" i="48"/>
  <c r="I17" i="48"/>
  <c r="I16" i="48"/>
  <c r="I15" i="48"/>
  <c r="I14" i="48"/>
  <c r="C13" i="48"/>
  <c r="C14" i="48"/>
  <c r="C15" i="48"/>
  <c r="C16" i="48"/>
  <c r="C17" i="48"/>
  <c r="C18" i="48"/>
  <c r="C19" i="48"/>
  <c r="C20" i="48"/>
  <c r="C21" i="48"/>
  <c r="C22" i="48"/>
  <c r="C23" i="48"/>
  <c r="C24" i="48"/>
  <c r="C25" i="48"/>
  <c r="C26" i="48"/>
  <c r="C27" i="48"/>
  <c r="C28" i="48"/>
  <c r="C29" i="48"/>
  <c r="C30" i="48"/>
  <c r="C31" i="48"/>
  <c r="C32" i="48"/>
  <c r="C33" i="48"/>
  <c r="C34" i="48"/>
  <c r="C35" i="48"/>
  <c r="C36" i="48"/>
  <c r="C37" i="48"/>
  <c r="C38" i="48"/>
  <c r="C39" i="48"/>
  <c r="C40" i="48"/>
  <c r="C41" i="48"/>
  <c r="C42" i="48"/>
  <c r="C43" i="48"/>
  <c r="C44" i="48"/>
  <c r="C45" i="48"/>
  <c r="C46" i="48"/>
  <c r="C47" i="48"/>
  <c r="C48" i="48"/>
  <c r="C49" i="48"/>
  <c r="C50" i="48"/>
  <c r="C51" i="48"/>
  <c r="C52" i="48"/>
  <c r="C53" i="48"/>
  <c r="C54" i="48"/>
  <c r="C55" i="48"/>
  <c r="C56" i="48"/>
  <c r="C57" i="48"/>
  <c r="C58" i="48"/>
  <c r="C59" i="48"/>
  <c r="C60" i="48"/>
  <c r="C61" i="48"/>
  <c r="C62" i="48"/>
  <c r="C63" i="48"/>
  <c r="C64" i="48"/>
  <c r="C65" i="48"/>
  <c r="C66" i="48"/>
  <c r="C67" i="48"/>
  <c r="C68" i="48"/>
  <c r="C69" i="48"/>
  <c r="C70" i="48"/>
  <c r="C71" i="48"/>
  <c r="C72" i="48"/>
  <c r="C73" i="48"/>
  <c r="C74" i="48"/>
  <c r="C75" i="48"/>
  <c r="C76" i="48"/>
  <c r="C77" i="48"/>
  <c r="C78" i="48"/>
  <c r="C79" i="48"/>
  <c r="C80" i="48"/>
  <c r="C81" i="48"/>
  <c r="C82" i="48"/>
  <c r="C83" i="48"/>
  <c r="C84" i="48"/>
  <c r="C85" i="48"/>
  <c r="C86" i="48"/>
  <c r="C87" i="48"/>
  <c r="C88" i="48"/>
  <c r="C89" i="48"/>
  <c r="C90" i="48"/>
  <c r="C91" i="48"/>
  <c r="C92" i="48"/>
  <c r="C93" i="48"/>
  <c r="C94" i="48"/>
  <c r="C95" i="48"/>
  <c r="C96" i="48"/>
  <c r="C97" i="48"/>
  <c r="C98" i="48"/>
  <c r="C99" i="48"/>
  <c r="C100" i="48"/>
  <c r="C101" i="48"/>
  <c r="C102" i="48"/>
  <c r="C103" i="48"/>
  <c r="C104" i="48"/>
  <c r="C105" i="48"/>
  <c r="C106" i="48"/>
  <c r="C107" i="48"/>
  <c r="C108" i="48"/>
  <c r="C109" i="48"/>
  <c r="C110" i="48"/>
  <c r="C111" i="48"/>
  <c r="C112" i="48"/>
  <c r="C113" i="48"/>
  <c r="C114" i="48"/>
  <c r="C115" i="48"/>
  <c r="C116" i="48"/>
  <c r="C117" i="48"/>
  <c r="C118" i="48"/>
  <c r="C119" i="48"/>
  <c r="C120" i="48"/>
  <c r="C121" i="48"/>
  <c r="C122" i="48"/>
  <c r="C123" i="48"/>
  <c r="C124" i="48"/>
  <c r="C125" i="48"/>
  <c r="C126" i="48"/>
  <c r="C127" i="48"/>
  <c r="C128" i="48"/>
  <c r="C129" i="48"/>
  <c r="C130" i="48"/>
  <c r="C131" i="48"/>
  <c r="C132" i="48"/>
  <c r="C133" i="48"/>
  <c r="C134" i="48"/>
  <c r="C135" i="48"/>
  <c r="C136" i="48"/>
  <c r="C137" i="48"/>
  <c r="C138" i="48"/>
  <c r="C139" i="48"/>
  <c r="C140" i="48"/>
  <c r="C141" i="48"/>
  <c r="C142" i="48"/>
  <c r="C143" i="48"/>
  <c r="C144" i="48"/>
  <c r="C145" i="48"/>
  <c r="C146" i="48"/>
  <c r="C147" i="48"/>
  <c r="C148" i="48"/>
  <c r="C149" i="48"/>
  <c r="C150" i="48"/>
  <c r="C151" i="48"/>
  <c r="C152" i="48"/>
  <c r="C153" i="48"/>
  <c r="C154" i="48"/>
  <c r="C155" i="48"/>
  <c r="C156" i="48"/>
  <c r="C157" i="48"/>
  <c r="C158" i="48"/>
  <c r="C159" i="48"/>
  <c r="C160" i="48"/>
  <c r="C161" i="48"/>
  <c r="C162" i="48"/>
  <c r="C163" i="48"/>
  <c r="C164" i="48"/>
  <c r="C165" i="48"/>
  <c r="C166" i="48"/>
  <c r="C167" i="48"/>
  <c r="C168" i="48"/>
  <c r="C169" i="48"/>
  <c r="C170" i="48"/>
  <c r="C171" i="48"/>
  <c r="C172" i="48"/>
  <c r="C173" i="48"/>
  <c r="C174" i="48"/>
  <c r="C175" i="48"/>
  <c r="C176" i="48"/>
  <c r="C177" i="48"/>
  <c r="C178" i="48"/>
  <c r="C179" i="48"/>
  <c r="C180" i="48"/>
  <c r="C181" i="48"/>
  <c r="C182" i="48"/>
  <c r="C183" i="48"/>
  <c r="C184" i="48"/>
  <c r="C185" i="48"/>
  <c r="C186" i="48"/>
  <c r="C187" i="48"/>
  <c r="C188" i="48"/>
  <c r="C189" i="48"/>
  <c r="C190" i="48"/>
  <c r="C191" i="48"/>
  <c r="C192" i="48"/>
  <c r="C193" i="48"/>
  <c r="C194" i="48"/>
  <c r="C195" i="48"/>
  <c r="C196" i="48"/>
  <c r="C197" i="48"/>
  <c r="C198" i="48"/>
  <c r="C199" i="48"/>
  <c r="C200" i="48"/>
  <c r="C201" i="48"/>
  <c r="C202" i="48"/>
  <c r="C203" i="48"/>
  <c r="C204" i="48"/>
  <c r="C205" i="48"/>
  <c r="C206" i="48"/>
  <c r="C207" i="48"/>
  <c r="C208" i="48"/>
  <c r="C209" i="48"/>
  <c r="C210" i="48"/>
  <c r="C211" i="48"/>
  <c r="C212" i="48"/>
  <c r="C213" i="48"/>
  <c r="C214" i="48"/>
  <c r="C215" i="48"/>
  <c r="C216" i="48"/>
  <c r="C217" i="48"/>
  <c r="C218" i="48"/>
  <c r="C219" i="48"/>
  <c r="C220" i="48"/>
  <c r="C221" i="48"/>
  <c r="C222" i="48"/>
  <c r="C223" i="48"/>
  <c r="C224" i="48"/>
  <c r="C225" i="48"/>
  <c r="C226" i="48"/>
  <c r="C227" i="48"/>
  <c r="C228" i="48"/>
  <c r="C229" i="48"/>
  <c r="C230" i="48"/>
  <c r="C231" i="48"/>
  <c r="C232" i="48"/>
  <c r="C233" i="48"/>
  <c r="C234" i="48"/>
  <c r="C235" i="48"/>
  <c r="C236" i="48"/>
  <c r="C237" i="48"/>
  <c r="C238" i="48"/>
  <c r="C239" i="48"/>
  <c r="C240" i="48"/>
  <c r="C241" i="48"/>
  <c r="C242" i="48"/>
  <c r="C243" i="48"/>
  <c r="C244" i="48"/>
  <c r="C245" i="48"/>
  <c r="C246" i="48"/>
  <c r="C247" i="48"/>
  <c r="C248" i="48"/>
  <c r="C249" i="48"/>
  <c r="C250" i="48"/>
  <c r="C251" i="48"/>
  <c r="C252" i="48"/>
  <c r="C253" i="48"/>
  <c r="C254" i="48"/>
  <c r="C255" i="48"/>
  <c r="C256" i="48"/>
  <c r="C257" i="48"/>
  <c r="C258" i="48"/>
  <c r="C259" i="48"/>
  <c r="C260" i="48"/>
  <c r="C261" i="48"/>
  <c r="C262" i="48"/>
  <c r="C263" i="48"/>
  <c r="C264" i="48"/>
  <c r="C265" i="48"/>
  <c r="C266" i="48"/>
  <c r="C267" i="48"/>
  <c r="C268" i="48"/>
  <c r="C269" i="48"/>
  <c r="C270" i="48"/>
  <c r="C271" i="48"/>
  <c r="C272" i="48"/>
  <c r="C273" i="48"/>
  <c r="C274" i="48"/>
  <c r="C275" i="48"/>
  <c r="C276" i="48"/>
  <c r="C277" i="48"/>
  <c r="C278" i="48"/>
  <c r="C279" i="48"/>
  <c r="C280" i="48"/>
  <c r="C281" i="48"/>
  <c r="C282" i="48"/>
  <c r="C283" i="48"/>
  <c r="C284" i="48"/>
  <c r="C285" i="48"/>
  <c r="C286" i="48"/>
  <c r="C287" i="48"/>
  <c r="C288" i="48"/>
  <c r="C289" i="48"/>
  <c r="C290" i="48"/>
  <c r="C291" i="48"/>
  <c r="C292" i="48"/>
  <c r="C293" i="48"/>
  <c r="C294" i="48"/>
  <c r="C295" i="48"/>
  <c r="C296" i="48"/>
  <c r="C297" i="48"/>
  <c r="C298" i="48"/>
  <c r="C299" i="48"/>
  <c r="C300" i="48"/>
  <c r="C301" i="48"/>
  <c r="C302" i="48"/>
  <c r="C303" i="48"/>
  <c r="C304" i="48"/>
  <c r="C305" i="48"/>
  <c r="C306" i="48"/>
  <c r="C307" i="48"/>
  <c r="C308" i="48"/>
  <c r="C309" i="48"/>
  <c r="C310" i="48"/>
  <c r="C311" i="48"/>
  <c r="C312" i="48"/>
  <c r="C313" i="48"/>
  <c r="C314" i="48"/>
  <c r="C315" i="48"/>
  <c r="C316" i="48"/>
  <c r="C317" i="48"/>
  <c r="C318" i="48"/>
  <c r="C319" i="48"/>
  <c r="C320" i="48"/>
  <c r="C321" i="48"/>
  <c r="C322" i="48"/>
  <c r="C323" i="48"/>
  <c r="C324" i="48"/>
  <c r="C325" i="48"/>
  <c r="C326" i="48"/>
  <c r="C327" i="48"/>
  <c r="C328" i="48"/>
  <c r="C329" i="48"/>
  <c r="C330" i="48"/>
  <c r="C331" i="48"/>
  <c r="C332" i="48"/>
  <c r="C333" i="48"/>
  <c r="C334" i="48"/>
  <c r="C335" i="48"/>
  <c r="C336" i="48"/>
  <c r="C337" i="48"/>
  <c r="C338" i="48"/>
  <c r="C339" i="48"/>
  <c r="C340" i="48"/>
  <c r="C341" i="48"/>
  <c r="C342" i="48"/>
  <c r="C343" i="48"/>
  <c r="C344" i="48"/>
  <c r="C345" i="48"/>
  <c r="C346" i="48"/>
  <c r="C347" i="48"/>
  <c r="C348" i="48"/>
  <c r="C349" i="48"/>
  <c r="C350" i="48"/>
  <c r="C351" i="48"/>
  <c r="C352" i="48"/>
  <c r="C353" i="48"/>
  <c r="C354" i="48"/>
  <c r="C355" i="48"/>
  <c r="C356" i="48"/>
  <c r="C357" i="48"/>
  <c r="C358" i="48"/>
  <c r="C359" i="48"/>
  <c r="C360" i="48"/>
  <c r="C361" i="48"/>
  <c r="C362" i="48"/>
  <c r="C363" i="48"/>
  <c r="C364" i="48"/>
  <c r="C365" i="48"/>
  <c r="C366" i="48"/>
  <c r="C367" i="48"/>
  <c r="C368" i="48"/>
  <c r="C369" i="48"/>
  <c r="M32" i="48"/>
  <c r="M31" i="48"/>
  <c r="M30" i="48"/>
  <c r="M29" i="48"/>
  <c r="M28" i="48"/>
  <c r="M27" i="48"/>
  <c r="M26" i="48"/>
  <c r="M25" i="48"/>
  <c r="M24" i="48"/>
  <c r="M23" i="48"/>
  <c r="M22" i="48"/>
  <c r="M21" i="48"/>
  <c r="M20" i="48"/>
  <c r="M19" i="48"/>
  <c r="M18" i="48"/>
  <c r="M17" i="48"/>
  <c r="M16" i="48"/>
  <c r="M15" i="48"/>
  <c r="M14" i="48"/>
  <c r="M13" i="48"/>
  <c r="C1" i="43"/>
  <c r="D1" i="43" s="1"/>
  <c r="E1" i="43" s="1"/>
  <c r="F1" i="43" s="1"/>
  <c r="G1" i="43" s="1"/>
  <c r="H1" i="43" s="1"/>
  <c r="I1" i="43" s="1"/>
  <c r="J1" i="43" s="1"/>
  <c r="K1" i="43" s="1"/>
  <c r="L1" i="43" s="1"/>
  <c r="M1" i="43" s="1"/>
  <c r="N1" i="43" s="1"/>
  <c r="O1" i="43" s="1"/>
  <c r="P1" i="43" s="1"/>
  <c r="Q1" i="43" s="1"/>
  <c r="R1" i="43" s="1"/>
  <c r="S1" i="43" s="1"/>
  <c r="T1" i="43" s="1"/>
  <c r="U1" i="43" s="1"/>
  <c r="V1" i="43" s="1"/>
  <c r="W1" i="43" s="1"/>
  <c r="B41" i="48" l="1"/>
  <c r="B48" i="48" s="1"/>
  <c r="B55" i="48" s="1"/>
  <c r="B62" i="48" s="1"/>
  <c r="B69" i="48" s="1"/>
  <c r="B76" i="48" s="1"/>
  <c r="B83" i="48" s="1"/>
  <c r="B90" i="48" s="1"/>
  <c r="B97" i="48" s="1"/>
  <c r="B104" i="48" s="1"/>
  <c r="B111" i="48" s="1"/>
  <c r="B118" i="48" s="1"/>
  <c r="B125" i="48" s="1"/>
  <c r="B132" i="48" s="1"/>
  <c r="B139" i="48" s="1"/>
  <c r="B146" i="48" s="1"/>
  <c r="B153" i="48" s="1"/>
  <c r="B160" i="48" s="1"/>
  <c r="B167" i="48" s="1"/>
  <c r="B174" i="48" s="1"/>
  <c r="B181" i="48" s="1"/>
  <c r="B188" i="48" s="1"/>
  <c r="B195" i="48" s="1"/>
  <c r="B202" i="48" s="1"/>
  <c r="B209" i="48" s="1"/>
  <c r="B216" i="48" s="1"/>
  <c r="B223" i="48" s="1"/>
  <c r="B230" i="48" s="1"/>
  <c r="B237" i="48" s="1"/>
  <c r="B244" i="48" s="1"/>
  <c r="B251" i="48" s="1"/>
  <c r="B258" i="48" s="1"/>
  <c r="B265" i="48" s="1"/>
  <c r="B272" i="48" s="1"/>
  <c r="B279" i="48" s="1"/>
  <c r="B286" i="48" s="1"/>
  <c r="B293" i="48" s="1"/>
  <c r="B300" i="48" s="1"/>
  <c r="B307" i="48" s="1"/>
  <c r="B314" i="48" s="1"/>
  <c r="B321" i="48" s="1"/>
  <c r="B328" i="48" s="1"/>
  <c r="B335" i="48" s="1"/>
  <c r="B342" i="48" s="1"/>
  <c r="B349" i="48" s="1"/>
  <c r="B356" i="48" s="1"/>
  <c r="F356" i="28"/>
  <c r="F350" i="28"/>
  <c r="F351" i="28"/>
  <c r="F357" i="28"/>
  <c r="F352" i="28"/>
  <c r="F353" i="28"/>
  <c r="F359" i="28"/>
  <c r="F360" i="28"/>
  <c r="F355" i="28"/>
  <c r="F358" i="28"/>
  <c r="F354" i="28"/>
  <c r="B43" i="48"/>
  <c r="B50" i="48" s="1"/>
  <c r="B57" i="48" s="1"/>
  <c r="B64" i="48" s="1"/>
  <c r="B71" i="48" s="1"/>
  <c r="B78" i="48" s="1"/>
  <c r="B85" i="48" s="1"/>
  <c r="B92" i="48" s="1"/>
  <c r="B99" i="48" s="1"/>
  <c r="B106" i="48" s="1"/>
  <c r="B113" i="48" s="1"/>
  <c r="B120" i="48" s="1"/>
  <c r="B127" i="48" s="1"/>
  <c r="B134" i="48" s="1"/>
  <c r="B141" i="48" s="1"/>
  <c r="B148" i="48" s="1"/>
  <c r="B155" i="48" s="1"/>
  <c r="B162" i="48" s="1"/>
  <c r="B169" i="48" s="1"/>
  <c r="B176" i="48" s="1"/>
  <c r="B183" i="48" s="1"/>
  <c r="B190" i="48" s="1"/>
  <c r="B197" i="48" s="1"/>
  <c r="B204" i="48" s="1"/>
  <c r="B211" i="48" s="1"/>
  <c r="B218" i="48" s="1"/>
  <c r="B225" i="48" s="1"/>
  <c r="B232" i="48" s="1"/>
  <c r="B239" i="48" s="1"/>
  <c r="B246" i="48" s="1"/>
  <c r="B253" i="48" s="1"/>
  <c r="B260" i="48" s="1"/>
  <c r="B267" i="48" s="1"/>
  <c r="B274" i="48" s="1"/>
  <c r="B281" i="48" s="1"/>
  <c r="B288" i="48" s="1"/>
  <c r="B295" i="48" s="1"/>
  <c r="B302" i="48" s="1"/>
  <c r="B309" i="48" s="1"/>
  <c r="B316" i="48" s="1"/>
  <c r="B323" i="48" s="1"/>
  <c r="B330" i="48" s="1"/>
  <c r="B337" i="48" s="1"/>
  <c r="B344" i="48" s="1"/>
  <c r="B351" i="48" s="1"/>
  <c r="B358" i="48" s="1"/>
  <c r="F389" i="28"/>
  <c r="F391" i="28"/>
  <c r="F397" i="28"/>
  <c r="F398" i="28"/>
  <c r="F388" i="28"/>
  <c r="F393" i="28"/>
  <c r="F394" i="28"/>
  <c r="F386" i="28"/>
  <c r="F396" i="28"/>
  <c r="F387" i="28"/>
  <c r="F395" i="28"/>
  <c r="F392" i="28"/>
  <c r="F390" i="28"/>
  <c r="B42" i="48"/>
  <c r="B49" i="48" s="1"/>
  <c r="B56" i="48" s="1"/>
  <c r="B63" i="48" s="1"/>
  <c r="B70" i="48" s="1"/>
  <c r="B77" i="48" s="1"/>
  <c r="B84" i="48" s="1"/>
  <c r="B91" i="48" s="1"/>
  <c r="B98" i="48" s="1"/>
  <c r="B105" i="48" s="1"/>
  <c r="B112" i="48" s="1"/>
  <c r="B119" i="48" s="1"/>
  <c r="B126" i="48" s="1"/>
  <c r="B133" i="48" s="1"/>
  <c r="B140" i="48" s="1"/>
  <c r="B147" i="48" s="1"/>
  <c r="B154" i="48" s="1"/>
  <c r="B161" i="48" s="1"/>
  <c r="B168" i="48" s="1"/>
  <c r="B175" i="48" s="1"/>
  <c r="B182" i="48" s="1"/>
  <c r="B189" i="48" s="1"/>
  <c r="B196" i="48" s="1"/>
  <c r="B203" i="48" s="1"/>
  <c r="B210" i="48" s="1"/>
  <c r="B217" i="48" s="1"/>
  <c r="B224" i="48" s="1"/>
  <c r="B231" i="48" s="1"/>
  <c r="B238" i="48" s="1"/>
  <c r="B245" i="48" s="1"/>
  <c r="B252" i="48" s="1"/>
  <c r="B259" i="48" s="1"/>
  <c r="B266" i="48" s="1"/>
  <c r="B273" i="48" s="1"/>
  <c r="B280" i="48" s="1"/>
  <c r="B287" i="48" s="1"/>
  <c r="B294" i="48" s="1"/>
  <c r="B301" i="48" s="1"/>
  <c r="B308" i="48" s="1"/>
  <c r="B315" i="48" s="1"/>
  <c r="B322" i="48" s="1"/>
  <c r="B329" i="48" s="1"/>
  <c r="B336" i="48" s="1"/>
  <c r="B343" i="48" s="1"/>
  <c r="B350" i="48" s="1"/>
  <c r="B357" i="48" s="1"/>
  <c r="F383" i="28"/>
  <c r="F363" i="28"/>
  <c r="F371" i="28"/>
  <c r="F379" i="28"/>
  <c r="F378" i="28"/>
  <c r="F384" i="28"/>
  <c r="F368" i="28"/>
  <c r="F362" i="28"/>
  <c r="F380" i="28"/>
  <c r="F365" i="28"/>
  <c r="F373" i="28"/>
  <c r="F381" i="28"/>
  <c r="F376" i="28"/>
  <c r="F370" i="28"/>
  <c r="F367" i="28"/>
  <c r="F375" i="28"/>
  <c r="F385" i="28"/>
  <c r="F382" i="28"/>
  <c r="F361" i="28"/>
  <c r="F369" i="28"/>
  <c r="F377" i="28"/>
  <c r="F364" i="28"/>
  <c r="F366" i="28"/>
  <c r="F374" i="28"/>
  <c r="F372" i="28"/>
  <c r="F24" i="48"/>
  <c r="G24" i="48"/>
  <c r="F19" i="48"/>
  <c r="G19" i="48"/>
  <c r="B47" i="48"/>
  <c r="B54" i="48" s="1"/>
  <c r="B61" i="48" s="1"/>
  <c r="B68" i="48" s="1"/>
  <c r="B75" i="48" s="1"/>
  <c r="B82" i="48" s="1"/>
  <c r="B89" i="48" s="1"/>
  <c r="B96" i="48" s="1"/>
  <c r="B103" i="48" s="1"/>
  <c r="B110" i="48" s="1"/>
  <c r="B117" i="48" s="1"/>
  <c r="B124" i="48" s="1"/>
  <c r="B131" i="48" s="1"/>
  <c r="B138" i="48" s="1"/>
  <c r="B145" i="48" s="1"/>
  <c r="B152" i="48" s="1"/>
  <c r="B159" i="48" s="1"/>
  <c r="B166" i="48" s="1"/>
  <c r="B173" i="48" s="1"/>
  <c r="B180" i="48" s="1"/>
  <c r="B187" i="48" s="1"/>
  <c r="B194" i="48" s="1"/>
  <c r="B201" i="48" s="1"/>
  <c r="B208" i="48" s="1"/>
  <c r="B215" i="48" s="1"/>
  <c r="B222" i="48" s="1"/>
  <c r="B229" i="48" s="1"/>
  <c r="B236" i="48" s="1"/>
  <c r="B243" i="48" s="1"/>
  <c r="B250" i="48" s="1"/>
  <c r="B257" i="48" s="1"/>
  <c r="B264" i="48" s="1"/>
  <c r="B271" i="48" s="1"/>
  <c r="B278" i="48" s="1"/>
  <c r="B285" i="48" s="1"/>
  <c r="B292" i="48" s="1"/>
  <c r="B299" i="48" s="1"/>
  <c r="B306" i="48" s="1"/>
  <c r="B313" i="48" s="1"/>
  <c r="B320" i="48" s="1"/>
  <c r="B327" i="48" s="1"/>
  <c r="B334" i="48" s="1"/>
  <c r="B341" i="48" s="1"/>
  <c r="B348" i="48" s="1"/>
  <c r="B355" i="48" s="1"/>
  <c r="B362" i="48" s="1"/>
  <c r="F448" i="28"/>
  <c r="F447" i="28"/>
  <c r="B45" i="48"/>
  <c r="B52" i="48" s="1"/>
  <c r="B59" i="48" s="1"/>
  <c r="B66" i="48" s="1"/>
  <c r="B73" i="48" s="1"/>
  <c r="B80" i="48" s="1"/>
  <c r="B87" i="48" s="1"/>
  <c r="B94" i="48" s="1"/>
  <c r="B101" i="48" s="1"/>
  <c r="B108" i="48" s="1"/>
  <c r="B115" i="48" s="1"/>
  <c r="B122" i="48" s="1"/>
  <c r="B129" i="48" s="1"/>
  <c r="B136" i="48" s="1"/>
  <c r="B143" i="48" s="1"/>
  <c r="B150" i="48" s="1"/>
  <c r="B157" i="48" s="1"/>
  <c r="B164" i="48" s="1"/>
  <c r="B171" i="48" s="1"/>
  <c r="B178" i="48" s="1"/>
  <c r="B185" i="48" s="1"/>
  <c r="B192" i="48" s="1"/>
  <c r="B199" i="48" s="1"/>
  <c r="B206" i="48" s="1"/>
  <c r="B213" i="48" s="1"/>
  <c r="B220" i="48" s="1"/>
  <c r="B227" i="48" s="1"/>
  <c r="B234" i="48" s="1"/>
  <c r="B241" i="48" s="1"/>
  <c r="B248" i="48" s="1"/>
  <c r="B255" i="48" s="1"/>
  <c r="B262" i="48" s="1"/>
  <c r="B269" i="48" s="1"/>
  <c r="B276" i="48" s="1"/>
  <c r="B283" i="48" s="1"/>
  <c r="B290" i="48" s="1"/>
  <c r="B297" i="48" s="1"/>
  <c r="B304" i="48" s="1"/>
  <c r="B311" i="48" s="1"/>
  <c r="B318" i="48" s="1"/>
  <c r="B325" i="48" s="1"/>
  <c r="B332" i="48" s="1"/>
  <c r="B339" i="48" s="1"/>
  <c r="B346" i="48" s="1"/>
  <c r="B353" i="48" s="1"/>
  <c r="B360" i="48" s="1"/>
  <c r="F444" i="28"/>
  <c r="F434" i="28"/>
  <c r="F438" i="28"/>
  <c r="F433" i="28"/>
  <c r="F441" i="28"/>
  <c r="F440" i="28"/>
  <c r="F435" i="28"/>
  <c r="F443" i="28"/>
  <c r="F436" i="28"/>
  <c r="F442" i="28"/>
  <c r="F446" i="28"/>
  <c r="F432" i="28"/>
  <c r="F437" i="28"/>
  <c r="F445" i="28"/>
  <c r="F439" i="28"/>
  <c r="B44" i="48"/>
  <c r="B51" i="48" s="1"/>
  <c r="B58" i="48" s="1"/>
  <c r="B65" i="48" s="1"/>
  <c r="B72" i="48" s="1"/>
  <c r="B79" i="48" s="1"/>
  <c r="B86" i="48" s="1"/>
  <c r="B93" i="48" s="1"/>
  <c r="B100" i="48" s="1"/>
  <c r="B107" i="48" s="1"/>
  <c r="B114" i="48" s="1"/>
  <c r="B121" i="48" s="1"/>
  <c r="B128" i="48" s="1"/>
  <c r="B135" i="48" s="1"/>
  <c r="B142" i="48" s="1"/>
  <c r="B149" i="48" s="1"/>
  <c r="B156" i="48" s="1"/>
  <c r="B163" i="48" s="1"/>
  <c r="B170" i="48" s="1"/>
  <c r="B177" i="48" s="1"/>
  <c r="B184" i="48" s="1"/>
  <c r="B191" i="48" s="1"/>
  <c r="B198" i="48" s="1"/>
  <c r="B205" i="48" s="1"/>
  <c r="B212" i="48" s="1"/>
  <c r="B219" i="48" s="1"/>
  <c r="B226" i="48" s="1"/>
  <c r="B233" i="48" s="1"/>
  <c r="B240" i="48" s="1"/>
  <c r="B247" i="48" s="1"/>
  <c r="B254" i="48" s="1"/>
  <c r="B261" i="48" s="1"/>
  <c r="B268" i="48" s="1"/>
  <c r="B275" i="48" s="1"/>
  <c r="B282" i="48" s="1"/>
  <c r="B289" i="48" s="1"/>
  <c r="B296" i="48" s="1"/>
  <c r="B303" i="48" s="1"/>
  <c r="B310" i="48" s="1"/>
  <c r="B317" i="48" s="1"/>
  <c r="B324" i="48" s="1"/>
  <c r="B331" i="48" s="1"/>
  <c r="B338" i="48" s="1"/>
  <c r="B345" i="48" s="1"/>
  <c r="B352" i="48" s="1"/>
  <c r="B359" i="48" s="1"/>
  <c r="F403" i="28"/>
  <c r="F402" i="28"/>
  <c r="F406" i="28"/>
  <c r="F412" i="28"/>
  <c r="F428" i="28"/>
  <c r="F418" i="28"/>
  <c r="F422" i="28"/>
  <c r="F416" i="28"/>
  <c r="F409" i="28"/>
  <c r="F417" i="28"/>
  <c r="F425" i="28"/>
  <c r="F408" i="28"/>
  <c r="F411" i="28"/>
  <c r="F419" i="28"/>
  <c r="F427" i="28"/>
  <c r="F399" i="28"/>
  <c r="F400" i="28"/>
  <c r="F414" i="28"/>
  <c r="F420" i="28"/>
  <c r="F410" i="28"/>
  <c r="F426" i="28"/>
  <c r="F430" i="28"/>
  <c r="F405" i="28"/>
  <c r="F413" i="28"/>
  <c r="F421" i="28"/>
  <c r="F429" i="28"/>
  <c r="F401" i="28"/>
  <c r="F404" i="28"/>
  <c r="F424" i="28"/>
  <c r="F407" i="28"/>
  <c r="F415" i="28"/>
  <c r="F423" i="28"/>
  <c r="F431" i="28"/>
  <c r="G366" i="48"/>
  <c r="F366" i="48"/>
  <c r="G354" i="48"/>
  <c r="F354" i="48"/>
  <c r="G342" i="48"/>
  <c r="F342" i="48"/>
  <c r="G330" i="48"/>
  <c r="F330" i="48"/>
  <c r="G318" i="48"/>
  <c r="F318" i="48"/>
  <c r="G306" i="48"/>
  <c r="F306" i="48"/>
  <c r="G294" i="48"/>
  <c r="F294" i="48"/>
  <c r="G282" i="48"/>
  <c r="F282" i="48"/>
  <c r="G274" i="48"/>
  <c r="F274" i="48"/>
  <c r="G262" i="48"/>
  <c r="F262" i="48"/>
  <c r="G254" i="48"/>
  <c r="F254" i="48"/>
  <c r="G238" i="48"/>
  <c r="F238" i="48"/>
  <c r="G230" i="48"/>
  <c r="F230" i="48"/>
  <c r="G218" i="48"/>
  <c r="F218" i="48"/>
  <c r="G206" i="48"/>
  <c r="F206" i="48"/>
  <c r="G194" i="48"/>
  <c r="F194" i="48"/>
  <c r="G182" i="48"/>
  <c r="F182" i="48"/>
  <c r="G170" i="48"/>
  <c r="F170" i="48"/>
  <c r="G154" i="48"/>
  <c r="F154" i="48"/>
  <c r="G142" i="48"/>
  <c r="F142" i="48"/>
  <c r="G134" i="48"/>
  <c r="F134" i="48"/>
  <c r="G118" i="48"/>
  <c r="F118" i="48"/>
  <c r="G106" i="48"/>
  <c r="F106" i="48"/>
  <c r="G98" i="48"/>
  <c r="F98" i="48"/>
  <c r="G86" i="48"/>
  <c r="F86" i="48"/>
  <c r="G74" i="48"/>
  <c r="F74" i="48"/>
  <c r="G66" i="48"/>
  <c r="F66" i="48"/>
  <c r="G54" i="48"/>
  <c r="F54" i="48"/>
  <c r="G38" i="48"/>
  <c r="F38" i="48"/>
  <c r="F369" i="48"/>
  <c r="G369" i="48"/>
  <c r="G365" i="48"/>
  <c r="F365" i="48"/>
  <c r="F361" i="48"/>
  <c r="G361" i="48"/>
  <c r="G357" i="48"/>
  <c r="F357" i="48"/>
  <c r="G353" i="48"/>
  <c r="F353" i="48"/>
  <c r="G349" i="48"/>
  <c r="F349" i="48"/>
  <c r="G345" i="48"/>
  <c r="F345" i="48"/>
  <c r="F341" i="48"/>
  <c r="G341" i="48"/>
  <c r="G337" i="48"/>
  <c r="F337" i="48"/>
  <c r="G333" i="48"/>
  <c r="F333" i="48"/>
  <c r="G329" i="48"/>
  <c r="F329" i="48"/>
  <c r="G325" i="48"/>
  <c r="F325" i="48"/>
  <c r="G321" i="48"/>
  <c r="F321" i="48"/>
  <c r="G317" i="48"/>
  <c r="F317" i="48"/>
  <c r="G313" i="48"/>
  <c r="F313" i="48"/>
  <c r="G309" i="48"/>
  <c r="F309" i="48"/>
  <c r="G305" i="48"/>
  <c r="F305" i="48"/>
  <c r="G301" i="48"/>
  <c r="F301" i="48"/>
  <c r="G297" i="48"/>
  <c r="F297" i="48"/>
  <c r="G293" i="48"/>
  <c r="F293" i="48"/>
  <c r="G289" i="48"/>
  <c r="F289" i="48"/>
  <c r="G285" i="48"/>
  <c r="F285" i="48"/>
  <c r="G281" i="48"/>
  <c r="F281" i="48"/>
  <c r="G277" i="48"/>
  <c r="F277" i="48"/>
  <c r="G273" i="48"/>
  <c r="F273" i="48"/>
  <c r="G269" i="48"/>
  <c r="F269" i="48"/>
  <c r="G265" i="48"/>
  <c r="F265" i="48"/>
  <c r="G261" i="48"/>
  <c r="F261" i="48"/>
  <c r="F257" i="48"/>
  <c r="G257" i="48"/>
  <c r="G253" i="48"/>
  <c r="F253" i="48"/>
  <c r="G249" i="48"/>
  <c r="F249" i="48"/>
  <c r="G245" i="48"/>
  <c r="F245" i="48"/>
  <c r="G241" i="48"/>
  <c r="F241" i="48"/>
  <c r="G237" i="48"/>
  <c r="F237" i="48"/>
  <c r="G233" i="48"/>
  <c r="F233" i="48"/>
  <c r="G229" i="48"/>
  <c r="F229" i="48"/>
  <c r="G225" i="48"/>
  <c r="F225" i="48"/>
  <c r="G221" i="48"/>
  <c r="F221" i="48"/>
  <c r="G217" i="48"/>
  <c r="F217" i="48"/>
  <c r="G213" i="48"/>
  <c r="F213" i="48"/>
  <c r="F209" i="48"/>
  <c r="G209" i="48"/>
  <c r="G205" i="48"/>
  <c r="F205" i="48"/>
  <c r="G201" i="48"/>
  <c r="F201" i="48"/>
  <c r="F197" i="48"/>
  <c r="G197" i="48"/>
  <c r="G193" i="48"/>
  <c r="F193" i="48"/>
  <c r="G189" i="48"/>
  <c r="F189" i="48"/>
  <c r="G185" i="48"/>
  <c r="F185" i="48"/>
  <c r="F181" i="48"/>
  <c r="G181" i="48"/>
  <c r="G177" i="48"/>
  <c r="F177" i="48"/>
  <c r="G173" i="48"/>
  <c r="F173" i="48"/>
  <c r="G169" i="48"/>
  <c r="F169" i="48"/>
  <c r="G165" i="48"/>
  <c r="F165" i="48"/>
  <c r="F161" i="48"/>
  <c r="G161" i="48"/>
  <c r="G157" i="48"/>
  <c r="F157" i="48"/>
  <c r="G153" i="48"/>
  <c r="F153" i="48"/>
  <c r="G149" i="48"/>
  <c r="F149" i="48"/>
  <c r="G145" i="48"/>
  <c r="F145" i="48"/>
  <c r="G141" i="48"/>
  <c r="F141" i="48"/>
  <c r="G137" i="48"/>
  <c r="F137" i="48"/>
  <c r="G133" i="48"/>
  <c r="F133" i="48"/>
  <c r="G129" i="48"/>
  <c r="F129" i="48"/>
  <c r="G125" i="48"/>
  <c r="F125" i="48"/>
  <c r="G121" i="48"/>
  <c r="F121" i="48"/>
  <c r="F117" i="48"/>
  <c r="G117" i="48"/>
  <c r="G113" i="48"/>
  <c r="F113" i="48"/>
  <c r="G109" i="48"/>
  <c r="F109" i="48"/>
  <c r="G105" i="48"/>
  <c r="F105" i="48"/>
  <c r="G101" i="48"/>
  <c r="F101" i="48"/>
  <c r="G97" i="48"/>
  <c r="F97" i="48"/>
  <c r="G93" i="48"/>
  <c r="F93" i="48"/>
  <c r="G89" i="48"/>
  <c r="F89" i="48"/>
  <c r="G85" i="48"/>
  <c r="F85" i="48"/>
  <c r="G81" i="48"/>
  <c r="F81" i="48"/>
  <c r="G77" i="48"/>
  <c r="F77" i="48"/>
  <c r="G73" i="48"/>
  <c r="F73" i="48"/>
  <c r="G69" i="48"/>
  <c r="F69" i="48"/>
  <c r="G65" i="48"/>
  <c r="F65" i="48"/>
  <c r="G61" i="48"/>
  <c r="F61" i="48"/>
  <c r="G57" i="48"/>
  <c r="F57" i="48"/>
  <c r="G53" i="48"/>
  <c r="F53" i="48"/>
  <c r="G49" i="48"/>
  <c r="F49" i="48"/>
  <c r="G45" i="48"/>
  <c r="F45" i="48"/>
  <c r="G41" i="48"/>
  <c r="F41" i="48"/>
  <c r="G37" i="48"/>
  <c r="F37" i="48"/>
  <c r="G33" i="48"/>
  <c r="F33" i="48"/>
  <c r="G29" i="48"/>
  <c r="F29" i="48"/>
  <c r="G362" i="48"/>
  <c r="F362" i="48"/>
  <c r="G350" i="48"/>
  <c r="F350" i="48"/>
  <c r="G338" i="48"/>
  <c r="F338" i="48"/>
  <c r="G326" i="48"/>
  <c r="F326" i="48"/>
  <c r="G314" i="48"/>
  <c r="F314" i="48"/>
  <c r="G302" i="48"/>
  <c r="F302" i="48"/>
  <c r="G290" i="48"/>
  <c r="F290" i="48"/>
  <c r="G270" i="48"/>
  <c r="F270" i="48"/>
  <c r="G258" i="48"/>
  <c r="F258" i="48"/>
  <c r="G246" i="48"/>
  <c r="F246" i="48"/>
  <c r="F234" i="48"/>
  <c r="G234" i="48"/>
  <c r="G222" i="48"/>
  <c r="F222" i="48"/>
  <c r="G210" i="48"/>
  <c r="F210" i="48"/>
  <c r="G198" i="48"/>
  <c r="F198" i="48"/>
  <c r="G186" i="48"/>
  <c r="F186" i="48"/>
  <c r="G174" i="48"/>
  <c r="F174" i="48"/>
  <c r="G162" i="48"/>
  <c r="F162" i="48"/>
  <c r="G150" i="48"/>
  <c r="F150" i="48"/>
  <c r="F138" i="48"/>
  <c r="G138" i="48"/>
  <c r="G126" i="48"/>
  <c r="F126" i="48"/>
  <c r="G114" i="48"/>
  <c r="F114" i="48"/>
  <c r="G94" i="48"/>
  <c r="F94" i="48"/>
  <c r="G82" i="48"/>
  <c r="F82" i="48"/>
  <c r="G70" i="48"/>
  <c r="F70" i="48"/>
  <c r="G58" i="48"/>
  <c r="F58" i="48"/>
  <c r="G46" i="48"/>
  <c r="F46" i="48"/>
  <c r="G34" i="48"/>
  <c r="F34" i="48"/>
  <c r="G368" i="48"/>
  <c r="F368" i="48"/>
  <c r="G364" i="48"/>
  <c r="F364" i="48"/>
  <c r="G360" i="48"/>
  <c r="F360" i="48"/>
  <c r="G356" i="48"/>
  <c r="F356" i="48"/>
  <c r="G352" i="48"/>
  <c r="F352" i="48"/>
  <c r="F348" i="48"/>
  <c r="G348" i="48"/>
  <c r="G344" i="48"/>
  <c r="F344" i="48"/>
  <c r="G340" i="48"/>
  <c r="F340" i="48"/>
  <c r="G336" i="48"/>
  <c r="F336" i="48"/>
  <c r="G332" i="48"/>
  <c r="F332" i="48"/>
  <c r="G328" i="48"/>
  <c r="F328" i="48"/>
  <c r="G324" i="48"/>
  <c r="F324" i="48"/>
  <c r="F320" i="48"/>
  <c r="G320" i="48"/>
  <c r="G316" i="48"/>
  <c r="F316" i="48"/>
  <c r="G312" i="48"/>
  <c r="F312" i="48"/>
  <c r="G308" i="48"/>
  <c r="F308" i="48"/>
  <c r="G304" i="48"/>
  <c r="F304" i="48"/>
  <c r="G300" i="48"/>
  <c r="F300" i="48"/>
  <c r="G296" i="48"/>
  <c r="F296" i="48"/>
  <c r="F292" i="48"/>
  <c r="G292" i="48"/>
  <c r="G288" i="48"/>
  <c r="F288" i="48"/>
  <c r="G284" i="48"/>
  <c r="F284" i="48"/>
  <c r="G280" i="48"/>
  <c r="F280" i="48"/>
  <c r="G276" i="48"/>
  <c r="F276" i="48"/>
  <c r="G272" i="48"/>
  <c r="F272" i="48"/>
  <c r="G268" i="48"/>
  <c r="F268" i="48"/>
  <c r="G264" i="48"/>
  <c r="F264" i="48"/>
  <c r="G260" i="48"/>
  <c r="F260" i="48"/>
  <c r="G256" i="48"/>
  <c r="F256" i="48"/>
  <c r="G252" i="48"/>
  <c r="F252" i="48"/>
  <c r="G248" i="48"/>
  <c r="F248" i="48"/>
  <c r="G244" i="48"/>
  <c r="F244" i="48"/>
  <c r="G240" i="48"/>
  <c r="F240" i="48"/>
  <c r="F236" i="48"/>
  <c r="G236" i="48"/>
  <c r="G232" i="48"/>
  <c r="F232" i="48"/>
  <c r="G228" i="48"/>
  <c r="F228" i="48"/>
  <c r="G224" i="48"/>
  <c r="F224" i="48"/>
  <c r="G220" i="48"/>
  <c r="F220" i="48"/>
  <c r="G216" i="48"/>
  <c r="F216" i="48"/>
  <c r="G212" i="48"/>
  <c r="F212" i="48"/>
  <c r="F208" i="48"/>
  <c r="G208" i="48"/>
  <c r="G204" i="48"/>
  <c r="F204" i="48"/>
  <c r="G200" i="48"/>
  <c r="F200" i="48"/>
  <c r="G196" i="48"/>
  <c r="F196" i="48"/>
  <c r="G192" i="48"/>
  <c r="F192" i="48"/>
  <c r="G188" i="48"/>
  <c r="F188" i="48"/>
  <c r="G184" i="48"/>
  <c r="F184" i="48"/>
  <c r="G180" i="48"/>
  <c r="F180" i="48"/>
  <c r="G176" i="48"/>
  <c r="F176" i="48"/>
  <c r="G172" i="48"/>
  <c r="F172" i="48"/>
  <c r="G168" i="48"/>
  <c r="F168" i="48"/>
  <c r="G164" i="48"/>
  <c r="F164" i="48"/>
  <c r="G160" i="48"/>
  <c r="F160" i="48"/>
  <c r="G156" i="48"/>
  <c r="F156" i="48"/>
  <c r="G152" i="48"/>
  <c r="F152" i="48"/>
  <c r="G148" i="48"/>
  <c r="F148" i="48"/>
  <c r="G144" i="48"/>
  <c r="F144" i="48"/>
  <c r="G140" i="48"/>
  <c r="F140" i="48"/>
  <c r="G136" i="48"/>
  <c r="F136" i="48"/>
  <c r="G132" i="48"/>
  <c r="F132" i="48"/>
  <c r="G128" i="48"/>
  <c r="F128" i="48"/>
  <c r="G124" i="48"/>
  <c r="F124" i="48"/>
  <c r="G120" i="48"/>
  <c r="F120" i="48"/>
  <c r="G116" i="48"/>
  <c r="F116" i="48"/>
  <c r="G112" i="48"/>
  <c r="F112" i="48"/>
  <c r="G108" i="48"/>
  <c r="F108" i="48"/>
  <c r="G104" i="48"/>
  <c r="F104" i="48"/>
  <c r="G100" i="48"/>
  <c r="F100" i="48"/>
  <c r="G96" i="48"/>
  <c r="F96" i="48"/>
  <c r="G92" i="48"/>
  <c r="F92" i="48"/>
  <c r="G88" i="48"/>
  <c r="F88" i="48"/>
  <c r="G84" i="48"/>
  <c r="F84" i="48"/>
  <c r="G80" i="48"/>
  <c r="F80" i="48"/>
  <c r="G76" i="48"/>
  <c r="F76" i="48"/>
  <c r="G72" i="48"/>
  <c r="F72" i="48"/>
  <c r="G68" i="48"/>
  <c r="F68" i="48"/>
  <c r="G64" i="48"/>
  <c r="F64" i="48"/>
  <c r="G60" i="48"/>
  <c r="F60" i="48"/>
  <c r="G56" i="48"/>
  <c r="F56" i="48"/>
  <c r="G52" i="48"/>
  <c r="F52" i="48"/>
  <c r="G48" i="48"/>
  <c r="F48" i="48"/>
  <c r="G44" i="48"/>
  <c r="F44" i="48"/>
  <c r="G40" i="48"/>
  <c r="F40" i="48"/>
  <c r="G36" i="48"/>
  <c r="F36" i="48"/>
  <c r="G32" i="48"/>
  <c r="F32" i="48"/>
  <c r="G28" i="48"/>
  <c r="F28" i="48"/>
  <c r="G358" i="48"/>
  <c r="F358" i="48"/>
  <c r="G346" i="48"/>
  <c r="F346" i="48"/>
  <c r="G334" i="48"/>
  <c r="F334" i="48"/>
  <c r="G322" i="48"/>
  <c r="F322" i="48"/>
  <c r="G310" i="48"/>
  <c r="F310" i="48"/>
  <c r="G298" i="48"/>
  <c r="F298" i="48"/>
  <c r="G286" i="48"/>
  <c r="F286" i="48"/>
  <c r="G278" i="48"/>
  <c r="F278" i="48"/>
  <c r="G266" i="48"/>
  <c r="F266" i="48"/>
  <c r="F250" i="48"/>
  <c r="G250" i="48"/>
  <c r="G242" i="48"/>
  <c r="F242" i="48"/>
  <c r="G226" i="48"/>
  <c r="F226" i="48"/>
  <c r="G214" i="48"/>
  <c r="F214" i="48"/>
  <c r="F202" i="48"/>
  <c r="G202" i="48"/>
  <c r="G190" i="48"/>
  <c r="F190" i="48"/>
  <c r="G178" i="48"/>
  <c r="F178" i="48"/>
  <c r="F166" i="48"/>
  <c r="G166" i="48"/>
  <c r="G158" i="48"/>
  <c r="F158" i="48"/>
  <c r="G146" i="48"/>
  <c r="F146" i="48"/>
  <c r="G130" i="48"/>
  <c r="F130" i="48"/>
  <c r="G122" i="48"/>
  <c r="F122" i="48"/>
  <c r="G110" i="48"/>
  <c r="F110" i="48"/>
  <c r="G102" i="48"/>
  <c r="F102" i="48"/>
  <c r="F90" i="48"/>
  <c r="G90" i="48"/>
  <c r="G78" i="48"/>
  <c r="F78" i="48"/>
  <c r="G62" i="48"/>
  <c r="F62" i="48"/>
  <c r="G50" i="48"/>
  <c r="F50" i="48"/>
  <c r="G42" i="48"/>
  <c r="F42" i="48"/>
  <c r="G30" i="48"/>
  <c r="F30" i="48"/>
  <c r="G367" i="48"/>
  <c r="F367" i="48"/>
  <c r="G363" i="48"/>
  <c r="F363" i="48"/>
  <c r="G359" i="48"/>
  <c r="F359" i="48"/>
  <c r="G355" i="48"/>
  <c r="F355" i="48"/>
  <c r="G351" i="48"/>
  <c r="F351" i="48"/>
  <c r="G347" i="48"/>
  <c r="F347" i="48"/>
  <c r="G343" i="48"/>
  <c r="F343" i="48"/>
  <c r="G339" i="48"/>
  <c r="F339" i="48"/>
  <c r="G335" i="48"/>
  <c r="F335" i="48"/>
  <c r="G331" i="48"/>
  <c r="F331" i="48"/>
  <c r="G327" i="48"/>
  <c r="F327" i="48"/>
  <c r="G323" i="48"/>
  <c r="F323" i="48"/>
  <c r="G319" i="48"/>
  <c r="F319" i="48"/>
  <c r="G315" i="48"/>
  <c r="F315" i="48"/>
  <c r="G311" i="48"/>
  <c r="F311" i="48"/>
  <c r="G307" i="48"/>
  <c r="F307" i="48"/>
  <c r="G303" i="48"/>
  <c r="F303" i="48"/>
  <c r="G299" i="48"/>
  <c r="F299" i="48"/>
  <c r="G295" i="48"/>
  <c r="F295" i="48"/>
  <c r="G291" i="48"/>
  <c r="F291" i="48"/>
  <c r="G287" i="48"/>
  <c r="F287" i="48"/>
  <c r="G283" i="48"/>
  <c r="F283" i="48"/>
  <c r="G279" i="48"/>
  <c r="F279" i="48"/>
  <c r="G275" i="48"/>
  <c r="F275" i="48"/>
  <c r="G271" i="48"/>
  <c r="F271" i="48"/>
  <c r="G267" i="48"/>
  <c r="F267" i="48"/>
  <c r="G263" i="48"/>
  <c r="F263" i="48"/>
  <c r="G259" i="48"/>
  <c r="F259" i="48"/>
  <c r="G255" i="48"/>
  <c r="F255" i="48"/>
  <c r="G251" i="48"/>
  <c r="F251" i="48"/>
  <c r="G247" i="48"/>
  <c r="F247" i="48"/>
  <c r="G243" i="48"/>
  <c r="F243" i="48"/>
  <c r="G239" i="48"/>
  <c r="F239" i="48"/>
  <c r="G235" i="48"/>
  <c r="F235" i="48"/>
  <c r="G231" i="48"/>
  <c r="F231" i="48"/>
  <c r="G227" i="48"/>
  <c r="F227" i="48"/>
  <c r="G223" i="48"/>
  <c r="F223" i="48"/>
  <c r="G219" i="48"/>
  <c r="F219" i="48"/>
  <c r="G215" i="48"/>
  <c r="F215" i="48"/>
  <c r="G211" i="48"/>
  <c r="F211" i="48"/>
  <c r="G207" i="48"/>
  <c r="F207" i="48"/>
  <c r="G203" i="48"/>
  <c r="F203" i="48"/>
  <c r="G199" i="48"/>
  <c r="F199" i="48"/>
  <c r="G195" i="48"/>
  <c r="F195" i="48"/>
  <c r="G191" i="48"/>
  <c r="F191" i="48"/>
  <c r="G187" i="48"/>
  <c r="F187" i="48"/>
  <c r="G183" i="48"/>
  <c r="F183" i="48"/>
  <c r="G179" i="48"/>
  <c r="F179" i="48"/>
  <c r="G175" i="48"/>
  <c r="F175" i="48"/>
  <c r="G171" i="48"/>
  <c r="F171" i="48"/>
  <c r="G167" i="48"/>
  <c r="F167" i="48"/>
  <c r="G163" i="48"/>
  <c r="F163" i="48"/>
  <c r="G159" i="48"/>
  <c r="F159" i="48"/>
  <c r="G155" i="48"/>
  <c r="F155" i="48"/>
  <c r="G151" i="48"/>
  <c r="F151" i="48"/>
  <c r="G147" i="48"/>
  <c r="F147" i="48"/>
  <c r="G143" i="48"/>
  <c r="F143" i="48"/>
  <c r="G139" i="48"/>
  <c r="F139" i="48"/>
  <c r="G135" i="48"/>
  <c r="F135" i="48"/>
  <c r="G131" i="48"/>
  <c r="F131" i="48"/>
  <c r="G127" i="48"/>
  <c r="F127" i="48"/>
  <c r="G123" i="48"/>
  <c r="F123" i="48"/>
  <c r="G119" i="48"/>
  <c r="F119" i="48"/>
  <c r="G115" i="48"/>
  <c r="F115" i="48"/>
  <c r="G111" i="48"/>
  <c r="F111" i="48"/>
  <c r="G107" i="48"/>
  <c r="F107" i="48"/>
  <c r="G103" i="48"/>
  <c r="F103" i="48"/>
  <c r="G99" i="48"/>
  <c r="F99" i="48"/>
  <c r="G95" i="48"/>
  <c r="F95" i="48"/>
  <c r="G91" i="48"/>
  <c r="F91" i="48"/>
  <c r="G87" i="48"/>
  <c r="F87" i="48"/>
  <c r="G83" i="48"/>
  <c r="F83" i="48"/>
  <c r="G79" i="48"/>
  <c r="F79" i="48"/>
  <c r="G75" i="48"/>
  <c r="F75" i="48"/>
  <c r="G71" i="48"/>
  <c r="F71" i="48"/>
  <c r="G67" i="48"/>
  <c r="F67" i="48"/>
  <c r="G63" i="48"/>
  <c r="F63" i="48"/>
  <c r="G59" i="48"/>
  <c r="F59" i="48"/>
  <c r="G55" i="48"/>
  <c r="F55" i="48"/>
  <c r="G51" i="48"/>
  <c r="F51" i="48"/>
  <c r="G47" i="48"/>
  <c r="F47" i="48"/>
  <c r="G43" i="48"/>
  <c r="F43" i="48"/>
  <c r="G39" i="48"/>
  <c r="F39" i="48"/>
  <c r="G35" i="48"/>
  <c r="F35" i="48"/>
  <c r="G31" i="48"/>
  <c r="F31" i="48"/>
  <c r="G27" i="48"/>
  <c r="F27" i="48"/>
  <c r="B9" i="43" l="1"/>
  <c r="F9" i="43"/>
  <c r="S9" i="43"/>
  <c r="B10" i="43"/>
  <c r="D10" i="43" s="1"/>
  <c r="F10" i="43"/>
  <c r="S10" i="43"/>
  <c r="B11" i="43"/>
  <c r="H11" i="43" s="1"/>
  <c r="Y11" i="43" s="1"/>
  <c r="F11" i="43"/>
  <c r="S11" i="43"/>
  <c r="B12" i="43"/>
  <c r="D12" i="43" s="1"/>
  <c r="F12" i="43"/>
  <c r="S12" i="43"/>
  <c r="B13" i="43"/>
  <c r="H13" i="43" s="1"/>
  <c r="Y13" i="43" s="1"/>
  <c r="D13" i="43"/>
  <c r="F13" i="43"/>
  <c r="S13" i="43"/>
  <c r="B14" i="43"/>
  <c r="H14" i="43" s="1"/>
  <c r="F14" i="43"/>
  <c r="S14" i="43"/>
  <c r="B5" i="43"/>
  <c r="D5" i="43" s="1"/>
  <c r="B6" i="43"/>
  <c r="H6" i="43" s="1"/>
  <c r="Y6" i="43" s="1"/>
  <c r="B7" i="43"/>
  <c r="H7" i="43" s="1"/>
  <c r="Y7" i="43" s="1"/>
  <c r="B8" i="43"/>
  <c r="B4" i="43"/>
  <c r="D4" i="43" s="1"/>
  <c r="H3" i="43"/>
  <c r="I3" i="43" l="1"/>
  <c r="Y3" i="43"/>
  <c r="N3" i="43"/>
  <c r="I14" i="43"/>
  <c r="Y14" i="43"/>
  <c r="D8" i="43"/>
  <c r="D9" i="43"/>
  <c r="D14" i="43"/>
  <c r="H9" i="43"/>
  <c r="K10" i="43" s="1"/>
  <c r="K14" i="43"/>
  <c r="P13" i="43"/>
  <c r="N14" i="43"/>
  <c r="N13" i="43"/>
  <c r="H12" i="43"/>
  <c r="P11" i="43"/>
  <c r="I11" i="43"/>
  <c r="N11" i="43"/>
  <c r="K12" i="43"/>
  <c r="D7" i="43"/>
  <c r="P14" i="43"/>
  <c r="I13" i="43"/>
  <c r="D11" i="43"/>
  <c r="H10" i="43"/>
  <c r="Y10" i="43" s="1"/>
  <c r="P12" i="43"/>
  <c r="H5" i="43"/>
  <c r="D6" i="43"/>
  <c r="H4" i="43"/>
  <c r="H8" i="43"/>
  <c r="B364" i="48"/>
  <c r="B365" i="48"/>
  <c r="B366" i="48"/>
  <c r="B367" i="48"/>
  <c r="B368" i="48"/>
  <c r="B369" i="48"/>
  <c r="B363" i="48"/>
  <c r="K9" i="43" l="1"/>
  <c r="Y8" i="43"/>
  <c r="I4" i="43"/>
  <c r="Y4" i="43"/>
  <c r="I9" i="43"/>
  <c r="Y9" i="43"/>
  <c r="I12" i="43"/>
  <c r="Y12" i="43"/>
  <c r="N9" i="43"/>
  <c r="P9" i="43"/>
  <c r="N12" i="43"/>
  <c r="K13" i="43"/>
  <c r="P10" i="43"/>
  <c r="K11" i="43"/>
  <c r="I10" i="43"/>
  <c r="N10" i="43"/>
  <c r="W4" i="43" l="1"/>
  <c r="P4" i="43"/>
  <c r="P5" i="45"/>
  <c r="M60" i="48" l="1"/>
  <c r="M56" i="48"/>
  <c r="M52" i="48"/>
  <c r="M48" i="48"/>
  <c r="M44" i="48"/>
  <c r="M40" i="48"/>
  <c r="M36" i="48"/>
  <c r="M45" i="48"/>
  <c r="M33" i="48"/>
  <c r="M63" i="48"/>
  <c r="M59" i="48"/>
  <c r="M55" i="48"/>
  <c r="M51" i="48"/>
  <c r="M47" i="48"/>
  <c r="M43" i="48"/>
  <c r="M39" i="48"/>
  <c r="M35" i="48"/>
  <c r="M61" i="48"/>
  <c r="M53" i="48"/>
  <c r="M41" i="48"/>
  <c r="M62" i="48"/>
  <c r="M58" i="48"/>
  <c r="M54" i="48"/>
  <c r="M50" i="48"/>
  <c r="M46" i="48"/>
  <c r="M42" i="48"/>
  <c r="M38" i="48"/>
  <c r="M34" i="48"/>
  <c r="K34" i="48" s="1"/>
  <c r="M57" i="48"/>
  <c r="M49" i="48"/>
  <c r="M37" i="48"/>
  <c r="Q5" i="43"/>
  <c r="N4" i="43" l="1"/>
  <c r="W5" i="43"/>
  <c r="M92" i="48" l="1"/>
  <c r="M88" i="48"/>
  <c r="M84" i="48"/>
  <c r="M80" i="48"/>
  <c r="M76" i="48"/>
  <c r="M72" i="48"/>
  <c r="M68" i="48"/>
  <c r="M64" i="48"/>
  <c r="M93" i="48"/>
  <c r="M81" i="48"/>
  <c r="M73" i="48"/>
  <c r="M65" i="48"/>
  <c r="M91" i="48"/>
  <c r="M87" i="48"/>
  <c r="M83" i="48"/>
  <c r="M79" i="48"/>
  <c r="M75" i="48"/>
  <c r="M71" i="48"/>
  <c r="M67" i="48"/>
  <c r="M89" i="48"/>
  <c r="M69" i="48"/>
  <c r="M90" i="48"/>
  <c r="M86" i="48"/>
  <c r="M82" i="48"/>
  <c r="M78" i="48"/>
  <c r="M74" i="48"/>
  <c r="M70" i="48"/>
  <c r="M66" i="48"/>
  <c r="M85" i="48"/>
  <c r="M77" i="48"/>
  <c r="F3" i="43"/>
  <c r="F4" i="43"/>
  <c r="F5" i="43"/>
  <c r="F6" i="43"/>
  <c r="F7" i="43"/>
  <c r="F8" i="43"/>
  <c r="M9" i="35" l="1"/>
  <c r="M8" i="35"/>
  <c r="J23" i="47" l="1"/>
  <c r="K23" i="47" s="1"/>
  <c r="N20" i="47"/>
  <c r="I20" i="47"/>
  <c r="G20" i="47"/>
  <c r="D20" i="47"/>
  <c r="N19" i="47"/>
  <c r="I19" i="47"/>
  <c r="G19" i="47"/>
  <c r="D19" i="47"/>
  <c r="N18" i="47"/>
  <c r="I18" i="47"/>
  <c r="G18" i="47"/>
  <c r="D18" i="47"/>
  <c r="N17" i="47"/>
  <c r="I17" i="47"/>
  <c r="G17" i="47"/>
  <c r="D17" i="47"/>
  <c r="N16" i="47"/>
  <c r="I16" i="47"/>
  <c r="G16" i="47"/>
  <c r="D16" i="47"/>
  <c r="V15" i="47"/>
  <c r="V16" i="47" s="1"/>
  <c r="V17" i="47" s="1"/>
  <c r="O16" i="47"/>
  <c r="O17" i="47" s="1"/>
  <c r="N15" i="47"/>
  <c r="I15" i="47"/>
  <c r="G15" i="47"/>
  <c r="D15" i="47"/>
  <c r="X14" i="47"/>
  <c r="Q14" i="47" s="1"/>
  <c r="U14" i="47"/>
  <c r="N14" i="47"/>
  <c r="L14" i="47"/>
  <c r="I14" i="47"/>
  <c r="G14" i="47"/>
  <c r="D14" i="47"/>
  <c r="X13" i="47"/>
  <c r="Q13" i="47" s="1"/>
  <c r="U13" i="47"/>
  <c r="S13" i="47"/>
  <c r="N13" i="47"/>
  <c r="L13" i="47"/>
  <c r="K13" i="47"/>
  <c r="I13" i="47"/>
  <c r="G13" i="47"/>
  <c r="D13" i="47"/>
  <c r="X12" i="47"/>
  <c r="Q12" i="47" s="1"/>
  <c r="U12" i="47"/>
  <c r="S12" i="47"/>
  <c r="N12" i="47"/>
  <c r="L12" i="47"/>
  <c r="K12" i="47"/>
  <c r="I12" i="47"/>
  <c r="G12" i="47"/>
  <c r="D12" i="47"/>
  <c r="X11" i="47"/>
  <c r="Q11" i="47" s="1"/>
  <c r="U11" i="47"/>
  <c r="S11" i="47"/>
  <c r="N11" i="47"/>
  <c r="L11" i="47"/>
  <c r="K11" i="47"/>
  <c r="I11" i="47"/>
  <c r="G11" i="47"/>
  <c r="D11" i="47"/>
  <c r="X10" i="47"/>
  <c r="Q10" i="47" s="1"/>
  <c r="U10" i="47"/>
  <c r="S10" i="47"/>
  <c r="N10" i="47"/>
  <c r="L10" i="47"/>
  <c r="K10" i="47"/>
  <c r="I10" i="47"/>
  <c r="G10" i="47"/>
  <c r="D10" i="47"/>
  <c r="X9" i="47"/>
  <c r="Q9" i="47" s="1"/>
  <c r="U9" i="47"/>
  <c r="S9" i="47"/>
  <c r="N9" i="47"/>
  <c r="L9" i="47"/>
  <c r="K9" i="47"/>
  <c r="I9" i="47"/>
  <c r="G9" i="47"/>
  <c r="D9" i="47"/>
  <c r="X8" i="47"/>
  <c r="Q8" i="47" s="1"/>
  <c r="U8" i="47"/>
  <c r="S8" i="47"/>
  <c r="N8" i="47"/>
  <c r="L8" i="47"/>
  <c r="K8" i="47"/>
  <c r="I8" i="47"/>
  <c r="G8" i="47"/>
  <c r="D8" i="47"/>
  <c r="U7" i="47"/>
  <c r="S7" i="47"/>
  <c r="Q7" i="47"/>
  <c r="N7" i="47"/>
  <c r="L7" i="47"/>
  <c r="K7" i="47"/>
  <c r="I7" i="47"/>
  <c r="G7" i="47"/>
  <c r="D7" i="47"/>
  <c r="U6" i="47"/>
  <c r="S6" i="47"/>
  <c r="Q6" i="47"/>
  <c r="N6" i="47"/>
  <c r="L6" i="47"/>
  <c r="K6" i="47"/>
  <c r="I6" i="47"/>
  <c r="G6" i="47"/>
  <c r="D6" i="47"/>
  <c r="U5" i="47"/>
  <c r="S5" i="47"/>
  <c r="Q5" i="47"/>
  <c r="N5" i="47"/>
  <c r="L5" i="47"/>
  <c r="K5" i="47"/>
  <c r="I5" i="47"/>
  <c r="G5" i="47"/>
  <c r="D5" i="47"/>
  <c r="U4" i="47"/>
  <c r="S4" i="47"/>
  <c r="Q4" i="47"/>
  <c r="N4" i="47"/>
  <c r="L4" i="47"/>
  <c r="K4" i="47"/>
  <c r="I4" i="47"/>
  <c r="G4" i="47"/>
  <c r="D4" i="47"/>
  <c r="U3" i="47"/>
  <c r="S3" i="47"/>
  <c r="Q3" i="47"/>
  <c r="N3" i="47"/>
  <c r="L3" i="47"/>
  <c r="K3" i="47"/>
  <c r="I3" i="47"/>
  <c r="G3" i="47"/>
  <c r="D3" i="47"/>
  <c r="U2" i="47"/>
  <c r="S2" i="47"/>
  <c r="Q2" i="47"/>
  <c r="N2" i="47"/>
  <c r="L2" i="47"/>
  <c r="K2" i="47"/>
  <c r="G2" i="47"/>
  <c r="D2" i="47"/>
  <c r="E34" i="45"/>
  <c r="E33" i="45"/>
  <c r="E32" i="45"/>
  <c r="E31" i="45"/>
  <c r="E30" i="45"/>
  <c r="E29" i="45"/>
  <c r="E28" i="45"/>
  <c r="E27" i="45"/>
  <c r="E24" i="45"/>
  <c r="E23" i="45"/>
  <c r="E22" i="45"/>
  <c r="E20" i="45"/>
  <c r="P10" i="45"/>
  <c r="P7" i="45"/>
  <c r="P6" i="45"/>
  <c r="O3" i="45"/>
  <c r="P8" i="43"/>
  <c r="K8" i="43"/>
  <c r="I8" i="43"/>
  <c r="P7" i="43"/>
  <c r="K7" i="43"/>
  <c r="I7" i="43"/>
  <c r="P6" i="43"/>
  <c r="K6" i="43"/>
  <c r="I6" i="43"/>
  <c r="P5" i="43"/>
  <c r="K5" i="43"/>
  <c r="I5" i="43"/>
  <c r="K4" i="43"/>
  <c r="W3" i="43"/>
  <c r="U3" i="43"/>
  <c r="S3" i="43"/>
  <c r="P3" i="43"/>
  <c r="M3" i="43"/>
  <c r="D3" i="43"/>
  <c r="AB23" i="33"/>
  <c r="Z18" i="33"/>
  <c r="Y18" i="33"/>
  <c r="X18" i="33"/>
  <c r="Z17" i="33"/>
  <c r="Y17" i="33"/>
  <c r="X17" i="33"/>
  <c r="Z16" i="33"/>
  <c r="Y16" i="33"/>
  <c r="X16" i="33"/>
  <c r="Z15" i="33"/>
  <c r="Y15" i="33"/>
  <c r="X15" i="33"/>
  <c r="Z14" i="33"/>
  <c r="Y14" i="33"/>
  <c r="X14" i="33"/>
  <c r="Z13" i="33"/>
  <c r="Y13" i="33"/>
  <c r="X13" i="33"/>
  <c r="Z12" i="33"/>
  <c r="Z20" i="33" s="1"/>
  <c r="Y12" i="33"/>
  <c r="Y21" i="33" s="1"/>
  <c r="X12" i="33"/>
  <c r="X21" i="33" s="1"/>
  <c r="AH9" i="33"/>
  <c r="AG9" i="33"/>
  <c r="AB9" i="33"/>
  <c r="Z8" i="33"/>
  <c r="Y8" i="33"/>
  <c r="Y9" i="33" s="1"/>
  <c r="X8" i="33"/>
  <c r="X9" i="33" s="1"/>
  <c r="X7" i="33"/>
  <c r="D53" i="35"/>
  <c r="D56" i="35" s="1"/>
  <c r="M5" i="35" s="1"/>
  <c r="I48" i="35"/>
  <c r="I54" i="35" s="1"/>
  <c r="M15" i="35" s="1"/>
  <c r="I36" i="35"/>
  <c r="I43" i="35" s="1"/>
  <c r="M6" i="35" s="1"/>
  <c r="F15" i="35"/>
  <c r="F14" i="35"/>
  <c r="F11" i="35"/>
  <c r="I6" i="35"/>
  <c r="I9" i="35" s="1"/>
  <c r="M4" i="43" l="1"/>
  <c r="M5" i="43" s="1"/>
  <c r="F23" i="35"/>
  <c r="AA15" i="33"/>
  <c r="T4" i="43"/>
  <c r="Z12" i="47"/>
  <c r="Z14" i="47"/>
  <c r="U15" i="47"/>
  <c r="J14" i="47"/>
  <c r="J15" i="47" s="1"/>
  <c r="P11" i="45"/>
  <c r="Z10" i="47"/>
  <c r="W15" i="47"/>
  <c r="X15" i="47" s="1"/>
  <c r="Q15" i="47" s="1"/>
  <c r="Z8" i="47"/>
  <c r="M7" i="35"/>
  <c r="M16" i="35" s="1"/>
  <c r="AA17" i="33"/>
  <c r="R14" i="47"/>
  <c r="AA18" i="33"/>
  <c r="P8" i="45"/>
  <c r="S4" i="43"/>
  <c r="S5" i="43"/>
  <c r="Z9" i="47"/>
  <c r="K14" i="47"/>
  <c r="K15" i="47" s="1"/>
  <c r="Z11" i="47"/>
  <c r="AA8" i="33"/>
  <c r="AA9" i="33" s="1"/>
  <c r="AA13" i="33"/>
  <c r="S14" i="47"/>
  <c r="AA16" i="33"/>
  <c r="Z21" i="33"/>
  <c r="AA14" i="33"/>
  <c r="P12" i="45"/>
  <c r="M4" i="35"/>
  <c r="N5" i="35" s="1"/>
  <c r="Z9" i="33"/>
  <c r="AC9" i="33" s="1"/>
  <c r="AD9" i="33" s="1"/>
  <c r="AD8" i="33" s="1"/>
  <c r="X20" i="33"/>
  <c r="AB15" i="33" s="1"/>
  <c r="Y20" i="33"/>
  <c r="AA12" i="33"/>
  <c r="AB8" i="33"/>
  <c r="AC8" i="33" s="1"/>
  <c r="Z13" i="47"/>
  <c r="O18" i="47"/>
  <c r="U17" i="47"/>
  <c r="V18" i="47"/>
  <c r="W16" i="47"/>
  <c r="X16" i="47" s="1"/>
  <c r="Q16" i="47" s="1"/>
  <c r="U16" i="47"/>
  <c r="P9" i="45"/>
  <c r="Q6" i="43" l="1"/>
  <c r="W6" i="43" s="1"/>
  <c r="N8" i="35"/>
  <c r="N9" i="35"/>
  <c r="U4" i="43"/>
  <c r="T5" i="43" s="1"/>
  <c r="AB18" i="33"/>
  <c r="AC18" i="33" s="1"/>
  <c r="AD18" i="33" s="1"/>
  <c r="J16" i="47"/>
  <c r="J17" i="47" s="1"/>
  <c r="S6" i="43"/>
  <c r="AC15" i="33"/>
  <c r="AD15" i="33" s="1"/>
  <c r="R15" i="47"/>
  <c r="AB12" i="33"/>
  <c r="AC12" i="33" s="1"/>
  <c r="AD12" i="33" s="1"/>
  <c r="S15" i="47"/>
  <c r="R16" i="47" s="1"/>
  <c r="AB17" i="33"/>
  <c r="AC17" i="33" s="1"/>
  <c r="AD17" i="33" s="1"/>
  <c r="N6" i="35"/>
  <c r="W17" i="47"/>
  <c r="X17" i="47" s="1"/>
  <c r="Q17" i="47" s="1"/>
  <c r="V19" i="47"/>
  <c r="K16" i="47"/>
  <c r="M6" i="43"/>
  <c r="AB14" i="33"/>
  <c r="AC14" i="33" s="1"/>
  <c r="AD14" i="33" s="1"/>
  <c r="AB13" i="33"/>
  <c r="AC13" i="33" s="1"/>
  <c r="AD13" i="33" s="1"/>
  <c r="AB16" i="33"/>
  <c r="AC16" i="33" s="1"/>
  <c r="AD16" i="33" s="1"/>
  <c r="H15" i="47"/>
  <c r="L15" i="47" s="1"/>
  <c r="Z15" i="47" s="1"/>
  <c r="M13" i="35"/>
  <c r="N13" i="35"/>
  <c r="O7" i="35"/>
  <c r="O19" i="47"/>
  <c r="U18" i="47"/>
  <c r="K5" i="35"/>
  <c r="N4" i="35" s="1"/>
  <c r="P7" i="35"/>
  <c r="M123" i="48" l="1"/>
  <c r="M119" i="48"/>
  <c r="M124" i="48"/>
  <c r="M120" i="48"/>
  <c r="M116" i="48"/>
  <c r="M112" i="48"/>
  <c r="M108" i="48"/>
  <c r="M104" i="48"/>
  <c r="M100" i="48"/>
  <c r="M96" i="48"/>
  <c r="M117" i="48"/>
  <c r="M105" i="48"/>
  <c r="M115" i="48"/>
  <c r="M111" i="48"/>
  <c r="M107" i="48"/>
  <c r="M103" i="48"/>
  <c r="M99" i="48"/>
  <c r="M95" i="48"/>
  <c r="M101" i="48"/>
  <c r="M122" i="48"/>
  <c r="M121" i="48"/>
  <c r="M118" i="48"/>
  <c r="M114" i="48"/>
  <c r="M110" i="48"/>
  <c r="M106" i="48"/>
  <c r="M102" i="48"/>
  <c r="M98" i="48"/>
  <c r="M94" i="48"/>
  <c r="M113" i="48"/>
  <c r="M109" i="48"/>
  <c r="M97" i="48"/>
  <c r="M7" i="43"/>
  <c r="M10" i="43" s="1"/>
  <c r="M13" i="43" s="1"/>
  <c r="M9" i="43"/>
  <c r="M12" i="43" s="1"/>
  <c r="H16" i="47"/>
  <c r="L16" i="47" s="1"/>
  <c r="Z16" i="47" s="1"/>
  <c r="U5" i="43"/>
  <c r="U6" i="43" s="1"/>
  <c r="S8" i="43"/>
  <c r="Q7" i="43"/>
  <c r="W7" i="43" s="1"/>
  <c r="AC20" i="33"/>
  <c r="AD20" i="33" s="1"/>
  <c r="J18" i="47"/>
  <c r="J19" i="47" s="1"/>
  <c r="J20" i="47" s="1"/>
  <c r="S16" i="47"/>
  <c r="S17" i="47" s="1"/>
  <c r="R18" i="47" s="1"/>
  <c r="L4" i="43"/>
  <c r="V20" i="47"/>
  <c r="W18" i="47"/>
  <c r="X18" i="47" s="1"/>
  <c r="Q18" i="47" s="1"/>
  <c r="M8" i="43"/>
  <c r="M11" i="43" s="1"/>
  <c r="M14" i="43" s="1"/>
  <c r="K17" i="47"/>
  <c r="K18" i="47" s="1"/>
  <c r="K19" i="47" s="1"/>
  <c r="U19" i="47"/>
  <c r="O20" i="47"/>
  <c r="U20" i="47" s="1"/>
  <c r="N7" i="35"/>
  <c r="N12" i="35"/>
  <c r="M12" i="35"/>
  <c r="M151" i="48" l="1"/>
  <c r="M147" i="48"/>
  <c r="M143" i="48"/>
  <c r="M139" i="48"/>
  <c r="M135" i="48"/>
  <c r="M131" i="48"/>
  <c r="M127" i="48"/>
  <c r="M154" i="48"/>
  <c r="M150" i="48"/>
  <c r="M146" i="48"/>
  <c r="M142" i="48"/>
  <c r="M153" i="48"/>
  <c r="M149" i="48"/>
  <c r="M152" i="48"/>
  <c r="M148" i="48"/>
  <c r="M144" i="48"/>
  <c r="M140" i="48"/>
  <c r="M136" i="48"/>
  <c r="M132" i="48"/>
  <c r="M128" i="48"/>
  <c r="M145" i="48"/>
  <c r="M141" i="48"/>
  <c r="M138" i="48"/>
  <c r="M137" i="48"/>
  <c r="M134" i="48"/>
  <c r="M133" i="48"/>
  <c r="M130" i="48"/>
  <c r="M129" i="48"/>
  <c r="M126" i="48"/>
  <c r="M125" i="48"/>
  <c r="T7" i="43"/>
  <c r="U9" i="43"/>
  <c r="S7" i="43"/>
  <c r="T6" i="43"/>
  <c r="U7" i="43"/>
  <c r="Q8" i="43"/>
  <c r="W8" i="43" s="1"/>
  <c r="S18" i="47"/>
  <c r="S19" i="47" s="1"/>
  <c r="R20" i="47" s="1"/>
  <c r="R17" i="47"/>
  <c r="H19" i="47"/>
  <c r="L19" i="47" s="1"/>
  <c r="Z19" i="47" s="1"/>
  <c r="K20" i="47"/>
  <c r="H20" i="47" s="1"/>
  <c r="L20" i="47" s="1"/>
  <c r="Z20" i="47" s="1"/>
  <c r="H17" i="47"/>
  <c r="L17" i="47" s="1"/>
  <c r="Z17" i="47" s="1"/>
  <c r="H18" i="47"/>
  <c r="L18" i="47" s="1"/>
  <c r="Z18" i="47" s="1"/>
  <c r="W19" i="47"/>
  <c r="X19" i="47" s="1"/>
  <c r="Q19" i="47" s="1"/>
  <c r="V21" i="47"/>
  <c r="W20" i="47" s="1"/>
  <c r="X20" i="47" s="1"/>
  <c r="Q20" i="47" s="1"/>
  <c r="L5" i="43"/>
  <c r="M183" i="48" l="1"/>
  <c r="M179" i="48"/>
  <c r="M175" i="48"/>
  <c r="M171" i="48"/>
  <c r="M167" i="48"/>
  <c r="M163" i="48"/>
  <c r="M159" i="48"/>
  <c r="M155" i="48"/>
  <c r="M182" i="48"/>
  <c r="M178" i="48"/>
  <c r="M174" i="48"/>
  <c r="M170" i="48"/>
  <c r="M166" i="48"/>
  <c r="M162" i="48"/>
  <c r="M158" i="48"/>
  <c r="M185" i="48"/>
  <c r="M181" i="48"/>
  <c r="M177" i="48"/>
  <c r="M173" i="48"/>
  <c r="M169" i="48"/>
  <c r="M165" i="48"/>
  <c r="M161" i="48"/>
  <c r="M157" i="48"/>
  <c r="M184" i="48"/>
  <c r="M180" i="48"/>
  <c r="M176" i="48"/>
  <c r="M172" i="48"/>
  <c r="M168" i="48"/>
  <c r="M164" i="48"/>
  <c r="M160" i="48"/>
  <c r="M156" i="48"/>
  <c r="U12" i="43"/>
  <c r="U8" i="43"/>
  <c r="U10" i="43"/>
  <c r="Q9" i="43"/>
  <c r="T8" i="43"/>
  <c r="S20" i="47"/>
  <c r="R19" i="47"/>
  <c r="N5" i="43"/>
  <c r="L6" i="43"/>
  <c r="Q10" i="43" l="1"/>
  <c r="W10" i="43" s="1"/>
  <c r="W9" i="43"/>
  <c r="U11" i="43"/>
  <c r="T13" i="43" s="1"/>
  <c r="T11" i="43"/>
  <c r="T10" i="43"/>
  <c r="U13" i="43"/>
  <c r="T9" i="43"/>
  <c r="N6" i="43"/>
  <c r="L7" i="43"/>
  <c r="Q11" i="43" l="1"/>
  <c r="W11" i="43" s="1"/>
  <c r="Q12" i="43"/>
  <c r="U14" i="43"/>
  <c r="T14" i="43"/>
  <c r="T12" i="43"/>
  <c r="N7" i="43"/>
  <c r="L8" i="43"/>
  <c r="M201" i="48" l="1"/>
  <c r="M221" i="48"/>
  <c r="M206" i="48"/>
  <c r="M191" i="48"/>
  <c r="M207" i="48"/>
  <c r="M224" i="48"/>
  <c r="M240" i="48"/>
  <c r="M225" i="48"/>
  <c r="M241" i="48"/>
  <c r="M226" i="48"/>
  <c r="M242" i="48"/>
  <c r="M227" i="48"/>
  <c r="M243" i="48"/>
  <c r="M270" i="48"/>
  <c r="M266" i="48"/>
  <c r="M257" i="48"/>
  <c r="M273" i="48"/>
  <c r="M259" i="48"/>
  <c r="M275" i="48"/>
  <c r="M264" i="48"/>
  <c r="M216" i="48"/>
  <c r="M202" i="48"/>
  <c r="M203" i="48"/>
  <c r="M236" i="48"/>
  <c r="M237" i="48"/>
  <c r="M188" i="48"/>
  <c r="M189" i="48"/>
  <c r="M190" i="48"/>
  <c r="M192" i="48"/>
  <c r="M208" i="48"/>
  <c r="M193" i="48"/>
  <c r="M209" i="48"/>
  <c r="M194" i="48"/>
  <c r="M210" i="48"/>
  <c r="M195" i="48"/>
  <c r="M211" i="48"/>
  <c r="M228" i="48"/>
  <c r="M244" i="48"/>
  <c r="M229" i="48"/>
  <c r="M245" i="48"/>
  <c r="M230" i="48"/>
  <c r="M246" i="48"/>
  <c r="M231" i="48"/>
  <c r="M248" i="48"/>
  <c r="M249" i="48"/>
  <c r="M274" i="48"/>
  <c r="M261" i="48"/>
  <c r="M277" i="48"/>
  <c r="M263" i="48"/>
  <c r="M252" i="48"/>
  <c r="M268" i="48"/>
  <c r="M200" i="48"/>
  <c r="M186" i="48"/>
  <c r="M187" i="48"/>
  <c r="M220" i="48"/>
  <c r="M222" i="48"/>
  <c r="M204" i="48"/>
  <c r="M205" i="48"/>
  <c r="M196" i="48"/>
  <c r="M212" i="48"/>
  <c r="M197" i="48"/>
  <c r="M213" i="48"/>
  <c r="M198" i="48"/>
  <c r="M214" i="48"/>
  <c r="M199" i="48"/>
  <c r="M215" i="48"/>
  <c r="M232" i="48"/>
  <c r="M217" i="48"/>
  <c r="M233" i="48"/>
  <c r="M218" i="48"/>
  <c r="M234" i="48"/>
  <c r="M219" i="48"/>
  <c r="M235" i="48"/>
  <c r="M254" i="48"/>
  <c r="M250" i="48"/>
  <c r="M247" i="48"/>
  <c r="M265" i="48"/>
  <c r="M251" i="48"/>
  <c r="M267" i="48"/>
  <c r="M256" i="48"/>
  <c r="M272" i="48"/>
  <c r="M238" i="48"/>
  <c r="M223" i="48"/>
  <c r="M239" i="48"/>
  <c r="M262" i="48"/>
  <c r="M258" i="48"/>
  <c r="M253" i="48"/>
  <c r="M269" i="48"/>
  <c r="M255" i="48"/>
  <c r="M271" i="48"/>
  <c r="M260" i="48"/>
  <c r="M276" i="48"/>
  <c r="Q13" i="43"/>
  <c r="W13" i="43" s="1"/>
  <c r="W12" i="43"/>
  <c r="N8" i="43"/>
  <c r="L9" i="43"/>
  <c r="L10" i="43" s="1"/>
  <c r="Q14" i="43" l="1"/>
  <c r="W14" i="43" s="1"/>
  <c r="L11" i="43"/>
  <c r="M313" i="48" l="1"/>
  <c r="M334" i="48"/>
  <c r="M294" i="48"/>
  <c r="M305" i="48"/>
  <c r="M292" i="48"/>
  <c r="M314" i="48"/>
  <c r="M317" i="48"/>
  <c r="M333" i="48"/>
  <c r="M325" i="48"/>
  <c r="M323" i="48"/>
  <c r="M332" i="48"/>
  <c r="M308" i="48"/>
  <c r="M324" i="48"/>
  <c r="M302" i="48"/>
  <c r="M306" i="48"/>
  <c r="M293" i="48"/>
  <c r="M279" i="48"/>
  <c r="M295" i="48"/>
  <c r="M280" i="48"/>
  <c r="M296" i="48"/>
  <c r="M318" i="48"/>
  <c r="M327" i="48"/>
  <c r="M319" i="48"/>
  <c r="M320" i="48"/>
  <c r="M289" i="48"/>
  <c r="M307" i="48"/>
  <c r="M322" i="48"/>
  <c r="M321" i="48"/>
  <c r="M331" i="48"/>
  <c r="M311" i="48"/>
  <c r="M338" i="48"/>
  <c r="M330" i="48"/>
  <c r="M312" i="48"/>
  <c r="M278" i="48"/>
  <c r="M282" i="48"/>
  <c r="M281" i="48"/>
  <c r="M297" i="48"/>
  <c r="M283" i="48"/>
  <c r="M299" i="48"/>
  <c r="M284" i="48"/>
  <c r="M300" i="48"/>
  <c r="M335" i="48"/>
  <c r="M326" i="48"/>
  <c r="M298" i="48"/>
  <c r="M291" i="48"/>
  <c r="M310" i="48"/>
  <c r="M309" i="48"/>
  <c r="M337" i="48"/>
  <c r="M329" i="48"/>
  <c r="M315" i="48"/>
  <c r="M336" i="48"/>
  <c r="M328" i="48"/>
  <c r="M316" i="48"/>
  <c r="M286" i="48"/>
  <c r="M290" i="48"/>
  <c r="M285" i="48"/>
  <c r="M301" i="48"/>
  <c r="M287" i="48"/>
  <c r="M303" i="48"/>
  <c r="M288" i="48"/>
  <c r="M304" i="48"/>
  <c r="L12" i="43"/>
  <c r="L13" i="43" s="1"/>
  <c r="M351" i="48" l="1"/>
  <c r="M365" i="48"/>
  <c r="M357" i="48"/>
  <c r="M349" i="48"/>
  <c r="M341" i="48"/>
  <c r="M364" i="48"/>
  <c r="M356" i="48"/>
  <c r="M348" i="48"/>
  <c r="M340" i="48"/>
  <c r="M359" i="48"/>
  <c r="M343" i="48"/>
  <c r="M366" i="48"/>
  <c r="M358" i="48"/>
  <c r="M350" i="48"/>
  <c r="M342" i="48"/>
  <c r="M363" i="48"/>
  <c r="M347" i="48"/>
  <c r="M354" i="48"/>
  <c r="M367" i="48"/>
  <c r="M355" i="48"/>
  <c r="M339" i="48"/>
  <c r="M362" i="48"/>
  <c r="M346" i="48"/>
  <c r="M369" i="48"/>
  <c r="M361" i="48"/>
  <c r="M353" i="48"/>
  <c r="M345" i="48"/>
  <c r="M368" i="48"/>
  <c r="M360" i="48"/>
  <c r="M352" i="48"/>
  <c r="M344" i="48"/>
  <c r="L14" i="43"/>
  <c r="H2" i="28" l="1"/>
  <c r="F2" i="28"/>
  <c r="G2" i="28"/>
  <c r="K243" i="48" l="1"/>
  <c r="J243" i="48" s="1"/>
  <c r="K278" i="48"/>
  <c r="H278" i="48" s="1"/>
  <c r="K285" i="48"/>
  <c r="J285" i="48" s="1"/>
  <c r="K215" i="48"/>
  <c r="K222" i="48"/>
  <c r="J222" i="48" s="1"/>
  <c r="K211" i="48"/>
  <c r="J211" i="48" s="1"/>
  <c r="K72" i="48"/>
  <c r="J72" i="48" s="1"/>
  <c r="K202" i="48"/>
  <c r="K331" i="48"/>
  <c r="J331" i="48" s="1"/>
  <c r="K290" i="48"/>
  <c r="H290" i="48" s="1"/>
  <c r="K247" i="48"/>
  <c r="H247" i="48" s="1"/>
  <c r="K357" i="48"/>
  <c r="K129" i="48"/>
  <c r="H129" i="48" s="1"/>
  <c r="K334" i="48"/>
  <c r="J334" i="48" s="1"/>
  <c r="K330" i="48"/>
  <c r="H330" i="48" s="1"/>
  <c r="K132" i="48"/>
  <c r="K335" i="48"/>
  <c r="H335" i="48" s="1"/>
  <c r="K166" i="48"/>
  <c r="J166" i="48" s="1"/>
  <c r="K76" i="48"/>
  <c r="H76" i="48" s="1"/>
  <c r="K143" i="48"/>
  <c r="K159" i="48"/>
  <c r="H159" i="48" s="1"/>
  <c r="K28" i="48"/>
  <c r="J28" i="48" s="1"/>
  <c r="K366" i="48"/>
  <c r="H366" i="48" s="1"/>
  <c r="K302" i="48"/>
  <c r="K141" i="48"/>
  <c r="J141" i="48" s="1"/>
  <c r="K363" i="48"/>
  <c r="J363" i="48" s="1"/>
  <c r="K275" i="48"/>
  <c r="J275" i="48" s="1"/>
  <c r="K137" i="48"/>
  <c r="K346" i="48"/>
  <c r="J346" i="48" s="1"/>
  <c r="K175" i="48"/>
  <c r="H175" i="48" s="1"/>
  <c r="K315" i="48"/>
  <c r="H315" i="48" s="1"/>
  <c r="K52" i="48"/>
  <c r="K282" i="48"/>
  <c r="J282" i="48" s="1"/>
  <c r="K253" i="48"/>
  <c r="H253" i="48" s="1"/>
  <c r="K249" i="48"/>
  <c r="H249" i="48" s="1"/>
  <c r="K62" i="48"/>
  <c r="K296" i="48"/>
  <c r="H296" i="48" s="1"/>
  <c r="K168" i="48"/>
  <c r="J168" i="48" s="1"/>
  <c r="K313" i="48"/>
  <c r="J313" i="48" s="1"/>
  <c r="K115" i="48"/>
  <c r="K365" i="48"/>
  <c r="J365" i="48" s="1"/>
  <c r="K325" i="48"/>
  <c r="H325" i="48" s="1"/>
  <c r="K245" i="48"/>
  <c r="H245" i="48" s="1"/>
  <c r="K213" i="48"/>
  <c r="K173" i="48"/>
  <c r="J173" i="48" s="1"/>
  <c r="K64" i="48"/>
  <c r="J64" i="48" s="1"/>
  <c r="K352" i="48"/>
  <c r="J352" i="48" s="1"/>
  <c r="K295" i="48"/>
  <c r="K254" i="48"/>
  <c r="J254" i="48" s="1"/>
  <c r="K206" i="48"/>
  <c r="H206" i="48" s="1"/>
  <c r="K27" i="48"/>
  <c r="H27" i="48" s="1"/>
  <c r="K291" i="48"/>
  <c r="K246" i="48"/>
  <c r="H246" i="48" s="1"/>
  <c r="K107" i="48"/>
  <c r="H107" i="48" s="1"/>
  <c r="K203" i="48"/>
  <c r="J203" i="48" s="1"/>
  <c r="K100" i="48"/>
  <c r="K20" i="48"/>
  <c r="J20" i="48" s="1"/>
  <c r="K121" i="48"/>
  <c r="J121" i="48" s="1"/>
  <c r="K255" i="48"/>
  <c r="H255" i="48" s="1"/>
  <c r="K351" i="48"/>
  <c r="K303" i="48"/>
  <c r="J303" i="48" s="1"/>
  <c r="K223" i="48"/>
  <c r="J223" i="48" s="1"/>
  <c r="K343" i="48"/>
  <c r="H343" i="48" s="1"/>
  <c r="K327" i="48"/>
  <c r="K326" i="48"/>
  <c r="J326" i="48" s="1"/>
  <c r="K238" i="48"/>
  <c r="J238" i="48" s="1"/>
  <c r="K131" i="48"/>
  <c r="J131" i="48" s="1"/>
  <c r="K323" i="48"/>
  <c r="K227" i="48"/>
  <c r="H227" i="48" s="1"/>
  <c r="K84" i="48"/>
  <c r="J84" i="48" s="1"/>
  <c r="K191" i="48"/>
  <c r="J191" i="48" s="1"/>
  <c r="K310" i="48"/>
  <c r="K251" i="48"/>
  <c r="H251" i="48" s="1"/>
  <c r="K314" i="48"/>
  <c r="H314" i="48" s="1"/>
  <c r="K125" i="48"/>
  <c r="J125" i="48" s="1"/>
  <c r="K229" i="48"/>
  <c r="K86" i="48"/>
  <c r="H86" i="48" s="1"/>
  <c r="K119" i="48"/>
  <c r="J119" i="48" s="1"/>
  <c r="K252" i="48"/>
  <c r="J252" i="48" s="1"/>
  <c r="K338" i="48"/>
  <c r="K226" i="48"/>
  <c r="H226" i="48" s="1"/>
  <c r="K83" i="48"/>
  <c r="H83" i="48" s="1"/>
  <c r="K305" i="48"/>
  <c r="H305" i="48" s="1"/>
  <c r="K88" i="48"/>
  <c r="K292" i="48"/>
  <c r="J292" i="48" s="1"/>
  <c r="K299" i="48"/>
  <c r="J299" i="48" s="1"/>
  <c r="K200" i="48"/>
  <c r="H200" i="48" s="1"/>
  <c r="K264" i="48"/>
  <c r="K169" i="48"/>
  <c r="J169" i="48" s="1"/>
  <c r="K148" i="48"/>
  <c r="J148" i="48" s="1"/>
  <c r="K308" i="48"/>
  <c r="H308" i="48" s="1"/>
  <c r="K108" i="48"/>
  <c r="K271" i="48"/>
  <c r="H271" i="48" s="1"/>
  <c r="K239" i="48"/>
  <c r="H239" i="48" s="1"/>
  <c r="K207" i="48"/>
  <c r="H207" i="48" s="1"/>
  <c r="K263" i="48"/>
  <c r="K167" i="48"/>
  <c r="H167" i="48" s="1"/>
  <c r="K358" i="48"/>
  <c r="H358" i="48" s="1"/>
  <c r="K318" i="48"/>
  <c r="J318" i="48" s="1"/>
  <c r="K270" i="48"/>
  <c r="K262" i="48"/>
  <c r="H262" i="48" s="1"/>
  <c r="K198" i="48"/>
  <c r="J198" i="48" s="1"/>
  <c r="K190" i="48"/>
  <c r="H190" i="48" s="1"/>
  <c r="K158" i="48"/>
  <c r="K75" i="48"/>
  <c r="J75" i="48" s="1"/>
  <c r="K59" i="48"/>
  <c r="H59" i="48" s="1"/>
  <c r="K339" i="48"/>
  <c r="H339" i="48" s="1"/>
  <c r="K307" i="48"/>
  <c r="K267" i="48"/>
  <c r="H267" i="48" s="1"/>
  <c r="K259" i="48"/>
  <c r="J259" i="48" s="1"/>
  <c r="K195" i="48"/>
  <c r="H195" i="48" s="1"/>
  <c r="K171" i="48"/>
  <c r="K147" i="48"/>
  <c r="J147" i="48" s="1"/>
  <c r="K68" i="48"/>
  <c r="H68" i="48" s="1"/>
  <c r="K36" i="48"/>
  <c r="H36" i="48" s="1"/>
  <c r="K311" i="48"/>
  <c r="K279" i="48"/>
  <c r="H7" i="48"/>
  <c r="K93" i="48"/>
  <c r="K235" i="48"/>
  <c r="K237" i="48"/>
  <c r="K261" i="48"/>
  <c r="H261" i="48" s="1"/>
  <c r="K184" i="48"/>
  <c r="K16" i="48"/>
  <c r="K71" i="48"/>
  <c r="K109" i="48"/>
  <c r="J109" i="48" s="1"/>
  <c r="K95" i="48"/>
  <c r="K97" i="48"/>
  <c r="K58" i="48"/>
  <c r="J12" i="48"/>
  <c r="K192" i="48"/>
  <c r="K101" i="48"/>
  <c r="K67" i="48"/>
  <c r="K369" i="48"/>
  <c r="J369" i="48" s="1"/>
  <c r="K341" i="48"/>
  <c r="K333" i="48"/>
  <c r="K309" i="48"/>
  <c r="K301" i="48"/>
  <c r="H301" i="48" s="1"/>
  <c r="K277" i="48"/>
  <c r="K269" i="48"/>
  <c r="K241" i="48"/>
  <c r="K225" i="48"/>
  <c r="H225" i="48" s="1"/>
  <c r="K221" i="48"/>
  <c r="K193" i="48"/>
  <c r="K181" i="48"/>
  <c r="K161" i="48"/>
  <c r="J161" i="48" s="1"/>
  <c r="K140" i="48"/>
  <c r="K124" i="48"/>
  <c r="K130" i="48"/>
  <c r="H34" i="48"/>
  <c r="K33" i="48"/>
  <c r="K359" i="48"/>
  <c r="K342" i="48"/>
  <c r="J342" i="48" s="1"/>
  <c r="K182" i="48"/>
  <c r="K150" i="48"/>
  <c r="K43" i="48"/>
  <c r="K219" i="48"/>
  <c r="J219" i="48" s="1"/>
  <c r="K116" i="48"/>
  <c r="K354" i="48"/>
  <c r="K298" i="48"/>
  <c r="K218" i="48"/>
  <c r="J218" i="48" s="1"/>
  <c r="K170" i="48"/>
  <c r="K337" i="48"/>
  <c r="K317" i="48"/>
  <c r="K273" i="48"/>
  <c r="K274" i="48"/>
  <c r="K99" i="48"/>
  <c r="K63" i="48"/>
  <c r="K113" i="48"/>
  <c r="K189" i="48"/>
  <c r="J189" i="48" s="1"/>
  <c r="K165" i="48"/>
  <c r="J165" i="48" s="1"/>
  <c r="K32" i="48"/>
  <c r="J32" i="48" s="1"/>
  <c r="K336" i="48"/>
  <c r="J336" i="48" s="1"/>
  <c r="K316" i="48"/>
  <c r="J316" i="48" s="1"/>
  <c r="K232" i="48"/>
  <c r="K208" i="48"/>
  <c r="H208" i="48" s="1"/>
  <c r="K144" i="48"/>
  <c r="H144" i="48" s="1"/>
  <c r="K35" i="48"/>
  <c r="J35" i="48" s="1"/>
  <c r="K266" i="48"/>
  <c r="K234" i="48"/>
  <c r="H234" i="48" s="1"/>
  <c r="K186" i="48"/>
  <c r="H186" i="48" s="1"/>
  <c r="K162" i="48"/>
  <c r="H162" i="48" s="1"/>
  <c r="K154" i="48"/>
  <c r="K353" i="48"/>
  <c r="H353" i="48" s="1"/>
  <c r="K257" i="48"/>
  <c r="H257" i="48" s="1"/>
  <c r="K197" i="48"/>
  <c r="J197" i="48" s="1"/>
  <c r="K157" i="48"/>
  <c r="K348" i="48"/>
  <c r="H348" i="48" s="1"/>
  <c r="K120" i="48"/>
  <c r="J120" i="48" s="1"/>
  <c r="K355" i="48"/>
  <c r="J355" i="48" s="1"/>
  <c r="K183" i="48"/>
  <c r="K367" i="48"/>
  <c r="J367" i="48" s="1"/>
  <c r="K350" i="48"/>
  <c r="J350" i="48" s="1"/>
  <c r="K347" i="48"/>
  <c r="H347" i="48" s="1"/>
  <c r="K209" i="48"/>
  <c r="K349" i="48"/>
  <c r="J349" i="48" s="1"/>
  <c r="K210" i="48"/>
  <c r="J210" i="48" s="1"/>
  <c r="K289" i="48"/>
  <c r="J289" i="48" s="1"/>
  <c r="K364" i="48"/>
  <c r="K204" i="48"/>
  <c r="J204" i="48" s="1"/>
  <c r="K123" i="48"/>
  <c r="H123" i="48" s="1"/>
  <c r="K112" i="48"/>
  <c r="H112" i="48" s="1"/>
  <c r="K82" i="48"/>
  <c r="K133" i="48"/>
  <c r="J133" i="48" s="1"/>
  <c r="K45" i="48"/>
  <c r="H45" i="48" s="1"/>
  <c r="K106" i="48"/>
  <c r="H106" i="48" s="1"/>
  <c r="K103" i="48"/>
  <c r="K217" i="48"/>
  <c r="J217" i="48" s="1"/>
  <c r="K117" i="48"/>
  <c r="H117" i="48" s="1"/>
  <c r="K138" i="48"/>
  <c r="H138" i="48" s="1"/>
  <c r="K38" i="48"/>
  <c r="K14" i="48"/>
  <c r="J14" i="48" s="1"/>
  <c r="K96" i="48"/>
  <c r="H96" i="48" s="1"/>
  <c r="K40" i="48"/>
  <c r="J40" i="48" s="1"/>
  <c r="K24" i="48"/>
  <c r="K368" i="48"/>
  <c r="H368" i="48" s="1"/>
  <c r="K344" i="48"/>
  <c r="J344" i="48" s="1"/>
  <c r="K320" i="48"/>
  <c r="J320" i="48" s="1"/>
  <c r="K328" i="48"/>
  <c r="K283" i="48"/>
  <c r="H283" i="48" s="1"/>
  <c r="K151" i="48"/>
  <c r="J151" i="48" s="1"/>
  <c r="K286" i="48"/>
  <c r="J286" i="48" s="1"/>
  <c r="K127" i="48"/>
  <c r="K214" i="48"/>
  <c r="H214" i="48" s="1"/>
  <c r="K258" i="48"/>
  <c r="H258" i="48" s="1"/>
  <c r="K272" i="48"/>
  <c r="H272" i="48" s="1"/>
  <c r="K44" i="48"/>
  <c r="K294" i="48"/>
  <c r="H294" i="48" s="1"/>
  <c r="K155" i="48"/>
  <c r="H155" i="48" s="1"/>
  <c r="K163" i="48"/>
  <c r="H163" i="48" s="1"/>
  <c r="K287" i="48"/>
  <c r="K319" i="48"/>
  <c r="J319" i="48" s="1"/>
  <c r="K92" i="48"/>
  <c r="H92" i="48" s="1"/>
  <c r="K199" i="48"/>
  <c r="J199" i="48" s="1"/>
  <c r="K230" i="48"/>
  <c r="K174" i="48"/>
  <c r="J174" i="48" s="1"/>
  <c r="K91" i="48"/>
  <c r="H91" i="48" s="1"/>
  <c r="K179" i="48"/>
  <c r="H179" i="48" s="1"/>
  <c r="K362" i="48"/>
  <c r="K60" i="48"/>
  <c r="J60" i="48" s="1"/>
  <c r="K187" i="48"/>
  <c r="J187" i="48" s="1"/>
  <c r="K322" i="48"/>
  <c r="H322" i="48" s="1"/>
  <c r="K293" i="48"/>
  <c r="K69" i="48"/>
  <c r="J69" i="48" s="1"/>
  <c r="H8" i="48"/>
  <c r="K118" i="48"/>
  <c r="J118" i="48" s="1"/>
  <c r="K85" i="48"/>
  <c r="K46" i="48"/>
  <c r="H46" i="48" s="1"/>
  <c r="K25" i="48"/>
  <c r="H25" i="48" s="1"/>
  <c r="K22" i="48"/>
  <c r="J22" i="48" s="1"/>
  <c r="K81" i="48"/>
  <c r="K356" i="48"/>
  <c r="H356" i="48" s="1"/>
  <c r="K111" i="48"/>
  <c r="H111" i="48" s="1"/>
  <c r="K66" i="48"/>
  <c r="H66" i="48" s="1"/>
  <c r="K37" i="48"/>
  <c r="K41" i="48"/>
  <c r="H41" i="48" s="1"/>
  <c r="K15" i="48"/>
  <c r="H15" i="48" s="1"/>
  <c r="K13" i="48"/>
  <c r="K102" i="48"/>
  <c r="K98" i="48"/>
  <c r="J98" i="48" s="1"/>
  <c r="K70" i="48"/>
  <c r="H70" i="48" s="1"/>
  <c r="K18" i="48"/>
  <c r="J18" i="48" s="1"/>
  <c r="K105" i="48"/>
  <c r="K49" i="48"/>
  <c r="J49" i="48" s="1"/>
  <c r="K304" i="48"/>
  <c r="H304" i="48" s="1"/>
  <c r="K160" i="48"/>
  <c r="H160" i="48" s="1"/>
  <c r="K329" i="48"/>
  <c r="K281" i="48"/>
  <c r="J281" i="48" s="1"/>
  <c r="K244" i="48"/>
  <c r="J244" i="48" s="1"/>
  <c r="K87" i="48"/>
  <c r="J87" i="48" s="1"/>
  <c r="K57" i="48"/>
  <c r="J57" i="48" s="1"/>
  <c r="H11" i="48"/>
  <c r="K360" i="48"/>
  <c r="J360" i="48" s="1"/>
  <c r="K250" i="48"/>
  <c r="K104" i="48"/>
  <c r="J104" i="48" s="1"/>
  <c r="K312" i="48"/>
  <c r="H312" i="48" s="1"/>
  <c r="K268" i="48"/>
  <c r="J268" i="48" s="1"/>
  <c r="K156" i="48"/>
  <c r="K306" i="48"/>
  <c r="J306" i="48" s="1"/>
  <c r="K188" i="48"/>
  <c r="H188" i="48" s="1"/>
  <c r="K194" i="48"/>
  <c r="H194" i="48" s="1"/>
  <c r="K19" i="48"/>
  <c r="K321" i="48"/>
  <c r="J321" i="48" s="1"/>
  <c r="K205" i="48"/>
  <c r="J205" i="48" s="1"/>
  <c r="K177" i="48"/>
  <c r="J177" i="48" s="1"/>
  <c r="K149" i="48"/>
  <c r="K332" i="48"/>
  <c r="H332" i="48" s="1"/>
  <c r="K300" i="48"/>
  <c r="H300" i="48" s="1"/>
  <c r="K284" i="48"/>
  <c r="H284" i="48" s="1"/>
  <c r="K256" i="48"/>
  <c r="K224" i="48"/>
  <c r="H224" i="48" s="1"/>
  <c r="K216" i="48"/>
  <c r="J216" i="48" s="1"/>
  <c r="K176" i="48"/>
  <c r="H176" i="48" s="1"/>
  <c r="K172" i="48"/>
  <c r="K152" i="48"/>
  <c r="H152" i="48" s="1"/>
  <c r="K242" i="48"/>
  <c r="J242" i="48" s="1"/>
  <c r="K146" i="48"/>
  <c r="H146" i="48" s="1"/>
  <c r="K185" i="48"/>
  <c r="K23" i="48"/>
  <c r="H23" i="48" s="1"/>
  <c r="K126" i="48"/>
  <c r="J126" i="48" s="1"/>
  <c r="K297" i="48"/>
  <c r="H297" i="48" s="1"/>
  <c r="K260" i="48"/>
  <c r="K128" i="48"/>
  <c r="J128" i="48" s="1"/>
  <c r="K55" i="48"/>
  <c r="J55" i="48" s="1"/>
  <c r="K50" i="48"/>
  <c r="J50" i="48" s="1"/>
  <c r="K280" i="48"/>
  <c r="J9" i="48"/>
  <c r="K110" i="48"/>
  <c r="J110" i="48" s="1"/>
  <c r="K30" i="48"/>
  <c r="J30" i="48" s="1"/>
  <c r="K17" i="48"/>
  <c r="J17" i="48" s="1"/>
  <c r="K220" i="48"/>
  <c r="J220" i="48" s="1"/>
  <c r="K201" i="48"/>
  <c r="J201" i="48" s="1"/>
  <c r="K53" i="48"/>
  <c r="J53" i="48" s="1"/>
  <c r="K90" i="48"/>
  <c r="H90" i="48" s="1"/>
  <c r="K65" i="48"/>
  <c r="J65" i="48" s="1"/>
  <c r="K231" i="48"/>
  <c r="H231" i="48" s="1"/>
  <c r="K51" i="48"/>
  <c r="J51" i="48" s="1"/>
  <c r="K145" i="48"/>
  <c r="H145" i="48" s="1"/>
  <c r="K236" i="48"/>
  <c r="J236" i="48" s="1"/>
  <c r="K345" i="48"/>
  <c r="J345" i="48" s="1"/>
  <c r="K136" i="48"/>
  <c r="H136" i="48" s="1"/>
  <c r="K56" i="48"/>
  <c r="H56" i="48" s="1"/>
  <c r="K288" i="48"/>
  <c r="H288" i="48" s="1"/>
  <c r="K240" i="48"/>
  <c r="J240" i="48" s="1"/>
  <c r="K139" i="48"/>
  <c r="H139" i="48" s="1"/>
  <c r="K361" i="48"/>
  <c r="J361" i="48" s="1"/>
  <c r="K89" i="48"/>
  <c r="J89" i="48" s="1"/>
  <c r="K122" i="48"/>
  <c r="J122" i="48" s="1"/>
  <c r="K73" i="48"/>
  <c r="J73" i="48" s="1"/>
  <c r="H4" i="48"/>
  <c r="K265" i="48"/>
  <c r="J265" i="48" s="1"/>
  <c r="K153" i="48"/>
  <c r="J153" i="48" s="1"/>
  <c r="K135" i="48"/>
  <c r="J135" i="48" s="1"/>
  <c r="K340" i="48"/>
  <c r="H340" i="48" s="1"/>
  <c r="K276" i="48"/>
  <c r="H276" i="48" s="1"/>
  <c r="K196" i="48"/>
  <c r="J196" i="48" s="1"/>
  <c r="K180" i="48"/>
  <c r="J180" i="48" s="1"/>
  <c r="K79" i="48"/>
  <c r="J79" i="48" s="1"/>
  <c r="K47" i="48"/>
  <c r="H47" i="48" s="1"/>
  <c r="J6" i="48"/>
  <c r="K178" i="48"/>
  <c r="J178" i="48" s="1"/>
  <c r="K114" i="48"/>
  <c r="H114" i="48" s="1"/>
  <c r="K29" i="48"/>
  <c r="H29" i="48" s="1"/>
  <c r="K142" i="48"/>
  <c r="J142" i="48" s="1"/>
  <c r="K61" i="48"/>
  <c r="J61" i="48" s="1"/>
  <c r="K31" i="48"/>
  <c r="J31" i="48" s="1"/>
  <c r="K39" i="48"/>
  <c r="H39" i="48" s="1"/>
  <c r="K54" i="48"/>
  <c r="J54" i="48" s="1"/>
  <c r="K77" i="48"/>
  <c r="H77" i="48" s="1"/>
  <c r="K324" i="48"/>
  <c r="J324" i="48" s="1"/>
  <c r="K164" i="48"/>
  <c r="J164" i="48" s="1"/>
  <c r="K233" i="48"/>
  <c r="H233" i="48" s="1"/>
  <c r="K212" i="48"/>
  <c r="J212" i="48" s="1"/>
  <c r="K74" i="48"/>
  <c r="J74" i="48" s="1"/>
  <c r="K248" i="48"/>
  <c r="H248" i="48" s="1"/>
  <c r="K78" i="48"/>
  <c r="J78" i="48" s="1"/>
  <c r="K42" i="48"/>
  <c r="J42" i="48" s="1"/>
  <c r="K48" i="48"/>
  <c r="H48" i="48" s="1"/>
  <c r="K134" i="48"/>
  <c r="J134" i="48" s="1"/>
  <c r="K26" i="48"/>
  <c r="J26" i="48" s="1"/>
  <c r="K228" i="48"/>
  <c r="J228" i="48" s="1"/>
  <c r="K21" i="48"/>
  <c r="J21" i="48" s="1"/>
  <c r="K80" i="48"/>
  <c r="H80" i="48" s="1"/>
  <c r="K94" i="48"/>
  <c r="H94" i="48" s="1"/>
  <c r="J10" i="48"/>
  <c r="J13" i="48" l="1"/>
  <c r="H13" i="48"/>
  <c r="H321" i="48"/>
  <c r="J144" i="48"/>
  <c r="H110" i="48"/>
  <c r="H31" i="48"/>
  <c r="J155" i="48"/>
  <c r="H10" i="48"/>
  <c r="H21" i="48"/>
  <c r="H180" i="48"/>
  <c r="J96" i="48"/>
  <c r="H9" i="48"/>
  <c r="H50" i="48"/>
  <c r="H210" i="48"/>
  <c r="H73" i="48"/>
  <c r="H49" i="48"/>
  <c r="J25" i="48"/>
  <c r="J257" i="48"/>
  <c r="H135" i="48"/>
  <c r="J288" i="48"/>
  <c r="H345" i="48"/>
  <c r="J224" i="48"/>
  <c r="H57" i="48"/>
  <c r="H151" i="48"/>
  <c r="H120" i="48"/>
  <c r="H336" i="48"/>
  <c r="H74" i="48"/>
  <c r="H142" i="48"/>
  <c r="H240" i="48"/>
  <c r="H51" i="48"/>
  <c r="H126" i="48"/>
  <c r="H104" i="48"/>
  <c r="J11" i="48"/>
  <c r="J91" i="48"/>
  <c r="J45" i="48"/>
  <c r="J186" i="48"/>
  <c r="J48" i="48"/>
  <c r="H178" i="48"/>
  <c r="H153" i="48"/>
  <c r="J231" i="48"/>
  <c r="H53" i="48"/>
  <c r="J297" i="48"/>
  <c r="J152" i="48"/>
  <c r="H306" i="48"/>
  <c r="H281" i="48"/>
  <c r="J8" i="48"/>
  <c r="J92" i="48"/>
  <c r="H344" i="48"/>
  <c r="J123" i="48"/>
  <c r="H197" i="48"/>
  <c r="H35" i="48"/>
  <c r="H324" i="48"/>
  <c r="H61" i="48"/>
  <c r="H196" i="48"/>
  <c r="H122" i="48"/>
  <c r="H201" i="48"/>
  <c r="H55" i="48"/>
  <c r="H242" i="48"/>
  <c r="J332" i="48"/>
  <c r="H98" i="48"/>
  <c r="J111" i="48"/>
  <c r="H187" i="48"/>
  <c r="J258" i="48"/>
  <c r="J117" i="48"/>
  <c r="H350" i="48"/>
  <c r="J162" i="48"/>
  <c r="H316" i="48"/>
  <c r="H6" i="48"/>
  <c r="J4" i="48"/>
  <c r="H274" i="48"/>
  <c r="J274" i="48"/>
  <c r="J182" i="48"/>
  <c r="H182" i="48"/>
  <c r="H221" i="48"/>
  <c r="J221" i="48"/>
  <c r="J192" i="48"/>
  <c r="H192" i="48"/>
  <c r="J95" i="48"/>
  <c r="H95" i="48"/>
  <c r="J139" i="48"/>
  <c r="J136" i="48"/>
  <c r="H30" i="48"/>
  <c r="H216" i="48"/>
  <c r="J300" i="48"/>
  <c r="H205" i="48"/>
  <c r="J188" i="48"/>
  <c r="J312" i="48"/>
  <c r="H244" i="48"/>
  <c r="J304" i="48"/>
  <c r="J70" i="48"/>
  <c r="H116" i="48"/>
  <c r="J116" i="48"/>
  <c r="J140" i="48"/>
  <c r="H140" i="48"/>
  <c r="J341" i="48"/>
  <c r="H341" i="48"/>
  <c r="J93" i="48"/>
  <c r="H93" i="48"/>
  <c r="J114" i="48"/>
  <c r="H79" i="48"/>
  <c r="J340" i="48"/>
  <c r="H361" i="48"/>
  <c r="J176" i="48"/>
  <c r="J284" i="48"/>
  <c r="H177" i="48"/>
  <c r="J194" i="48"/>
  <c r="H268" i="48"/>
  <c r="H360" i="48"/>
  <c r="H87" i="48"/>
  <c r="J160" i="48"/>
  <c r="H18" i="48"/>
  <c r="H165" i="48"/>
  <c r="J63" i="48"/>
  <c r="H63" i="48"/>
  <c r="H317" i="48"/>
  <c r="J317" i="48"/>
  <c r="J298" i="48"/>
  <c r="H298" i="48"/>
  <c r="J43" i="48"/>
  <c r="H43" i="48"/>
  <c r="J359" i="48"/>
  <c r="H359" i="48"/>
  <c r="J130" i="48"/>
  <c r="H130" i="48"/>
  <c r="H181" i="48"/>
  <c r="J181" i="48"/>
  <c r="H241" i="48"/>
  <c r="J241" i="48"/>
  <c r="J309" i="48"/>
  <c r="H309" i="48"/>
  <c r="H67" i="48"/>
  <c r="J67" i="48"/>
  <c r="H58" i="48"/>
  <c r="J58" i="48"/>
  <c r="H71" i="48"/>
  <c r="J71" i="48"/>
  <c r="J237" i="48"/>
  <c r="H237" i="48"/>
  <c r="J279" i="48"/>
  <c r="H279" i="48"/>
  <c r="H170" i="48"/>
  <c r="J170" i="48"/>
  <c r="J33" i="48"/>
  <c r="H33" i="48"/>
  <c r="J277" i="48"/>
  <c r="H277" i="48"/>
  <c r="J184" i="48"/>
  <c r="H184" i="48"/>
  <c r="J80" i="48"/>
  <c r="H228" i="48"/>
  <c r="H134" i="48"/>
  <c r="H42" i="48"/>
  <c r="J248" i="48"/>
  <c r="H212" i="48"/>
  <c r="H164" i="48"/>
  <c r="J77" i="48"/>
  <c r="J39" i="48"/>
  <c r="J29" i="48"/>
  <c r="J47" i="48"/>
  <c r="J276" i="48"/>
  <c r="H265" i="48"/>
  <c r="H89" i="48"/>
  <c r="J56" i="48"/>
  <c r="H128" i="48"/>
  <c r="J23" i="48"/>
  <c r="J146" i="48"/>
  <c r="J41" i="48"/>
  <c r="J66" i="48"/>
  <c r="J356" i="48"/>
  <c r="H22" i="48"/>
  <c r="J46" i="48"/>
  <c r="H118" i="48"/>
  <c r="H69" i="48"/>
  <c r="J322" i="48"/>
  <c r="H60" i="48"/>
  <c r="J179" i="48"/>
  <c r="H174" i="48"/>
  <c r="H199" i="48"/>
  <c r="H319" i="48"/>
  <c r="J163" i="48"/>
  <c r="J294" i="48"/>
  <c r="J272" i="48"/>
  <c r="J214" i="48"/>
  <c r="H286" i="48"/>
  <c r="J283" i="48"/>
  <c r="H320" i="48"/>
  <c r="J368" i="48"/>
  <c r="H40" i="48"/>
  <c r="H14" i="48"/>
  <c r="J138" i="48"/>
  <c r="H217" i="48"/>
  <c r="J106" i="48"/>
  <c r="H133" i="48"/>
  <c r="J112" i="48"/>
  <c r="H204" i="48"/>
  <c r="H289" i="48"/>
  <c r="H349" i="48"/>
  <c r="J347" i="48"/>
  <c r="H367" i="48"/>
  <c r="H355" i="48"/>
  <c r="J348" i="48"/>
  <c r="J353" i="48"/>
  <c r="J234" i="48"/>
  <c r="J208" i="48"/>
  <c r="H32" i="48"/>
  <c r="H189" i="48"/>
  <c r="J36" i="48"/>
  <c r="H147" i="48"/>
  <c r="J195" i="48"/>
  <c r="J267" i="48"/>
  <c r="J339" i="48"/>
  <c r="H75" i="48"/>
  <c r="J190" i="48"/>
  <c r="J262" i="48"/>
  <c r="H318" i="48"/>
  <c r="J167" i="48"/>
  <c r="J207" i="48"/>
  <c r="J271" i="48"/>
  <c r="J308" i="48"/>
  <c r="H169" i="48"/>
  <c r="J200" i="48"/>
  <c r="H292" i="48"/>
  <c r="J305" i="48"/>
  <c r="J226" i="48"/>
  <c r="H252" i="48"/>
  <c r="J86" i="48"/>
  <c r="H125" i="48"/>
  <c r="J251" i="48"/>
  <c r="H191" i="48"/>
  <c r="J227" i="48"/>
  <c r="H131" i="48"/>
  <c r="H326" i="48"/>
  <c r="J343" i="48"/>
  <c r="H303" i="48"/>
  <c r="J255" i="48"/>
  <c r="H20" i="48"/>
  <c r="H203" i="48"/>
  <c r="J246" i="48"/>
  <c r="J27" i="48"/>
  <c r="H254" i="48"/>
  <c r="H352" i="48"/>
  <c r="H173" i="48"/>
  <c r="J245" i="48"/>
  <c r="H365" i="48"/>
  <c r="H313" i="48"/>
  <c r="J296" i="48"/>
  <c r="J249" i="48"/>
  <c r="H282" i="48"/>
  <c r="J315" i="48"/>
  <c r="H346" i="48"/>
  <c r="H275" i="48"/>
  <c r="H141" i="48"/>
  <c r="J366" i="48"/>
  <c r="J159" i="48"/>
  <c r="J76" i="48"/>
  <c r="J335" i="48"/>
  <c r="J330" i="48"/>
  <c r="J129" i="48"/>
  <c r="J247" i="48"/>
  <c r="H331" i="48"/>
  <c r="H72" i="48"/>
  <c r="H222" i="48"/>
  <c r="H285" i="48"/>
  <c r="H243" i="48"/>
  <c r="J15" i="48"/>
  <c r="H260" i="48"/>
  <c r="J260" i="48"/>
  <c r="J273" i="48"/>
  <c r="H273" i="48"/>
  <c r="H5" i="48"/>
  <c r="J5" i="48"/>
  <c r="J269" i="48"/>
  <c r="H269" i="48"/>
  <c r="J101" i="48"/>
  <c r="H101" i="48"/>
  <c r="H235" i="48"/>
  <c r="J235" i="48"/>
  <c r="H158" i="48"/>
  <c r="J158" i="48"/>
  <c r="H310" i="48"/>
  <c r="J310" i="48"/>
  <c r="J100" i="48"/>
  <c r="H100" i="48"/>
  <c r="J213" i="48"/>
  <c r="H213" i="48"/>
  <c r="J52" i="48"/>
  <c r="H52" i="48"/>
  <c r="J302" i="48"/>
  <c r="H302" i="48"/>
  <c r="J90" i="48"/>
  <c r="H185" i="48"/>
  <c r="J185" i="48"/>
  <c r="J99" i="48"/>
  <c r="H99" i="48"/>
  <c r="J354" i="48"/>
  <c r="H354" i="48"/>
  <c r="J193" i="48"/>
  <c r="H193" i="48"/>
  <c r="H16" i="48"/>
  <c r="J16" i="48"/>
  <c r="H171" i="48"/>
  <c r="J171" i="48"/>
  <c r="J263" i="48"/>
  <c r="H263" i="48"/>
  <c r="J264" i="48"/>
  <c r="H264" i="48"/>
  <c r="J338" i="48"/>
  <c r="H338" i="48"/>
  <c r="H327" i="48"/>
  <c r="J327" i="48"/>
  <c r="J295" i="48"/>
  <c r="H295" i="48"/>
  <c r="J115" i="48"/>
  <c r="H115" i="48"/>
  <c r="H143" i="48"/>
  <c r="J143" i="48"/>
  <c r="H132" i="48"/>
  <c r="J132" i="48"/>
  <c r="H54" i="48"/>
  <c r="H236" i="48"/>
  <c r="H65" i="48"/>
  <c r="H17" i="48"/>
  <c r="H113" i="48"/>
  <c r="J113" i="48"/>
  <c r="J337" i="48"/>
  <c r="H337" i="48"/>
  <c r="H150" i="48"/>
  <c r="J150" i="48"/>
  <c r="H124" i="48"/>
  <c r="J124" i="48"/>
  <c r="H333" i="48"/>
  <c r="J333" i="48"/>
  <c r="H97" i="48"/>
  <c r="J97" i="48"/>
  <c r="J311" i="48"/>
  <c r="H311" i="48"/>
  <c r="J307" i="48"/>
  <c r="H307" i="48"/>
  <c r="H270" i="48"/>
  <c r="J270" i="48"/>
  <c r="H108" i="48"/>
  <c r="J108" i="48"/>
  <c r="H88" i="48"/>
  <c r="J88" i="48"/>
  <c r="H229" i="48"/>
  <c r="J229" i="48"/>
  <c r="H323" i="48"/>
  <c r="J323" i="48"/>
  <c r="H351" i="48"/>
  <c r="J351" i="48"/>
  <c r="H291" i="48"/>
  <c r="J291" i="48"/>
  <c r="J62" i="48"/>
  <c r="H62" i="48"/>
  <c r="H137" i="48"/>
  <c r="J137" i="48"/>
  <c r="H357" i="48"/>
  <c r="J357" i="48"/>
  <c r="H202" i="48"/>
  <c r="J202" i="48"/>
  <c r="H215" i="48"/>
  <c r="J215" i="48"/>
  <c r="J94" i="48"/>
  <c r="H26" i="48"/>
  <c r="H78" i="48"/>
  <c r="J233" i="48"/>
  <c r="J145" i="48"/>
  <c r="J280" i="48"/>
  <c r="H280" i="48"/>
  <c r="H220" i="48"/>
  <c r="J172" i="48"/>
  <c r="H172" i="48"/>
  <c r="J256" i="48"/>
  <c r="H256" i="48"/>
  <c r="J149" i="48"/>
  <c r="H149" i="48"/>
  <c r="J19" i="48"/>
  <c r="H19" i="48"/>
  <c r="J156" i="48"/>
  <c r="H156" i="48"/>
  <c r="J250" i="48"/>
  <c r="H250" i="48"/>
  <c r="H3" i="48"/>
  <c r="J3" i="48"/>
  <c r="H329" i="48"/>
  <c r="J329" i="48"/>
  <c r="H105" i="48"/>
  <c r="J105" i="48"/>
  <c r="J102" i="48"/>
  <c r="H102" i="48"/>
  <c r="H37" i="48"/>
  <c r="J37" i="48"/>
  <c r="H81" i="48"/>
  <c r="J81" i="48"/>
  <c r="J85" i="48"/>
  <c r="H85" i="48"/>
  <c r="H293" i="48"/>
  <c r="J293" i="48"/>
  <c r="H362" i="48"/>
  <c r="J362" i="48"/>
  <c r="J230" i="48"/>
  <c r="H230" i="48"/>
  <c r="J287" i="48"/>
  <c r="H287" i="48"/>
  <c r="J44" i="48"/>
  <c r="H44" i="48"/>
  <c r="J127" i="48"/>
  <c r="H127" i="48"/>
  <c r="H328" i="48"/>
  <c r="J328" i="48"/>
  <c r="J24" i="48"/>
  <c r="H24" i="48"/>
  <c r="H38" i="48"/>
  <c r="J38" i="48"/>
  <c r="J103" i="48"/>
  <c r="H103" i="48"/>
  <c r="J82" i="48"/>
  <c r="H82" i="48"/>
  <c r="H364" i="48"/>
  <c r="J364" i="48"/>
  <c r="J209" i="48"/>
  <c r="H209" i="48"/>
  <c r="H183" i="48"/>
  <c r="J183" i="48"/>
  <c r="H157" i="48"/>
  <c r="J157" i="48"/>
  <c r="H154" i="48"/>
  <c r="J154" i="48"/>
  <c r="H266" i="48"/>
  <c r="J266" i="48"/>
  <c r="J232" i="48"/>
  <c r="H232" i="48"/>
  <c r="H218" i="48"/>
  <c r="H219" i="48"/>
  <c r="H342" i="48"/>
  <c r="J34" i="48"/>
  <c r="H161" i="48"/>
  <c r="J225" i="48"/>
  <c r="J301" i="48"/>
  <c r="H369" i="48"/>
  <c r="H12" i="48"/>
  <c r="H109" i="48"/>
  <c r="J261" i="48"/>
  <c r="J7" i="48"/>
  <c r="J68" i="48"/>
  <c r="H259" i="48"/>
  <c r="J59" i="48"/>
  <c r="H198" i="48"/>
  <c r="J358" i="48"/>
  <c r="J239" i="48"/>
  <c r="H148" i="48"/>
  <c r="H299" i="48"/>
  <c r="J83" i="48"/>
  <c r="H119" i="48"/>
  <c r="J314" i="48"/>
  <c r="H84" i="48"/>
  <c r="H238" i="48"/>
  <c r="H223" i="48"/>
  <c r="H121" i="48"/>
  <c r="J107" i="48"/>
  <c r="J206" i="48"/>
  <c r="H64" i="48"/>
  <c r="J325" i="48"/>
  <c r="H168" i="48"/>
  <c r="J253" i="48"/>
  <c r="J175" i="48"/>
  <c r="H363" i="48"/>
  <c r="H28" i="48"/>
  <c r="H166" i="48"/>
  <c r="H334" i="48"/>
  <c r="J290" i="48"/>
  <c r="H211" i="48"/>
  <c r="J278" i="4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7" authorId="0" shapeId="0" xr:uid="{5143B221-52ED-411C-AFA9-9814222B4BE9}">
      <text>
        <r>
          <rPr>
            <b/>
            <sz val="9"/>
            <color indexed="81"/>
            <rFont val="Tahoma"/>
            <charset val="1"/>
          </rPr>
          <t>No era quincena</t>
        </r>
      </text>
    </comment>
    <comment ref="D18" authorId="0" shapeId="0" xr:uid="{D0B4D198-9DCB-4DEE-8838-D8E8600978F0}">
      <text>
        <r>
          <rPr>
            <b/>
            <sz val="9"/>
            <color indexed="81"/>
            <rFont val="Tahoma"/>
            <charset val="1"/>
          </rPr>
          <t>Llovio</t>
        </r>
      </text>
    </comment>
    <comment ref="C21" authorId="0" shapeId="0" xr:uid="{984E59E8-AF60-4DBB-90F4-9600599134B3}">
      <text>
        <r>
          <rPr>
            <b/>
            <sz val="9"/>
            <color indexed="81"/>
            <rFont val="Tahoma"/>
            <charset val="1"/>
          </rPr>
          <t>No se abrio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D35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Costo 5,800,000</t>
        </r>
      </text>
    </comment>
  </commentList>
</comments>
</file>

<file path=xl/sharedStrings.xml><?xml version="1.0" encoding="utf-8"?>
<sst xmlns="http://schemas.openxmlformats.org/spreadsheetml/2006/main" count="1522" uniqueCount="266">
  <si>
    <t>Mes</t>
  </si>
  <si>
    <t>Valor</t>
  </si>
  <si>
    <t>Total</t>
  </si>
  <si>
    <t>Mesas 4 meseras</t>
  </si>
  <si>
    <t>olla arrocera</t>
  </si>
  <si>
    <t>Mercado</t>
  </si>
  <si>
    <t>Carne de res</t>
  </si>
  <si>
    <t>Proveedor</t>
  </si>
  <si>
    <t>Carne de cerdo</t>
  </si>
  <si>
    <t>Venta</t>
  </si>
  <si>
    <t xml:space="preserve">Extractor </t>
  </si>
  <si>
    <t>Patrimonio</t>
  </si>
  <si>
    <t>Mesa madera</t>
  </si>
  <si>
    <t>Mesa para lavar pollo</t>
  </si>
  <si>
    <t>Mesa para dejar ollas</t>
  </si>
  <si>
    <t>Mesa bajita de metal</t>
  </si>
  <si>
    <t>Otras ollas</t>
  </si>
  <si>
    <t>Platos, cubiertos, Tablas bajijas de plasticos</t>
  </si>
  <si>
    <t>Botes de basura</t>
  </si>
  <si>
    <t>Nevera</t>
  </si>
  <si>
    <t>Platero</t>
  </si>
  <si>
    <t>Estufa</t>
  </si>
  <si>
    <t>Acarreo</t>
  </si>
  <si>
    <t>Equipo de sonido</t>
  </si>
  <si>
    <t>Bicicleta</t>
  </si>
  <si>
    <t>Horno de pollos</t>
  </si>
  <si>
    <t>Campana</t>
  </si>
  <si>
    <t>Inversion Proyecto</t>
  </si>
  <si>
    <t>Sazón</t>
  </si>
  <si>
    <t>Carne</t>
  </si>
  <si>
    <t>Cerdo</t>
  </si>
  <si>
    <t xml:space="preserve">Pollo  </t>
  </si>
  <si>
    <t>Bascula</t>
  </si>
  <si>
    <t>Pasivo Total</t>
  </si>
  <si>
    <t>Activo</t>
  </si>
  <si>
    <t>Mercado y Hamburguesa</t>
  </si>
  <si>
    <t>Marzo</t>
  </si>
  <si>
    <t>jueves</t>
  </si>
  <si>
    <t>Fecha</t>
  </si>
  <si>
    <t>Día</t>
  </si>
  <si>
    <t>sábado</t>
  </si>
  <si>
    <t>domingo</t>
  </si>
  <si>
    <t>lunes</t>
  </si>
  <si>
    <t>martes</t>
  </si>
  <si>
    <t>miércoles</t>
  </si>
  <si>
    <t>viernes</t>
  </si>
  <si>
    <t>Rentabilidad</t>
  </si>
  <si>
    <t>Tipo día</t>
  </si>
  <si>
    <t xml:space="preserve"> Venta</t>
  </si>
  <si>
    <t>Normal</t>
  </si>
  <si>
    <t xml:space="preserve">Rentabilidad  x mes    </t>
  </si>
  <si>
    <t xml:space="preserve">Días trascurridos    </t>
  </si>
  <si>
    <t xml:space="preserve">Rentabilidad x día    </t>
  </si>
  <si>
    <t>Arriendo Apto. Marzo</t>
  </si>
  <si>
    <t>Bebidas</t>
  </si>
  <si>
    <t>Publidad tarjeteria</t>
  </si>
  <si>
    <t>Origen Equipo</t>
  </si>
  <si>
    <t>Antiguo</t>
  </si>
  <si>
    <t>Nuevo</t>
  </si>
  <si>
    <t>olla espres</t>
  </si>
  <si>
    <t>Materia Prima</t>
  </si>
  <si>
    <t>Tipo de gasto</t>
  </si>
  <si>
    <t>Bicicleta - Parrilla</t>
  </si>
  <si>
    <t>Propio</t>
  </si>
  <si>
    <t>NOMINA</t>
  </si>
  <si>
    <t xml:space="preserve"> Sarmiento</t>
  </si>
  <si>
    <t xml:space="preserve"> Leornardo</t>
  </si>
  <si>
    <t xml:space="preserve"> Orlando</t>
  </si>
  <si>
    <t>Menudo y prestamo</t>
  </si>
  <si>
    <t xml:space="preserve"> Hector</t>
  </si>
  <si>
    <t xml:space="preserve"> Saul</t>
  </si>
  <si>
    <t>Nombre proveedor</t>
  </si>
  <si>
    <t>Forecast</t>
  </si>
  <si>
    <t>FINANCIERO</t>
  </si>
  <si>
    <t>ARRIENDO</t>
  </si>
  <si>
    <t>Pescado</t>
  </si>
  <si>
    <t>PUBLICIDAD</t>
  </si>
  <si>
    <t>Gota x Gota</t>
  </si>
  <si>
    <t>Arredatario</t>
  </si>
  <si>
    <t xml:space="preserve"> Diego</t>
  </si>
  <si>
    <t>Inventario (Stock)</t>
  </si>
  <si>
    <t>Planta y Equipo</t>
  </si>
  <si>
    <t>Mes de Arriendo Marzo</t>
  </si>
  <si>
    <t>Total general</t>
  </si>
  <si>
    <t>Tipo de obligación</t>
  </si>
  <si>
    <t xml:space="preserve"> Martin</t>
  </si>
  <si>
    <t xml:space="preserve"> Vecino</t>
  </si>
  <si>
    <t>Nd</t>
  </si>
  <si>
    <t>Carne de Pollo</t>
  </si>
  <si>
    <t>Nivel de Endeudamiento (NE)</t>
  </si>
  <si>
    <t>Nivel de endeudamiento crítico</t>
  </si>
  <si>
    <t>Autonomía</t>
  </si>
  <si>
    <t>El 70% del patrimonio esta comprometido con deudas</t>
  </si>
  <si>
    <t>Actual</t>
  </si>
  <si>
    <t>Meta ideal deuda</t>
  </si>
  <si>
    <t>Ideal</t>
  </si>
  <si>
    <t>Meta a Pagar</t>
  </si>
  <si>
    <t>Gastos</t>
  </si>
  <si>
    <t>Ventas</t>
  </si>
  <si>
    <t>Ganacia / Nomina</t>
  </si>
  <si>
    <t>Promedio Venta</t>
  </si>
  <si>
    <t>Tendencia</t>
  </si>
  <si>
    <t>Utilidad trabajo</t>
  </si>
  <si>
    <t>E (Renta)</t>
  </si>
  <si>
    <t>Target Ventas</t>
  </si>
  <si>
    <t>Target MC</t>
  </si>
  <si>
    <t>Target Día</t>
  </si>
  <si>
    <t>Target %</t>
  </si>
  <si>
    <t>% Target</t>
  </si>
  <si>
    <t>(Todas)</t>
  </si>
  <si>
    <t>Tipo día2</t>
  </si>
  <si>
    <t>enel - 6451508-5</t>
  </si>
  <si>
    <t>A) Día hábil</t>
  </si>
  <si>
    <t>C) Sábado</t>
  </si>
  <si>
    <t>Caja</t>
  </si>
  <si>
    <t>Plan B</t>
  </si>
  <si>
    <t>Arriendo</t>
  </si>
  <si>
    <t>Gas</t>
  </si>
  <si>
    <t>Consumo (m3)</t>
  </si>
  <si>
    <t>Energia</t>
  </si>
  <si>
    <t>21Nov -20Dic</t>
  </si>
  <si>
    <t>20Dic-22Ene</t>
  </si>
  <si>
    <t>22Ene-20Feb</t>
  </si>
  <si>
    <t>20Feb-19Mar</t>
  </si>
  <si>
    <t>19Mar-21Abr</t>
  </si>
  <si>
    <t>21Abr-20May</t>
  </si>
  <si>
    <t>No. Días Gas</t>
  </si>
  <si>
    <t>No. Días Energia</t>
  </si>
  <si>
    <t>No. Días Arriendo</t>
  </si>
  <si>
    <t>Consumo
(KhW</t>
  </si>
  <si>
    <t>Fecha corte enega</t>
  </si>
  <si>
    <t>Día Arriendo</t>
  </si>
  <si>
    <t>Costo prom. Gas</t>
  </si>
  <si>
    <t>Tipo</t>
  </si>
  <si>
    <t>Histórico</t>
  </si>
  <si>
    <t>Día Gas</t>
  </si>
  <si>
    <t>Costo prom. Energia</t>
  </si>
  <si>
    <t>Día Energia</t>
  </si>
  <si>
    <t>21May-20Jun</t>
  </si>
  <si>
    <t>Financiació Energia</t>
  </si>
  <si>
    <t>Agua</t>
  </si>
  <si>
    <t>Dìa Agua</t>
  </si>
  <si>
    <t>Electricidad</t>
  </si>
  <si>
    <t>Nomina</t>
  </si>
  <si>
    <t>Bancos</t>
  </si>
  <si>
    <t>D) Domingo</t>
  </si>
  <si>
    <t>Domiciliario</t>
  </si>
  <si>
    <t>2 dia</t>
  </si>
  <si>
    <t>35000 por millar</t>
  </si>
  <si>
    <t>60.000 por millar</t>
  </si>
  <si>
    <t>50 pollos un millon</t>
  </si>
  <si>
    <t>Pintura, local</t>
  </si>
  <si>
    <t>50 pollos</t>
  </si>
  <si>
    <t>Hamburguesa</t>
  </si>
  <si>
    <t>25.000 a 10 cada</t>
  </si>
  <si>
    <t>49 gaseosas litro y media</t>
  </si>
  <si>
    <t>gaseosas pequeñas 50</t>
  </si>
  <si>
    <t>Sason para un mes</t>
  </si>
  <si>
    <t>CODENSA</t>
  </si>
  <si>
    <t>Congelado</t>
  </si>
  <si>
    <t>Pagar Urgente</t>
  </si>
  <si>
    <t>Estado Tesoreria</t>
  </si>
  <si>
    <t>Arriendo Apto.</t>
  </si>
  <si>
    <t>dom</t>
  </si>
  <si>
    <t>lun</t>
  </si>
  <si>
    <t>mar</t>
  </si>
  <si>
    <t>mié</t>
  </si>
  <si>
    <t>jue</t>
  </si>
  <si>
    <t>vie</t>
  </si>
  <si>
    <t>sáb</t>
  </si>
  <si>
    <t>Suma de Venta</t>
  </si>
  <si>
    <t>No. Semana de operación</t>
  </si>
  <si>
    <t>Semana</t>
  </si>
  <si>
    <t>∆%</t>
  </si>
  <si>
    <t>Sandra</t>
  </si>
  <si>
    <t>Cuentas x Pagar</t>
  </si>
  <si>
    <t>Target</t>
  </si>
  <si>
    <t>Contingencia: Gas</t>
  </si>
  <si>
    <t>Contingencia: Licuadora</t>
  </si>
  <si>
    <t>Ladron de Gas</t>
  </si>
  <si>
    <t>Licuadora</t>
  </si>
  <si>
    <t>Vitrina, ollas</t>
  </si>
  <si>
    <t>Pasivo de largo plazo</t>
  </si>
  <si>
    <t>Pasivo de corto plazo</t>
  </si>
  <si>
    <t>Licuadrora</t>
  </si>
  <si>
    <t>Saldo nuevo admón</t>
  </si>
  <si>
    <t>Día C x P</t>
  </si>
  <si>
    <t>Hora</t>
  </si>
  <si>
    <t>fecha_fin</t>
  </si>
  <si>
    <t>nombre_producto</t>
  </si>
  <si>
    <t>Cajero</t>
  </si>
  <si>
    <t>Parrillero</t>
  </si>
  <si>
    <t>Internet</t>
  </si>
  <si>
    <t>Chorizo</t>
  </si>
  <si>
    <t>hit</t>
  </si>
  <si>
    <t>agua</t>
  </si>
  <si>
    <t>postobon</t>
  </si>
  <si>
    <t>coca cola</t>
  </si>
  <si>
    <t>Venta PE</t>
  </si>
  <si>
    <t>Día internet</t>
  </si>
  <si>
    <t>Servicios publicos</t>
  </si>
  <si>
    <t>dia</t>
  </si>
  <si>
    <t>Etiquetas de fila</t>
  </si>
  <si>
    <t>MG</t>
  </si>
  <si>
    <t>precio_producto</t>
  </si>
  <si>
    <t>costo_producto</t>
  </si>
  <si>
    <t>Hit</t>
  </si>
  <si>
    <t>Coca cola</t>
  </si>
  <si>
    <t>Postobon</t>
  </si>
  <si>
    <t>Chori- CRUDO</t>
  </si>
  <si>
    <t>parri tres carnes</t>
  </si>
  <si>
    <t>carne + chorizo</t>
  </si>
  <si>
    <t>tinto</t>
  </si>
  <si>
    <t>parri 48</t>
  </si>
  <si>
    <t>parri 70</t>
  </si>
  <si>
    <t>parri 40</t>
  </si>
  <si>
    <t>cerrado</t>
  </si>
  <si>
    <t>B) Viernes</t>
  </si>
  <si>
    <t>E) Festivo</t>
  </si>
  <si>
    <t>José Gustavo</t>
  </si>
  <si>
    <t>Gaseosa</t>
  </si>
  <si>
    <t>Descripción</t>
  </si>
  <si>
    <t>Chorizos</t>
  </si>
  <si>
    <t>Gaseosas, Coca Cola, Hit y Agua</t>
  </si>
  <si>
    <t>Opex</t>
  </si>
  <si>
    <t>Suma de MG</t>
  </si>
  <si>
    <t>MG estim</t>
  </si>
  <si>
    <t>BEBIDA - Coca Cola</t>
  </si>
  <si>
    <t xml:space="preserve"> Chorizo solo</t>
  </si>
  <si>
    <t xml:space="preserve"> Chorizo con papa/arepa</t>
  </si>
  <si>
    <t>z. MP -  Chorizo CRUDO</t>
  </si>
  <si>
    <t>BEBIDA - Postobón</t>
  </si>
  <si>
    <t>BEBIDA - Jugo Hit</t>
  </si>
  <si>
    <t>Ham. combo</t>
  </si>
  <si>
    <t>BEBIDA - Coca Cola ZERO</t>
  </si>
  <si>
    <t>Bandeja Choriboni - 30</t>
  </si>
  <si>
    <t>chorixo solo</t>
  </si>
  <si>
    <t>BEBIDA - Botella de Agua</t>
  </si>
  <si>
    <t>Parrillada de 35</t>
  </si>
  <si>
    <t>Bandeja Choriboni - 25</t>
  </si>
  <si>
    <t>Tinto</t>
  </si>
  <si>
    <t>Parrillada de 48</t>
  </si>
  <si>
    <t>Parrillada de 70</t>
  </si>
  <si>
    <t>Parrillada de 40</t>
  </si>
  <si>
    <t>z. MP -  Hamb. CRUDA</t>
  </si>
  <si>
    <t>Ham. sencilla</t>
  </si>
  <si>
    <t>CARNES - Costillas BBQ  - 50</t>
  </si>
  <si>
    <t>Propina - Gustavo</t>
  </si>
  <si>
    <t>PROMO: promo vecino de jenesano</t>
  </si>
  <si>
    <t>Parrillada de 60</t>
  </si>
  <si>
    <t>CARNES - Carne Asada de 40</t>
  </si>
  <si>
    <t>Bandeja Choriboni - 35</t>
  </si>
  <si>
    <t>PROMO pedazo de carne</t>
  </si>
  <si>
    <t>Parrillada de 30</t>
  </si>
  <si>
    <t>Ham. Doble combo - ELIMINAR</t>
  </si>
  <si>
    <t>CARNES - Media carne</t>
  </si>
  <si>
    <t>CARNES - Carne asada 23</t>
  </si>
  <si>
    <t>CARNES  - Carne asada  - 20</t>
  </si>
  <si>
    <t>BEBIDA - Aguila</t>
  </si>
  <si>
    <t>CARNES - Mojarra</t>
  </si>
  <si>
    <t>chorizo</t>
  </si>
  <si>
    <t>Costo</t>
  </si>
  <si>
    <t>papa</t>
  </si>
  <si>
    <t>costo_venta</t>
  </si>
  <si>
    <t>cantidad</t>
  </si>
  <si>
    <t>%MG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</si>
</sst>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-[$$-240A]\ * #,##0_-;\-[$$-240A]\ * #,##0_-;_-[$$-240A]\ * &quot;-&quot;??_-;_-@_-"/>
    <numFmt numFmtId="167" formatCode="_-* #,##0\ _€_-;\-* #,##0\ _€_-;_-* &quot;-&quot;??\ _€_-;_-@_-"/>
    <numFmt numFmtId="168" formatCode="_ &quot;$&quot;\ * #,##0.00_ ;_ &quot;$&quot;\ * \-#,##0.00_ ;_ &quot;$&quot;\ * &quot;-&quot;??_ ;_ @_ "/>
    <numFmt numFmtId="169" formatCode="_ * #,##0.00_ ;_ * \-#,##0.00_ ;_ * &quot;-&quot;??_ ;_ @_ "/>
    <numFmt numFmtId="170" formatCode="_-* #,##0_-;\-* #,##0_-;_-* &quot;-&quot;??_-;_-@_-"/>
    <numFmt numFmtId="171" formatCode="_-&quot;$&quot;\ * #,##0_-;\-&quot;$&quot;\ * #,##0_-;_-&quot;$&quot;\ * &quot;-&quot;??_-;_-@_-"/>
    <numFmt numFmtId="172" formatCode="0.0"/>
    <numFmt numFmtId="173" formatCode="#,##0_ ;[Red]\-#,##0\ "/>
  </numFmts>
  <fonts count="33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11"/>
      <color rgb="FFFF0000"/>
      <name val="Tw Cen MT"/>
      <family val="2"/>
      <scheme val="minor"/>
    </font>
    <font>
      <b/>
      <sz val="11"/>
      <color theme="0"/>
      <name val="Tw Cen MT"/>
      <family val="2"/>
      <scheme val="minor"/>
    </font>
    <font>
      <sz val="11"/>
      <color indexed="8"/>
      <name val="Tw Cen MT"/>
      <family val="2"/>
      <scheme val="minor"/>
    </font>
    <font>
      <sz val="12"/>
      <name val="Courier"/>
    </font>
    <font>
      <b/>
      <sz val="9"/>
      <color indexed="81"/>
      <name val="Tahoma"/>
      <family val="2"/>
    </font>
    <font>
      <sz val="11"/>
      <color theme="0"/>
      <name val="Tw Cen MT"/>
      <family val="2"/>
      <scheme val="minor"/>
    </font>
    <font>
      <sz val="11"/>
      <name val="Tw Cen MT"/>
      <family val="2"/>
      <scheme val="minor"/>
    </font>
    <font>
      <sz val="11"/>
      <color rgb="FF000000"/>
      <name val="Gill Sans MT"/>
      <family val="2"/>
    </font>
    <font>
      <b/>
      <sz val="11"/>
      <color rgb="FF000000"/>
      <name val="Gill Sans MT"/>
      <family val="2"/>
    </font>
    <font>
      <b/>
      <sz val="11"/>
      <color rgb="FF0070C0"/>
      <name val="Tw Cen MT"/>
      <family val="2"/>
      <scheme val="minor"/>
    </font>
    <font>
      <b/>
      <u/>
      <sz val="11"/>
      <color theme="1"/>
      <name val="Tw Cen MT"/>
      <family val="2"/>
      <scheme val="minor"/>
    </font>
    <font>
      <sz val="9"/>
      <color rgb="FF004165"/>
      <name val="Arial"/>
      <family val="2"/>
    </font>
    <font>
      <sz val="8"/>
      <name val="Tw Cen MT"/>
      <family val="2"/>
      <scheme val="minor"/>
    </font>
    <font>
      <sz val="9"/>
      <color theme="1"/>
      <name val="Tw Cen MT"/>
      <family val="2"/>
      <scheme val="minor"/>
    </font>
    <font>
      <sz val="9"/>
      <color theme="0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color theme="1"/>
      <name val="Tw Cen MT"/>
      <family val="2"/>
      <scheme val="minor"/>
    </font>
    <font>
      <b/>
      <u/>
      <sz val="9"/>
      <color rgb="FF004165"/>
      <name val="Arial"/>
      <family val="2"/>
    </font>
    <font>
      <sz val="11"/>
      <color rgb="FF000000"/>
      <name val="Gill Sans MT"/>
      <family val="2"/>
    </font>
    <font>
      <u/>
      <sz val="11"/>
      <color theme="1"/>
      <name val="Tw Cen MT"/>
      <family val="2"/>
      <scheme val="minor"/>
    </font>
    <font>
      <u/>
      <sz val="11"/>
      <color rgb="FF0070C0"/>
      <name val="Tw Cen MT"/>
      <family val="2"/>
      <scheme val="minor"/>
    </font>
    <font>
      <u val="singleAccounting"/>
      <sz val="11"/>
      <color rgb="FF0070C0"/>
      <name val="Tw Cen MT"/>
      <family val="2"/>
      <scheme val="minor"/>
    </font>
    <font>
      <sz val="11"/>
      <color theme="0"/>
      <name val="Calibri"/>
      <family val="2"/>
    </font>
    <font>
      <u/>
      <sz val="11"/>
      <name val="Tw Cen MT"/>
      <family val="2"/>
      <scheme val="minor"/>
    </font>
    <font>
      <b/>
      <sz val="14"/>
      <color rgb="FF0070C0"/>
      <name val="Tw Cen MT"/>
      <family val="2"/>
      <scheme val="minor"/>
    </font>
    <font>
      <sz val="11"/>
      <color rgb="FF000000"/>
      <name val="Gill Sans MT"/>
      <family val="2"/>
    </font>
    <font>
      <b/>
      <sz val="11"/>
      <color theme="1"/>
      <name val="Tw Cen MT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1"/>
      <color theme="1"/>
      <name val="Tw Cen MT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1EA0A6"/>
        <bgColor theme="4"/>
      </patternFill>
    </fill>
    <fill>
      <patternFill patternType="solid">
        <fgColor rgb="FFFBFBFB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FFA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theme="6" tint="-0.249977111117893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A3A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-0.249977111117893"/>
        <bgColor theme="5" tint="-0.249977111117893"/>
      </patternFill>
    </fill>
    <fill>
      <patternFill patternType="solid">
        <fgColor rgb="FFA3E7FF"/>
        <bgColor indexed="64"/>
      </patternFill>
    </fill>
    <fill>
      <patternFill patternType="solid">
        <fgColor rgb="FFFFD44B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theme="7"/>
      </patternFill>
    </fill>
    <fill>
      <patternFill patternType="solid">
        <fgColor rgb="FF7030A0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A3"/>
        <bgColor theme="4" tint="0.79998168889431442"/>
      </patternFill>
    </fill>
    <fill>
      <patternFill patternType="solid">
        <fgColor rgb="FFFFFF00"/>
        <bgColor theme="4" tint="0.79998168889431442"/>
      </patternFill>
    </fill>
  </fills>
  <borders count="27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 style="medium">
        <color theme="4" tint="-0.249977111117893"/>
      </top>
      <bottom/>
      <diagonal/>
    </border>
    <border>
      <left/>
      <right/>
      <top style="thin">
        <color theme="9" tint="0.3999755851924192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6" tint="0.79998168889431442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double">
        <color theme="6" tint="-0.249977111117893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5" tint="-0.249977111117893"/>
      </top>
      <bottom style="thin">
        <color theme="5" tint="0.59999389629810485"/>
      </bottom>
      <diagonal/>
    </border>
    <border>
      <left/>
      <right/>
      <top style="thin">
        <color theme="5" tint="-0.249977111117893"/>
      </top>
      <bottom style="thin">
        <color theme="5" tint="0.79998168889431442"/>
      </bottom>
      <diagonal/>
    </border>
    <border>
      <left/>
      <right/>
      <top style="thin">
        <color theme="5" tint="0.79998168889431442"/>
      </top>
      <bottom style="thin">
        <color theme="5" tint="0.79998168889431442"/>
      </bottom>
      <diagonal/>
    </border>
    <border>
      <left/>
      <right/>
      <top style="double">
        <color theme="5" tint="-0.249977111117893"/>
      </top>
      <bottom/>
      <diagonal/>
    </border>
    <border>
      <left/>
      <right/>
      <top style="thin">
        <color theme="5" tint="0.79998168889431442"/>
      </top>
      <bottom style="thin">
        <color indexed="64"/>
      </bottom>
      <diagonal/>
    </border>
    <border>
      <left/>
      <right/>
      <top/>
      <bottom style="thin">
        <color theme="5" tint="0.79998168889431442"/>
      </bottom>
      <diagonal/>
    </border>
    <border>
      <left/>
      <right/>
      <top style="thin">
        <color theme="5" tint="0.79998168889431442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6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" fillId="0" borderId="0"/>
    <xf numFmtId="169" fontId="2" fillId="0" borderId="0" applyFont="0" applyFill="0" applyBorder="0" applyAlignment="0" applyProtection="0"/>
    <xf numFmtId="0" fontId="5" fillId="0" borderId="0"/>
    <xf numFmtId="165" fontId="6" fillId="0" borderId="0" applyFont="0" applyFill="0" applyBorder="0" applyAlignment="0" applyProtection="0"/>
    <xf numFmtId="0" fontId="6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209">
    <xf numFmtId="0" fontId="0" fillId="0" borderId="0" xfId="0"/>
    <xf numFmtId="166" fontId="0" fillId="0" borderId="0" xfId="0" applyNumberFormat="1"/>
    <xf numFmtId="167" fontId="0" fillId="0" borderId="0" xfId="1" applyNumberFormat="1" applyFont="1"/>
    <xf numFmtId="0" fontId="0" fillId="0" borderId="0" xfId="0" applyAlignment="1">
      <alignment horizontal="center"/>
    </xf>
    <xf numFmtId="0" fontId="1" fillId="0" borderId="0" xfId="0" applyFont="1"/>
    <xf numFmtId="167" fontId="0" fillId="0" borderId="0" xfId="0" applyNumberFormat="1"/>
    <xf numFmtId="170" fontId="0" fillId="0" borderId="0" xfId="0" applyNumberFormat="1"/>
    <xf numFmtId="170" fontId="0" fillId="0" borderId="0" xfId="12" applyNumberFormat="1" applyFont="1"/>
    <xf numFmtId="167" fontId="0" fillId="0" borderId="0" xfId="1" applyNumberFormat="1" applyFont="1" applyFill="1"/>
    <xf numFmtId="0" fontId="4" fillId="0" borderId="9" xfId="0" applyFont="1" applyBorder="1" applyAlignment="1">
      <alignment horizontal="center"/>
    </xf>
    <xf numFmtId="0" fontId="0" fillId="0" borderId="8" xfId="0" applyBorder="1"/>
    <xf numFmtId="0" fontId="0" fillId="0" borderId="10" xfId="0" applyBorder="1"/>
    <xf numFmtId="0" fontId="0" fillId="7" borderId="2" xfId="0" applyFill="1" applyBorder="1" applyAlignment="1">
      <alignment horizontal="left" indent="2"/>
    </xf>
    <xf numFmtId="167" fontId="0" fillId="7" borderId="2" xfId="1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pivotButton="1"/>
    <xf numFmtId="166" fontId="9" fillId="2" borderId="11" xfId="0" applyNumberFormat="1" applyFont="1" applyFill="1" applyBorder="1"/>
    <xf numFmtId="0" fontId="0" fillId="0" borderId="12" xfId="0" applyBorder="1"/>
    <xf numFmtId="166" fontId="0" fillId="0" borderId="0" xfId="1" applyNumberFormat="1" applyFont="1"/>
    <xf numFmtId="166" fontId="0" fillId="0" borderId="8" xfId="1" applyNumberFormat="1" applyFont="1" applyFill="1" applyBorder="1"/>
    <xf numFmtId="166" fontId="0" fillId="0" borderId="10" xfId="1" applyNumberFormat="1" applyFont="1" applyFill="1" applyBorder="1"/>
    <xf numFmtId="166" fontId="0" fillId="0" borderId="12" xfId="1" applyNumberFormat="1" applyFont="1" applyFill="1" applyBorder="1"/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171" fontId="0" fillId="0" borderId="13" xfId="3" applyNumberFormat="1" applyFont="1" applyFill="1" applyBorder="1" applyAlignment="1">
      <alignment horizontal="left"/>
    </xf>
    <xf numFmtId="0" fontId="0" fillId="10" borderId="0" xfId="0" applyFill="1"/>
    <xf numFmtId="171" fontId="0" fillId="0" borderId="4" xfId="3" applyNumberFormat="1" applyFont="1" applyFill="1" applyBorder="1" applyAlignment="1">
      <alignment horizontal="left"/>
    </xf>
    <xf numFmtId="0" fontId="8" fillId="11" borderId="2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167" fontId="8" fillId="8" borderId="2" xfId="1" applyNumberFormat="1" applyFont="1" applyFill="1" applyBorder="1" applyAlignment="1">
      <alignment horizontal="center"/>
    </xf>
    <xf numFmtId="9" fontId="0" fillId="7" borderId="2" xfId="2" applyFont="1" applyFill="1" applyBorder="1" applyAlignment="1">
      <alignment horizontal="center" vertical="center"/>
    </xf>
    <xf numFmtId="9" fontId="8" fillId="8" borderId="2" xfId="2" applyFont="1" applyFill="1" applyBorder="1" applyAlignment="1">
      <alignment horizontal="center" vertical="center"/>
    </xf>
    <xf numFmtId="9" fontId="8" fillId="4" borderId="2" xfId="2" applyFont="1" applyFill="1" applyBorder="1" applyAlignment="1">
      <alignment horizontal="center" vertical="center"/>
    </xf>
    <xf numFmtId="0" fontId="1" fillId="0" borderId="0" xfId="0" pivotButton="1" applyFont="1" applyAlignment="1">
      <alignment horizontal="center"/>
    </xf>
    <xf numFmtId="166" fontId="1" fillId="0" borderId="0" xfId="0" applyNumberFormat="1" applyFont="1" applyAlignment="1">
      <alignment horizontal="center"/>
    </xf>
    <xf numFmtId="9" fontId="0" fillId="0" borderId="0" xfId="2" applyFont="1"/>
    <xf numFmtId="172" fontId="3" fillId="0" borderId="0" xfId="2" applyNumberFormat="1" applyFont="1" applyAlignment="1">
      <alignment horizontal="center"/>
    </xf>
    <xf numFmtId="172" fontId="12" fillId="0" borderId="0" xfId="2" applyNumberFormat="1" applyFont="1" applyAlignment="1">
      <alignment horizontal="center"/>
    </xf>
    <xf numFmtId="0" fontId="12" fillId="0" borderId="0" xfId="0" applyFont="1"/>
    <xf numFmtId="0" fontId="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167" fontId="12" fillId="0" borderId="0" xfId="1" applyNumberFormat="1" applyFont="1"/>
    <xf numFmtId="173" fontId="0" fillId="0" borderId="0" xfId="0" applyNumberFormat="1"/>
    <xf numFmtId="0" fontId="4" fillId="9" borderId="11" xfId="0" applyFont="1" applyFill="1" applyBorder="1"/>
    <xf numFmtId="173" fontId="0" fillId="13" borderId="0" xfId="0" applyNumberFormat="1" applyFill="1" applyAlignment="1">
      <alignment horizontal="center"/>
    </xf>
    <xf numFmtId="0" fontId="4" fillId="9" borderId="11" xfId="0" applyFont="1" applyFill="1" applyBorder="1" applyAlignment="1">
      <alignment horizontal="left" indent="2"/>
    </xf>
    <xf numFmtId="0" fontId="4" fillId="9" borderId="11" xfId="0" applyFont="1" applyFill="1" applyBorder="1" applyAlignment="1">
      <alignment horizontal="left"/>
    </xf>
    <xf numFmtId="0" fontId="4" fillId="9" borderId="11" xfId="0" applyFont="1" applyFill="1" applyBorder="1" applyAlignment="1">
      <alignment horizontal="center"/>
    </xf>
    <xf numFmtId="173" fontId="9" fillId="2" borderId="11" xfId="0" applyNumberFormat="1" applyFont="1" applyFill="1" applyBorder="1"/>
    <xf numFmtId="9" fontId="0" fillId="0" borderId="0" xfId="2" applyFont="1" applyAlignment="1">
      <alignment horizontal="center"/>
    </xf>
    <xf numFmtId="166" fontId="0" fillId="14" borderId="0" xfId="0" applyNumberFormat="1" applyFill="1"/>
    <xf numFmtId="0" fontId="0" fillId="3" borderId="0" xfId="0" applyFill="1"/>
    <xf numFmtId="0" fontId="8" fillId="4" borderId="2" xfId="0" applyFont="1" applyFill="1" applyBorder="1" applyAlignment="1">
      <alignment horizontal="center"/>
    </xf>
    <xf numFmtId="167" fontId="8" fillId="4" borderId="2" xfId="1" applyNumberFormat="1" applyFont="1" applyFill="1" applyBorder="1" applyAlignment="1">
      <alignment horizontal="center"/>
    </xf>
    <xf numFmtId="166" fontId="4" fillId="15" borderId="15" xfId="0" applyNumberFormat="1" applyFont="1" applyFill="1" applyBorder="1" applyAlignment="1">
      <alignment horizontal="center"/>
    </xf>
    <xf numFmtId="166" fontId="0" fillId="0" borderId="16" xfId="0" applyNumberFormat="1" applyBorder="1"/>
    <xf numFmtId="166" fontId="1" fillId="0" borderId="17" xfId="0" applyNumberFormat="1" applyFont="1" applyBorder="1"/>
    <xf numFmtId="41" fontId="0" fillId="0" borderId="0" xfId="15" applyFon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19" borderId="0" xfId="0" applyFont="1" applyFill="1" applyAlignment="1">
      <alignment horizontal="center" vertical="center" wrapText="1"/>
    </xf>
    <xf numFmtId="166" fontId="1" fillId="6" borderId="0" xfId="0" applyNumberFormat="1" applyFont="1" applyFill="1" applyAlignment="1">
      <alignment horizontal="center" vertical="center" wrapText="1"/>
    </xf>
    <xf numFmtId="166" fontId="1" fillId="18" borderId="0" xfId="0" applyNumberFormat="1" applyFont="1" applyFill="1" applyAlignment="1">
      <alignment horizontal="center" vertical="center" wrapText="1"/>
    </xf>
    <xf numFmtId="17" fontId="14" fillId="17" borderId="0" xfId="0" applyNumberFormat="1" applyFont="1" applyFill="1" applyAlignment="1">
      <alignment horizontal="center" vertical="center" wrapText="1"/>
    </xf>
    <xf numFmtId="17" fontId="14" fillId="0" borderId="0" xfId="0" applyNumberFormat="1" applyFont="1" applyAlignment="1">
      <alignment horizontal="center" vertical="center" wrapText="1"/>
    </xf>
    <xf numFmtId="14" fontId="16" fillId="0" borderId="0" xfId="0" applyNumberFormat="1" applyFont="1"/>
    <xf numFmtId="0" fontId="16" fillId="0" borderId="0" xfId="0" applyFont="1"/>
    <xf numFmtId="166" fontId="16" fillId="0" borderId="0" xfId="0" applyNumberFormat="1" applyFont="1"/>
    <xf numFmtId="166" fontId="16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173" fontId="16" fillId="0" borderId="0" xfId="0" applyNumberFormat="1" applyFont="1"/>
    <xf numFmtId="166" fontId="16" fillId="20" borderId="0" xfId="0" applyNumberFormat="1" applyFont="1" applyFill="1"/>
    <xf numFmtId="166" fontId="16" fillId="7" borderId="0" xfId="0" applyNumberFormat="1" applyFont="1" applyFill="1" applyAlignment="1">
      <alignment horizontal="center"/>
    </xf>
    <xf numFmtId="14" fontId="17" fillId="6" borderId="0" xfId="0" applyNumberFormat="1" applyFont="1" applyFill="1"/>
    <xf numFmtId="166" fontId="17" fillId="6" borderId="0" xfId="0" applyNumberFormat="1" applyFont="1" applyFill="1"/>
    <xf numFmtId="1" fontId="17" fillId="6" borderId="0" xfId="0" applyNumberFormat="1" applyFont="1" applyFill="1" applyAlignment="1">
      <alignment horizontal="center"/>
    </xf>
    <xf numFmtId="166" fontId="17" fillId="6" borderId="0" xfId="0" applyNumberFormat="1" applyFont="1" applyFill="1" applyAlignment="1">
      <alignment horizontal="center"/>
    </xf>
    <xf numFmtId="166" fontId="0" fillId="12" borderId="0" xfId="0" applyNumberFormat="1" applyFill="1"/>
    <xf numFmtId="166" fontId="18" fillId="2" borderId="0" xfId="0" applyNumberFormat="1" applyFont="1" applyFill="1" applyAlignment="1">
      <alignment horizontal="center" vertical="center" wrapText="1"/>
    </xf>
    <xf numFmtId="166" fontId="16" fillId="23" borderId="0" xfId="0" applyNumberFormat="1" applyFont="1" applyFill="1" applyAlignment="1">
      <alignment horizontal="center"/>
    </xf>
    <xf numFmtId="0" fontId="17" fillId="6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166" fontId="16" fillId="21" borderId="0" xfId="0" applyNumberFormat="1" applyFont="1" applyFill="1" applyAlignment="1">
      <alignment horizontal="center"/>
    </xf>
    <xf numFmtId="14" fontId="16" fillId="0" borderId="0" xfId="0" applyNumberFormat="1" applyFont="1" applyAlignment="1">
      <alignment horizontal="center"/>
    </xf>
    <xf numFmtId="14" fontId="17" fillId="6" borderId="0" xfId="0" applyNumberFormat="1" applyFont="1" applyFill="1" applyAlignment="1">
      <alignment horizontal="center"/>
    </xf>
    <xf numFmtId="166" fontId="16" fillId="12" borderId="0" xfId="15" applyNumberFormat="1" applyFont="1" applyFill="1"/>
    <xf numFmtId="14" fontId="19" fillId="0" borderId="0" xfId="0" applyNumberFormat="1" applyFont="1"/>
    <xf numFmtId="0" fontId="19" fillId="0" borderId="0" xfId="0" applyFont="1"/>
    <xf numFmtId="166" fontId="19" fillId="0" borderId="0" xfId="0" applyNumberFormat="1" applyFont="1"/>
    <xf numFmtId="1" fontId="19" fillId="0" borderId="0" xfId="0" applyNumberFormat="1" applyFont="1" applyAlignment="1">
      <alignment horizontal="center"/>
    </xf>
    <xf numFmtId="166" fontId="19" fillId="20" borderId="0" xfId="0" applyNumberFormat="1" applyFont="1" applyFill="1"/>
    <xf numFmtId="0" fontId="19" fillId="0" borderId="0" xfId="0" applyFont="1" applyAlignment="1">
      <alignment horizontal="center"/>
    </xf>
    <xf numFmtId="166" fontId="19" fillId="7" borderId="0" xfId="0" applyNumberFormat="1" applyFont="1" applyFill="1" applyAlignment="1">
      <alignment horizontal="center"/>
    </xf>
    <xf numFmtId="166" fontId="19" fillId="21" borderId="0" xfId="0" applyNumberFormat="1" applyFont="1" applyFill="1" applyAlignment="1">
      <alignment horizontal="center"/>
    </xf>
    <xf numFmtId="166" fontId="19" fillId="0" borderId="0" xfId="0" applyNumberFormat="1" applyFont="1" applyAlignment="1">
      <alignment horizontal="center"/>
    </xf>
    <xf numFmtId="166" fontId="19" fillId="23" borderId="0" xfId="0" applyNumberFormat="1" applyFont="1" applyFill="1" applyAlignment="1">
      <alignment horizontal="center"/>
    </xf>
    <xf numFmtId="17" fontId="20" fillId="0" borderId="0" xfId="0" applyNumberFormat="1" applyFont="1" applyAlignment="1">
      <alignment horizontal="center" vertical="center" wrapText="1"/>
    </xf>
    <xf numFmtId="166" fontId="19" fillId="12" borderId="0" xfId="15" applyNumberFormat="1" applyFont="1" applyFill="1"/>
    <xf numFmtId="0" fontId="0" fillId="24" borderId="0" xfId="0" applyFill="1" applyAlignment="1">
      <alignment horizontal="center"/>
    </xf>
    <xf numFmtId="166" fontId="0" fillId="5" borderId="0" xfId="0" applyNumberFormat="1" applyFill="1"/>
    <xf numFmtId="0" fontId="0" fillId="26" borderId="0" xfId="0" applyFill="1"/>
    <xf numFmtId="41" fontId="0" fillId="26" borderId="0" xfId="15" applyFont="1" applyFill="1"/>
    <xf numFmtId="171" fontId="21" fillId="0" borderId="0" xfId="11" applyNumberFormat="1" applyFont="1" applyBorder="1"/>
    <xf numFmtId="171" fontId="10" fillId="0" borderId="0" xfId="11" applyNumberFormat="1" applyFont="1" applyBorder="1"/>
    <xf numFmtId="0" fontId="11" fillId="0" borderId="3" xfId="0" applyFont="1" applyBorder="1"/>
    <xf numFmtId="0" fontId="10" fillId="13" borderId="4" xfId="0" applyFont="1" applyFill="1" applyBorder="1" applyAlignment="1">
      <alignment horizontal="center"/>
    </xf>
    <xf numFmtId="0" fontId="4" fillId="27" borderId="18" xfId="0" applyFont="1" applyFill="1" applyBorder="1"/>
    <xf numFmtId="0" fontId="0" fillId="0" borderId="0" xfId="0" applyAlignment="1">
      <alignment horizontal="left"/>
    </xf>
    <xf numFmtId="41" fontId="0" fillId="0" borderId="0" xfId="0" applyNumberFormat="1"/>
    <xf numFmtId="0" fontId="8" fillId="30" borderId="20" xfId="0" applyFont="1" applyFill="1" applyBorder="1" applyAlignment="1">
      <alignment horizontal="center"/>
    </xf>
    <xf numFmtId="41" fontId="0" fillId="0" borderId="21" xfId="0" applyNumberFormat="1" applyBorder="1"/>
    <xf numFmtId="41" fontId="1" fillId="0" borderId="22" xfId="0" applyNumberFormat="1" applyFont="1" applyBorder="1"/>
    <xf numFmtId="0" fontId="1" fillId="0" borderId="22" xfId="0" applyFont="1" applyBorder="1" applyAlignment="1">
      <alignment horizontal="left"/>
    </xf>
    <xf numFmtId="9" fontId="0" fillId="0" borderId="21" xfId="2" applyFont="1" applyBorder="1"/>
    <xf numFmtId="9" fontId="1" fillId="0" borderId="22" xfId="2" applyFont="1" applyBorder="1"/>
    <xf numFmtId="0" fontId="8" fillId="30" borderId="19" xfId="0" applyFont="1" applyFill="1" applyBorder="1" applyAlignment="1">
      <alignment horizontal="center"/>
    </xf>
    <xf numFmtId="0" fontId="9" fillId="31" borderId="21" xfId="0" applyFont="1" applyFill="1" applyBorder="1" applyAlignment="1">
      <alignment horizontal="left"/>
    </xf>
    <xf numFmtId="0" fontId="22" fillId="32" borderId="21" xfId="0" applyFont="1" applyFill="1" applyBorder="1" applyAlignment="1">
      <alignment horizontal="left"/>
    </xf>
    <xf numFmtId="0" fontId="22" fillId="16" borderId="21" xfId="0" applyFont="1" applyFill="1" applyBorder="1" applyAlignment="1">
      <alignment horizontal="left"/>
    </xf>
    <xf numFmtId="0" fontId="22" fillId="29" borderId="21" xfId="0" applyFont="1" applyFill="1" applyBorder="1" applyAlignment="1">
      <alignment horizontal="left"/>
    </xf>
    <xf numFmtId="41" fontId="23" fillId="0" borderId="21" xfId="0" applyNumberFormat="1" applyFont="1" applyBorder="1"/>
    <xf numFmtId="9" fontId="23" fillId="0" borderId="21" xfId="2" applyFont="1" applyBorder="1"/>
    <xf numFmtId="41" fontId="24" fillId="0" borderId="0" xfId="0" applyNumberFormat="1" applyFont="1"/>
    <xf numFmtId="41" fontId="0" fillId="0" borderId="21" xfId="15" applyFont="1" applyBorder="1"/>
    <xf numFmtId="41" fontId="23" fillId="0" borderId="21" xfId="15" applyFont="1" applyBorder="1"/>
    <xf numFmtId="0" fontId="9" fillId="31" borderId="0" xfId="0" applyFont="1" applyFill="1" applyAlignment="1">
      <alignment horizontal="left"/>
    </xf>
    <xf numFmtId="0" fontId="22" fillId="32" borderId="24" xfId="0" applyFont="1" applyFill="1" applyBorder="1" applyAlignment="1">
      <alignment horizontal="left"/>
    </xf>
    <xf numFmtId="41" fontId="23" fillId="0" borderId="24" xfId="0" applyNumberFormat="1" applyFont="1" applyBorder="1"/>
    <xf numFmtId="9" fontId="23" fillId="0" borderId="24" xfId="2" applyFont="1" applyBorder="1"/>
    <xf numFmtId="0" fontId="9" fillId="31" borderId="23" xfId="0" applyFont="1" applyFill="1" applyBorder="1" applyAlignment="1">
      <alignment horizontal="left"/>
    </xf>
    <xf numFmtId="41" fontId="0" fillId="0" borderId="23" xfId="0" applyNumberFormat="1" applyBorder="1"/>
    <xf numFmtId="9" fontId="0" fillId="0" borderId="23" xfId="2" applyFont="1" applyBorder="1"/>
    <xf numFmtId="173" fontId="1" fillId="0" borderId="22" xfId="0" applyNumberFormat="1" applyFont="1" applyBorder="1"/>
    <xf numFmtId="173" fontId="1" fillId="0" borderId="22" xfId="15" applyNumberFormat="1" applyFont="1" applyBorder="1"/>
    <xf numFmtId="0" fontId="8" fillId="30" borderId="0" xfId="0" applyFont="1" applyFill="1" applyAlignment="1">
      <alignment horizontal="center"/>
    </xf>
    <xf numFmtId="41" fontId="24" fillId="0" borderId="21" xfId="0" applyNumberFormat="1" applyFont="1" applyBorder="1"/>
    <xf numFmtId="0" fontId="25" fillId="30" borderId="20" xfId="0" applyFont="1" applyFill="1" applyBorder="1" applyAlignment="1">
      <alignment horizontal="center"/>
    </xf>
    <xf numFmtId="9" fontId="0" fillId="0" borderId="24" xfId="2" applyFont="1" applyBorder="1"/>
    <xf numFmtId="9" fontId="0" fillId="0" borderId="25" xfId="2" applyFont="1" applyBorder="1"/>
    <xf numFmtId="0" fontId="26" fillId="32" borderId="0" xfId="0" applyFont="1" applyFill="1" applyAlignment="1">
      <alignment horizontal="left"/>
    </xf>
    <xf numFmtId="42" fontId="0" fillId="0" borderId="0" xfId="0" applyNumberFormat="1"/>
    <xf numFmtId="1" fontId="16" fillId="3" borderId="0" xfId="0" applyNumberFormat="1" applyFont="1" applyFill="1" applyAlignment="1">
      <alignment horizontal="center"/>
    </xf>
    <xf numFmtId="1" fontId="19" fillId="3" borderId="0" xfId="0" applyNumberFormat="1" applyFont="1" applyFill="1" applyAlignment="1">
      <alignment horizontal="center"/>
    </xf>
    <xf numFmtId="0" fontId="4" fillId="34" borderId="2" xfId="0" applyFont="1" applyFill="1" applyBorder="1" applyAlignment="1">
      <alignment horizontal="center" vertical="center" wrapText="1"/>
    </xf>
    <xf numFmtId="171" fontId="28" fillId="0" borderId="0" xfId="11" applyNumberFormat="1" applyFont="1" applyBorder="1"/>
    <xf numFmtId="0" fontId="4" fillId="0" borderId="5" xfId="0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left" indent="2"/>
    </xf>
    <xf numFmtId="14" fontId="0" fillId="25" borderId="18" xfId="0" applyNumberFormat="1" applyFill="1" applyBorder="1"/>
    <xf numFmtId="14" fontId="0" fillId="0" borderId="18" xfId="0" applyNumberFormat="1" applyBorder="1"/>
    <xf numFmtId="166" fontId="0" fillId="12" borderId="18" xfId="0" applyNumberFormat="1" applyFill="1" applyBorder="1"/>
    <xf numFmtId="166" fontId="0" fillId="0" borderId="0" xfId="3" applyNumberFormat="1" applyFont="1"/>
    <xf numFmtId="166" fontId="0" fillId="28" borderId="18" xfId="0" applyNumberFormat="1" applyFill="1" applyBorder="1"/>
    <xf numFmtId="166" fontId="4" fillId="27" borderId="18" xfId="3" applyNumberFormat="1" applyFont="1" applyFill="1" applyBorder="1" applyAlignment="1">
      <alignment vertical="center"/>
    </xf>
    <xf numFmtId="0" fontId="29" fillId="0" borderId="0" xfId="0" applyFont="1" applyAlignment="1">
      <alignment horizontal="center" vertical="center" wrapText="1"/>
    </xf>
    <xf numFmtId="0" fontId="29" fillId="36" borderId="0" xfId="0" applyFont="1" applyFill="1" applyAlignment="1">
      <alignment horizontal="center" vertical="center" wrapText="1"/>
    </xf>
    <xf numFmtId="166" fontId="0" fillId="13" borderId="18" xfId="3" applyNumberFormat="1" applyFont="1" applyFill="1" applyBorder="1"/>
    <xf numFmtId="0" fontId="4" fillId="27" borderId="1" xfId="0" applyFont="1" applyFill="1" applyBorder="1"/>
    <xf numFmtId="0" fontId="4" fillId="33" borderId="1" xfId="0" applyFont="1" applyFill="1" applyBorder="1" applyAlignment="1">
      <alignment horizontal="center"/>
    </xf>
    <xf numFmtId="166" fontId="4" fillId="22" borderId="1" xfId="3" applyNumberFormat="1" applyFont="1" applyFill="1" applyBorder="1"/>
    <xf numFmtId="166" fontId="4" fillId="19" borderId="1" xfId="3" applyNumberFormat="1" applyFont="1" applyFill="1" applyBorder="1" applyAlignment="1">
      <alignment horizontal="center" vertical="center" wrapText="1"/>
    </xf>
    <xf numFmtId="166" fontId="4" fillId="35" borderId="1" xfId="3" applyNumberFormat="1" applyFont="1" applyFill="1" applyBorder="1"/>
    <xf numFmtId="166" fontId="4" fillId="27" borderId="1" xfId="3" applyNumberFormat="1" applyFont="1" applyFill="1" applyBorder="1"/>
    <xf numFmtId="166" fontId="18" fillId="2" borderId="1" xfId="3" applyNumberFormat="1" applyFont="1" applyFill="1" applyBorder="1" applyAlignment="1">
      <alignment horizontal="center" vertical="center" wrapText="1"/>
    </xf>
    <xf numFmtId="166" fontId="4" fillId="18" borderId="1" xfId="3" applyNumberFormat="1" applyFont="1" applyFill="1" applyBorder="1" applyAlignment="1">
      <alignment horizontal="center" vertical="center" wrapText="1"/>
    </xf>
    <xf numFmtId="166" fontId="18" fillId="3" borderId="1" xfId="3" applyNumberFormat="1" applyFont="1" applyFill="1" applyBorder="1" applyAlignment="1">
      <alignment horizontal="center" vertical="center" wrapText="1"/>
    </xf>
    <xf numFmtId="166" fontId="18" fillId="12" borderId="1" xfId="3" applyNumberFormat="1" applyFont="1" applyFill="1" applyBorder="1" applyAlignment="1">
      <alignment horizontal="center" vertical="center" wrapText="1"/>
    </xf>
    <xf numFmtId="166" fontId="0" fillId="0" borderId="18" xfId="3" applyNumberFormat="1" applyFont="1" applyBorder="1"/>
    <xf numFmtId="166" fontId="0" fillId="25" borderId="18" xfId="3" applyNumberFormat="1" applyFont="1" applyFill="1" applyBorder="1"/>
    <xf numFmtId="14" fontId="0" fillId="0" borderId="0" xfId="0" applyNumberFormat="1" applyAlignment="1">
      <alignment horizontal="left"/>
    </xf>
    <xf numFmtId="167" fontId="4" fillId="27" borderId="18" xfId="1" applyNumberFormat="1" applyFont="1" applyFill="1" applyBorder="1"/>
    <xf numFmtId="166" fontId="0" fillId="25" borderId="0" xfId="3" applyNumberFormat="1" applyFont="1" applyFill="1" applyBorder="1"/>
    <xf numFmtId="167" fontId="0" fillId="3" borderId="0" xfId="1" applyNumberFormat="1" applyFont="1" applyFill="1"/>
    <xf numFmtId="166" fontId="1" fillId="37" borderId="0" xfId="0" applyNumberFormat="1" applyFont="1" applyFill="1"/>
    <xf numFmtId="14" fontId="0" fillId="12" borderId="0" xfId="0" applyNumberFormat="1" applyFill="1"/>
    <xf numFmtId="14" fontId="0" fillId="38" borderId="18" xfId="0" applyNumberFormat="1" applyFill="1" applyBorder="1"/>
    <xf numFmtId="0" fontId="0" fillId="12" borderId="0" xfId="0" applyFill="1" applyAlignment="1">
      <alignment horizontal="center"/>
    </xf>
    <xf numFmtId="166" fontId="0" fillId="12" borderId="18" xfId="3" applyNumberFormat="1" applyFont="1" applyFill="1" applyBorder="1"/>
    <xf numFmtId="166" fontId="0" fillId="12" borderId="0" xfId="3" applyNumberFormat="1" applyFont="1" applyFill="1"/>
    <xf numFmtId="166" fontId="0" fillId="3" borderId="18" xfId="3" applyNumberFormat="1" applyFont="1" applyFill="1" applyBorder="1"/>
    <xf numFmtId="173" fontId="0" fillId="12" borderId="18" xfId="3" applyNumberFormat="1" applyFont="1" applyFill="1" applyBorder="1"/>
    <xf numFmtId="173" fontId="0" fillId="0" borderId="18" xfId="3" applyNumberFormat="1" applyFont="1" applyBorder="1"/>
    <xf numFmtId="0" fontId="0" fillId="29" borderId="0" xfId="0" applyFill="1" applyAlignment="1">
      <alignment horizontal="left"/>
    </xf>
    <xf numFmtId="14" fontId="0" fillId="3" borderId="0" xfId="0" applyNumberFormat="1" applyFill="1"/>
    <xf numFmtId="166" fontId="0" fillId="3" borderId="0" xfId="0" applyNumberFormat="1" applyFill="1"/>
    <xf numFmtId="171" fontId="10" fillId="0" borderId="0" xfId="0" applyNumberFormat="1" applyFont="1"/>
    <xf numFmtId="0" fontId="27" fillId="0" borderId="0" xfId="0" applyFont="1"/>
    <xf numFmtId="19" fontId="0" fillId="0" borderId="0" xfId="0" applyNumberFormat="1" applyAlignment="1">
      <alignment horizontal="center"/>
    </xf>
    <xf numFmtId="9" fontId="8" fillId="30" borderId="19" xfId="2" applyFont="1" applyFill="1" applyBorder="1" applyAlignment="1">
      <alignment horizontal="center"/>
    </xf>
    <xf numFmtId="166" fontId="0" fillId="39" borderId="18" xfId="3" applyNumberFormat="1" applyFont="1" applyFill="1" applyBorder="1"/>
    <xf numFmtId="0" fontId="1" fillId="0" borderId="0" xfId="3" applyNumberFormat="1" applyFont="1" applyAlignment="1">
      <alignment horizontal="center"/>
    </xf>
    <xf numFmtId="0" fontId="0" fillId="0" borderId="26" xfId="0" applyBorder="1"/>
    <xf numFmtId="0" fontId="23" fillId="0" borderId="21" xfId="2" applyNumberFormat="1" applyFont="1" applyBorder="1"/>
    <xf numFmtId="0" fontId="4" fillId="33" borderId="1" xfId="0" applyFont="1" applyFill="1" applyBorder="1" applyAlignment="1">
      <alignment horizontal="center" wrapText="1"/>
    </xf>
    <xf numFmtId="0" fontId="0" fillId="0" borderId="0" xfId="15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3" borderId="0" xfId="0" applyFont="1" applyFill="1" applyAlignment="1">
      <alignment horizontal="center" vertical="center" wrapText="1"/>
    </xf>
    <xf numFmtId="0" fontId="0" fillId="24" borderId="0" xfId="0" applyFill="1" applyAlignment="1">
      <alignment horizontal="center" vertical="center"/>
    </xf>
    <xf numFmtId="166" fontId="1" fillId="8" borderId="0" xfId="0" applyNumberFormat="1" applyFont="1" applyFill="1" applyAlignment="1">
      <alignment horizontal="center" vertical="center"/>
    </xf>
    <xf numFmtId="166" fontId="1" fillId="6" borderId="0" xfId="0" applyNumberFormat="1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6" fontId="0" fillId="7" borderId="14" xfId="0" applyNumberFormat="1" applyFill="1" applyBorder="1" applyAlignment="1">
      <alignment horizontal="center" vertical="center"/>
    </xf>
    <xf numFmtId="166" fontId="0" fillId="7" borderId="4" xfId="0" applyNumberFormat="1" applyFill="1" applyBorder="1" applyAlignment="1">
      <alignment horizontal="center" vertical="center"/>
    </xf>
    <xf numFmtId="166" fontId="0" fillId="7" borderId="3" xfId="0" applyNumberFormat="1" applyFill="1" applyBorder="1" applyAlignment="1">
      <alignment horizontal="center" vertical="center"/>
    </xf>
    <xf numFmtId="1" fontId="9" fillId="2" borderId="0" xfId="0" applyNumberFormat="1" applyFont="1" applyFill="1" applyAlignment="1">
      <alignment horizontal="center"/>
    </xf>
  </cellXfs>
  <cellStyles count="16">
    <cellStyle name="Millares" xfId="1" builtinId="3"/>
    <cellStyle name="Millares [0]" xfId="15" builtinId="6"/>
    <cellStyle name="Millares 2" xfId="6" xr:uid="{00000000-0005-0000-0000-000004000000}"/>
    <cellStyle name="Millares 3" xfId="8" xr:uid="{00000000-0005-0000-0000-000005000000}"/>
    <cellStyle name="Millares 3 2" xfId="14" xr:uid="{00000000-0005-0000-0000-000006000000}"/>
    <cellStyle name="Millares 4" xfId="12" xr:uid="{00000000-0005-0000-0000-000007000000}"/>
    <cellStyle name="Millares 4 2" xfId="13" xr:uid="{00000000-0005-0000-0000-000008000000}"/>
    <cellStyle name="Moneda" xfId="3" builtinId="4"/>
    <cellStyle name="Moneda 2" xfId="4" xr:uid="{00000000-0005-0000-0000-00000A000000}"/>
    <cellStyle name="Moneda 3" xfId="11" xr:uid="{00000000-0005-0000-0000-00000B000000}"/>
    <cellStyle name="Normal" xfId="0" builtinId="0"/>
    <cellStyle name="Normal 2" xfId="5" xr:uid="{00000000-0005-0000-0000-00000E000000}"/>
    <cellStyle name="Normal 3" xfId="9" xr:uid="{00000000-0005-0000-0000-00000F000000}"/>
    <cellStyle name="Normal 5" xfId="7" xr:uid="{00000000-0005-0000-0000-000010000000}"/>
    <cellStyle name="Porcentaje" xfId="2" builtinId="5"/>
    <cellStyle name="Porcentaje 2" xfId="10" xr:uid="{00000000-0005-0000-0000-000012000000}"/>
  </cellStyles>
  <dxfs count="248">
    <dxf>
      <font>
        <color rgb="FF9C0006"/>
      </font>
      <fill>
        <patternFill>
          <bgColor rgb="FFFFC7CE"/>
        </patternFill>
      </fill>
    </dxf>
    <dxf>
      <font>
        <b/>
        <i val="0"/>
        <color theme="5" tint="-0.499984740745262"/>
      </font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8" tint="0.59996337778862885"/>
        </patternFill>
      </fill>
    </dxf>
    <dxf>
      <fill>
        <patternFill>
          <bgColor rgb="FFCCCCFF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CCCCFF"/>
        </patternFill>
      </fill>
    </dxf>
    <dxf>
      <fill>
        <patternFill>
          <bgColor theme="8" tint="0.59996337778862885"/>
        </patternFill>
      </fill>
    </dxf>
    <dxf>
      <fill>
        <patternFill>
          <bgColor rgb="FFCCCCFF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CC"/>
        </patternFill>
      </fill>
    </dxf>
    <dxf>
      <font>
        <b val="0"/>
        <strike val="0"/>
        <outline val="0"/>
        <shadow val="0"/>
        <u val="none"/>
        <vertAlign val="baseline"/>
        <sz val="9"/>
      </font>
      <numFmt numFmtId="166" formatCode="_-[$$-240A]\ * #,##0_-;\-[$$-240A]\ * #,##0_-;_-[$$-240A]\ * &quot;-&quot;??_-;_-@_-"/>
      <fill>
        <patternFill patternType="solid">
          <fgColor indexed="64"/>
          <bgColor rgb="FFFFFFA3"/>
        </patternFill>
      </fill>
    </dxf>
    <dxf>
      <font>
        <strike val="0"/>
        <outline val="0"/>
        <shadow val="0"/>
        <u val="none"/>
        <vertAlign val="baseline"/>
        <sz val="9"/>
      </font>
      <numFmt numFmtId="173" formatCode="#,##0_ ;[Red]\-#,##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66" formatCode="_-[$$-240A]\ * #,##0_-;\-[$$-240A]\ * #,##0_-;_-[$$-240A]\ * &quot;-&quot;??_-;_-@_-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numFmt numFmtId="1" formatCode="0"/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66" formatCode="_-[$$-240A]\ * #,##0_-;\-[$$-240A]\ * #,##0_-;_-[$$-240A]\ * &quot;-&quot;??_-;_-@_-"/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166" formatCode="_-[$$-240A]\ * #,##0_-;\-[$$-240A]\ * #,##0_-;_-[$$-240A]\ * &quot;-&quot;??_-;_-@_-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w Cen MT"/>
        <scheme val="minor"/>
      </font>
      <numFmt numFmtId="166" formatCode="_-[$$-240A]\ * #,##0_-;\-[$$-240A]\ * #,##0_-;_-[$$-240A]\ * &quot;-&quot;??_-;_-@_-"/>
      <fill>
        <patternFill patternType="solid">
          <fgColor indexed="64"/>
          <bgColor theme="6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66" formatCode="_-[$$-240A]\ * #,##0_-;\-[$$-240A]\ * #,##0_-;_-[$$-240A]\ * &quot;-&quot;??_-;_-@_-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166" formatCode="_-[$$-240A]\ * #,##0_-;\-[$$-240A]\ * #,##0_-;_-[$$-240A]\ * &quot;-&quot;??_-;_-@_-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66" formatCode="_-[$$-240A]\ * #,##0_-;\-[$$-240A]\ * #,##0_-;_-[$$-240A]\ * &quot;-&quot;??_-;_-@_-"/>
      <fill>
        <patternFill patternType="solid">
          <fgColor indexed="64"/>
          <bgColor rgb="FFFFA3A5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</dxf>
    <dxf>
      <numFmt numFmtId="174" formatCode="dd/mm/yyyy"/>
    </dxf>
    <dxf>
      <font>
        <strike val="0"/>
        <outline val="0"/>
        <shadow val="0"/>
        <u val="none"/>
        <vertAlign val="baseline"/>
        <sz val="9"/>
        <color theme="1"/>
        <name val="Tw Cen MT"/>
        <scheme val="minor"/>
      </font>
      <numFmt numFmtId="174" formatCode="dd/mm/yyyy"/>
    </dxf>
    <dxf>
      <font>
        <strike val="0"/>
        <outline val="0"/>
        <shadow val="0"/>
        <u val="none"/>
        <vertAlign val="baseline"/>
        <sz val="9"/>
        <color theme="1"/>
        <name val="Tw Cen MT"/>
        <scheme val="minor"/>
      </font>
      <numFmt numFmtId="174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family val="2"/>
        <scheme val="none"/>
      </font>
      <numFmt numFmtId="171" formatCode="_-&quot;$&quot;\ * #,##0_-;\-&quot;$&quot;\ * #,##0_-;_-&quot;$&quot;\ * &quot;-&quot;??_-;_-@_-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Gill Sans MT"/>
        <family val="2"/>
        <scheme val="none"/>
      </font>
      <numFmt numFmtId="171" formatCode="_-&quot;$&quot;\ * #,##0_-;\-&quot;$&quot;\ * #,##0_-;_-&quot;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1" formatCode="_-&quot;$&quot;\ * #,##0_-;\-&quot;$&quot;\ * #,##0_-;_-&quot;$&quot;\ 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numFmt numFmtId="171" formatCode="_-&quot;$&quot;\ * #,##0_-;\-&quot;$&quot;\ * #,##0_-;_-&quot;$&quot;\ * &quot;-&quot;??_-;_-@_-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Tw Cen MT"/>
        <scheme val="minor"/>
      </font>
      <numFmt numFmtId="171" formatCode="_-&quot;$&quot;\ * #,##0_-;\-&quot;$&quot;\ * #,##0_-;_-&quot;$&quot;\ * &quot;-&quot;??_-;_-@_-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Gill Sans MT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font>
        <b val="0"/>
      </font>
    </dxf>
    <dxf>
      <border>
        <top/>
        <bottom/>
      </border>
    </dxf>
    <dxf>
      <border>
        <top style="thin">
          <color indexed="64"/>
        </top>
        <bottom style="medium">
          <color indexed="64"/>
        </bottom>
      </border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numFmt numFmtId="166" formatCode="_-[$$-240A]\ * #,##0_-;\-[$$-240A]\ * #,##0_-;_-[$$-240A]\ * &quot;-&quot;??_-;_-@_-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outline="0">
        <top style="thin">
          <color rgb="FF9FC8C6"/>
        </top>
      </border>
    </dxf>
    <dxf>
      <border outline="0">
        <left style="thin">
          <color rgb="FF9FC8C6"/>
        </left>
        <right style="thin">
          <color rgb="FF9FC8C6"/>
        </right>
        <top style="thin">
          <color rgb="FF9FC8C6"/>
        </top>
        <bottom style="thin">
          <color rgb="FF9FC8C6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9FC8C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7" formatCode="_-* #,##0\ _€_-;\-* #,##0\ _€_-;_-* &quot;-&quot;??\ _€_-;_-@_-"/>
    </dxf>
    <dxf>
      <numFmt numFmtId="167" formatCode="_-* #,##0\ _€_-;\-* #,##0\ _€_-;_-* &quot;-&quot;??\ _€_-;_-@_-"/>
    </dxf>
    <dxf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numFmt numFmtId="166" formatCode="_-[$$-240A]\ * #,##0_-;\-[$$-240A]\ * #,##0_-;_-[$$-240A]\ * &quot;-&quot;??_-;_-@_-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outline="0">
        <top style="thin">
          <color rgb="FF9FC8C6"/>
        </top>
      </border>
    </dxf>
    <dxf>
      <border outline="0">
        <left style="thin">
          <color rgb="FF9FC8C6"/>
        </left>
        <right style="thin">
          <color rgb="FF9FC8C6"/>
        </right>
        <top style="thin">
          <color rgb="FF9FC8C6"/>
        </top>
        <bottom style="thin">
          <color rgb="FF9FC8C6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9FC8C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numFmt numFmtId="166" formatCode="_-[$$-240A]\ * #,##0_-;\-[$$-240A]\ * #,##0_-;_-[$$-240A]\ * &quot;-&quot;??_-;_-@_-"/>
    </dxf>
    <dxf>
      <numFmt numFmtId="167" formatCode="_-* #,##0\ _€_-;\-* #,##0\ _€_-;_-* &quot;-&quot;??\ _€_-;_-@_-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6" formatCode="_-[$$-240A]\ * #,##0_-;\-[$$-240A]\ * #,##0_-;_-[$$-240A]\ * &quot;-&quot;??_-;_-@_-"/>
    </dxf>
    <dxf>
      <fill>
        <patternFill>
          <fgColor indexed="64"/>
          <bgColor theme="8" tint="0.79998168889431442"/>
        </patternFill>
      </fill>
    </dxf>
    <dxf>
      <fill>
        <patternFill>
          <bgColor rgb="FFFFFFA3"/>
        </patternFill>
      </fill>
    </dxf>
    <dxf>
      <fill>
        <patternFill>
          <bgColor rgb="FFFFFFA3"/>
        </patternFill>
      </fill>
    </dxf>
    <dxf>
      <fill>
        <patternFill>
          <bgColor rgb="FFFFFFA3"/>
        </patternFill>
      </fill>
    </dxf>
    <dxf>
      <font>
        <b/>
      </font>
    </dxf>
    <dxf>
      <font>
        <color rgb="FFC0000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fgColor rgb="FFFFCCFF"/>
        </patternFill>
      </fill>
    </dxf>
    <dxf>
      <fill>
        <patternFill>
          <fgColor indexed="64"/>
          <bgColor rgb="FFFFD44B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u/>
      </font>
      <fill>
        <patternFill>
          <fgColor rgb="FFFFD44B"/>
        </patternFill>
      </fill>
    </dxf>
    <dxf>
      <font>
        <color auto="1"/>
      </font>
      <fill>
        <patternFill patternType="solid">
          <fgColor indexed="64"/>
          <bgColor rgb="FFA3E7FF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4" tint="0.59999389629810485"/>
        </patternFill>
      </fill>
    </dxf>
    <dxf>
      <font>
        <color theme="0"/>
      </font>
      <fill>
        <patternFill patternType="solid">
          <fgColor theme="5" tint="-0.249977111117893"/>
          <bgColor theme="5" tint="-0.249977111117893"/>
        </patternFill>
      </fill>
    </dxf>
    <dxf>
      <font>
        <color rgb="FF0070C0"/>
      </font>
    </dxf>
    <dxf>
      <font>
        <color rgb="FF0070C0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color auto="1"/>
      </font>
      <fill>
        <patternFill patternType="solid">
          <fgColor indexed="64"/>
          <bgColor rgb="FFA3E7FF"/>
        </patternFill>
      </fill>
    </dxf>
    <dxf>
      <font>
        <color auto="1"/>
      </font>
      <fill>
        <patternFill patternType="solid">
          <fgColor indexed="64"/>
          <bgColor rgb="FFA3E7FF"/>
        </patternFill>
      </fill>
    </dxf>
    <dxf>
      <fill>
        <patternFill patternType="solid">
          <fgColor indexed="64"/>
          <bgColor rgb="FFCCCCFF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alignment horizontal="center"/>
    </dxf>
    <dxf>
      <alignment horizontal="center"/>
    </dxf>
    <dxf>
      <alignment horizontal="center"/>
    </dxf>
    <dxf>
      <numFmt numFmtId="33" formatCode="_-* #,##0_-;\-* #,##0_-;_-* &quot;-&quot;_-;_-@_-"/>
    </dxf>
    <dxf>
      <fill>
        <patternFill>
          <fgColor indexed="64"/>
          <bgColor rgb="FFFFD44B"/>
        </patternFill>
      </fill>
    </dxf>
    <dxf>
      <font>
        <u/>
      </font>
      <fill>
        <patternFill>
          <fgColor rgb="FFFFD44B"/>
        </patternFill>
      </fill>
    </dxf>
    <dxf>
      <font>
        <color auto="1"/>
      </font>
      <fill>
        <patternFill patternType="solid">
          <fgColor indexed="64"/>
          <bgColor rgb="FFA3E7FF"/>
        </patternFill>
      </fill>
    </dxf>
    <dxf>
      <font>
        <color theme="0"/>
      </font>
      <fill>
        <patternFill patternType="solid">
          <fgColor theme="5" tint="-0.249977111117893"/>
          <bgColor theme="5" tint="-0.249977111117893"/>
        </patternFill>
      </fill>
    </dxf>
    <dxf>
      <font>
        <color rgb="FF0070C0"/>
      </font>
    </dxf>
    <dxf>
      <font>
        <u val="singleAccounting"/>
      </font>
    </dxf>
    <dxf>
      <font>
        <color auto="1"/>
      </font>
      <fill>
        <patternFill patternType="solid">
          <fgColor indexed="64"/>
          <bgColor rgb="FFA3E7FF"/>
        </patternFill>
      </fill>
    </dxf>
    <dxf>
      <font>
        <color auto="1"/>
      </font>
      <fill>
        <patternFill patternType="solid">
          <fgColor indexed="64"/>
          <bgColor rgb="FFA3E7FF"/>
        </patternFill>
      </fill>
    </dxf>
    <dxf>
      <fill>
        <patternFill patternType="solid">
          <fgColor indexed="64"/>
          <bgColor rgb="FFCCCCFF"/>
        </patternFill>
      </fill>
    </dxf>
    <dxf>
      <alignment horizontal="center"/>
    </dxf>
    <dxf>
      <alignment horizontal="center"/>
    </dxf>
    <dxf>
      <numFmt numFmtId="33" formatCode="_-* #,##0_-;\-* #,##0_-;_-* &quot;-&quot;_-;_-@_-"/>
    </dxf>
    <dxf>
      <font>
        <strike val="0"/>
        <outline val="0"/>
        <shadow val="0"/>
        <u val="none"/>
        <vertAlign val="baseline"/>
        <sz val="9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numFmt numFmtId="1" formatCode="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</font>
      <numFmt numFmtId="166" formatCode="_-[$$-240A]\ * #,##0_-;\-[$$-240A]\ * #,##0_-;_-[$$-240A]\ * &quot;-&quot;??_-;_-@_-"/>
      <fill>
        <patternFill patternType="solid">
          <fgColor indexed="64"/>
          <bgColor rgb="FFFFFFA3"/>
        </patternFill>
      </fill>
    </dxf>
    <dxf>
      <font>
        <strike val="0"/>
        <outline val="0"/>
        <shadow val="0"/>
        <u val="none"/>
        <vertAlign val="baseline"/>
        <sz val="9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numFmt numFmtId="1" formatCode="0"/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" formatCode="0"/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1" formatCode="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w Cen MT"/>
        <scheme val="minor"/>
      </font>
      <numFmt numFmtId="166" formatCode="_-[$$-240A]\ * #,##0_-;\-[$$-240A]\ * #,##0_-;_-[$$-240A]\ * &quot;-&quot;??_-;_-@_-"/>
      <fill>
        <patternFill patternType="solid">
          <fgColor indexed="64"/>
          <bgColor theme="6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66" formatCode="_-[$$-240A]\ * #,##0_-;\-[$$-240A]\ * #,##0_-;_-[$$-240A]\ * &quot;-&quot;??_-;_-@_-"/>
      <fill>
        <patternFill patternType="solid">
          <fgColor indexed="64"/>
          <bgColor rgb="FFFFA3A5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w Cen MT"/>
        <scheme val="minor"/>
      </font>
      <numFmt numFmtId="1" formatCode="0"/>
      <fill>
        <patternFill patternType="solid">
          <fgColor indexed="64"/>
          <bgColor theme="6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w Cen MT"/>
        <scheme val="minor"/>
      </font>
      <numFmt numFmtId="1" formatCode="0"/>
      <fill>
        <patternFill patternType="solid">
          <fgColor indexed="64"/>
          <bgColor theme="6" tint="-0.249977111117893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</dxf>
    <dxf>
      <numFmt numFmtId="17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w Cen MT"/>
        <scheme val="minor"/>
      </font>
      <numFmt numFmtId="19" formatCode="d/mm/yyyy"/>
      <fill>
        <patternFill patternType="solid">
          <fgColor indexed="64"/>
          <bgColor theme="6" tint="-0.249977111117893"/>
        </patternFill>
      </fill>
    </dxf>
    <dxf>
      <numFmt numFmtId="174" formatCode="dd/mm/yyyy"/>
    </dxf>
    <dxf>
      <font>
        <strike val="0"/>
        <outline val="0"/>
        <shadow val="0"/>
        <u val="none"/>
        <vertAlign val="baseline"/>
        <sz val="9"/>
        <color theme="1"/>
        <name val="Tw Cen MT"/>
        <scheme val="minor"/>
      </font>
      <numFmt numFmtId="174" formatCode="dd/mm/yyyy"/>
    </dxf>
    <dxf>
      <font>
        <strike val="0"/>
        <outline val="0"/>
        <shadow val="0"/>
        <u val="none"/>
        <vertAlign val="baseline"/>
        <sz val="9"/>
        <color theme="1"/>
        <name val="Tw Cen MT"/>
        <scheme val="minor"/>
      </font>
      <numFmt numFmtId="174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  <fill>
        <patternFill patternType="solid">
          <fgColor indexed="64"/>
          <bgColor rgb="FFFFFFCC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  <fill>
        <patternFill patternType="solid">
          <fgColor indexed="64"/>
          <bgColor rgb="FFFFFFCC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6" formatCode="_-[$$-240A]\ * #,##0_-;\-[$$-240A]\ * #,##0_-;_-[$$-240A]\ * &quot;-&quot;??_-;_-@_-"/>
      <fill>
        <patternFill patternType="solid">
          <fgColor indexed="64"/>
          <bgColor rgb="FFFFFFCC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66" formatCode="_-[$$-240A]\ * #,##0_-;\-[$$-240A]\ * #,##0_-;_-[$$-240A]\ * &quot;-&quot;??_-;_-@_-"/>
      <fill>
        <patternFill patternType="solid">
          <fgColor indexed="64"/>
          <bgColor rgb="FFFFFFA3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6" formatCode="_-[$$-240A]\ * #,##0_-;\-[$$-240A]\ * #,##0_-;_-[$$-240A]\ * &quot;-&quot;??_-;_-@_-"/>
      <fill>
        <patternFill patternType="solid">
          <fgColor indexed="64"/>
          <bgColor theme="0" tint="-4.9989318521683403E-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6" formatCode="_-[$$-240A]\ * #,##0_-;\-[$$-240A]\ * #,##0_-;_-[$$-240A]\ * &quot;-&quot;??_-;_-@_-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73" formatCode="#,##0_ ;[Red]\-#,##0\ 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numFmt numFmtId="166" formatCode="_-[$$-240A]\ * #,##0_-;\-[$$-240A]\ * #,##0_-;_-[$$-240A]\ * &quot;-&quot;??_-;_-@_-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6" formatCode="_-[$$-240A]\ * #,##0_-;\-[$$-240A]\ * #,##0_-;_-[$$-240A]\ * &quot;-&quot;??_-;_-@_-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9" formatCode="d/mm/yyyy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w Cen MT"/>
        <family val="2"/>
        <scheme val="minor"/>
      </font>
      <numFmt numFmtId="166" formatCode="_-[$$-240A]\ * #,##0_-;\-[$$-240A]\ * #,##0_-;_-[$$-240A]\ * &quot;-&quot;??_-;_-@_-"/>
      <fill>
        <patternFill patternType="solid">
          <fgColor indexed="64"/>
          <bgColor rgb="FFFFFFA3"/>
        </patternFill>
      </fill>
      <alignment horizontal="center" vertical="center" textRotation="0" wrapText="1" indent="0" justifyLastLine="0" shrinkToFit="0" readingOrder="0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  <fill>
        <patternFill patternType="solid">
          <fgColor indexed="64"/>
          <bgColor theme="0" tint="-0.14999847407452621"/>
        </patternFill>
      </fill>
    </dxf>
    <dxf>
      <numFmt numFmtId="166" formatCode="_-[$$-240A]\ * #,##0_-;\-[$$-240A]\ * #,##0_-;_-[$$-240A]\ * &quot;-&quot;??_-;_-@_-"/>
      <fill>
        <patternFill patternType="solid">
          <fgColor indexed="64"/>
          <bgColor theme="0" tint="-0.14999847407452621"/>
        </patternFill>
      </fill>
    </dxf>
    <dxf>
      <numFmt numFmtId="166" formatCode="_-[$$-240A]\ * #,##0_-;\-[$$-240A]\ * #,##0_-;_-[$$-240A]\ * &quot;-&quot;??_-;_-@_-"/>
      <fill>
        <patternFill patternType="solid">
          <fgColor indexed="64"/>
          <bgColor rgb="FFFFFFA3"/>
        </patternFill>
      </fill>
    </dxf>
    <dxf>
      <numFmt numFmtId="166" formatCode="_-[$$-240A]\ * #,##0_-;\-[$$-240A]\ * #,##0_-;_-[$$-240A]\ * &quot;-&quot;??_-;_-@_-"/>
      <fill>
        <patternFill patternType="solid">
          <fgColor indexed="64"/>
          <bgColor theme="0" tint="-0.14999847407452621"/>
        </patternFill>
      </fill>
    </dxf>
    <dxf>
      <numFmt numFmtId="166" formatCode="_-[$$-240A]\ * #,##0_-;\-[$$-240A]\ * #,##0_-;_-[$$-240A]\ * &quot;-&quot;??_-;_-@_-"/>
      <fill>
        <patternFill patternType="solid">
          <fgColor indexed="64"/>
          <bgColor theme="0" tint="-0.249977111117893"/>
        </patternFill>
      </fill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  <fill>
        <patternFill>
          <fgColor indexed="64"/>
          <bgColor rgb="FFFFFF00"/>
        </patternFill>
      </fill>
    </dxf>
    <dxf>
      <numFmt numFmtId="19" formatCode="d/mm/yyyy"/>
    </dxf>
    <dxf>
      <numFmt numFmtId="19" formatCode="d/mm/yyyy"/>
    </dxf>
    <dxf>
      <numFmt numFmtId="19" formatCode="d/mm/yyyy"/>
    </dxf>
    <dxf>
      <numFmt numFmtId="174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174" formatCode="dd/mm/yyyy"/>
    </dxf>
    <dxf>
      <numFmt numFmtId="0" formatCode="General"/>
      <alignment horizontal="center" vertical="bottom" textRotation="0" wrapText="0" indent="0" justifyLastLine="0" shrinkToFit="0" readingOrder="0"/>
    </dxf>
    <dxf>
      <numFmt numFmtId="174" formatCode="dd/mm/yyyy"/>
    </dxf>
    <dxf>
      <numFmt numFmtId="19" formatCode="d/mm/yyyy"/>
    </dxf>
    <dxf>
      <numFmt numFmtId="174" formatCode="dd/mm/yyyy"/>
    </dxf>
    <dxf>
      <numFmt numFmtId="19" formatCode="d/mm/yyyy"/>
    </dxf>
    <dxf>
      <numFmt numFmtId="19" formatCode="d/mm/yyyy"/>
      <alignment horizontal="center" vertical="bottom" textRotation="0" wrapText="0" indent="0" justifyLastLine="0" shrinkToFit="0" readingOrder="0"/>
    </dxf>
    <dxf>
      <numFmt numFmtId="19" formatCode="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colors>
    <mruColors>
      <color rgb="FFFFFFCC"/>
      <color rgb="FFCCCCFF"/>
      <color rgb="FFFFFFA3"/>
      <color rgb="FFFFCCFF"/>
      <color rgb="FFFFD44B"/>
      <color rgb="FFA3E7FF"/>
      <color rgb="FF4FD1FF"/>
      <color rgb="FFFFD03B"/>
      <color rgb="FF99FFCC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 System.xlsx]Ingresos!Ventas</c:name>
    <c:fmtId val="5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0" baseline="0">
                <a:effectLst/>
              </a:rPr>
              <a:t>Ventas  2020</a:t>
            </a:r>
            <a:endParaRPr lang="es-CO">
              <a:effectLst/>
            </a:endParaRPr>
          </a:p>
        </c:rich>
      </c:tx>
      <c:layout>
        <c:manualLayout>
          <c:xMode val="edge"/>
          <c:yMode val="edge"/>
          <c:x val="0.41980542432195977"/>
          <c:y val="4.88845144356955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66BD3"/>
          </a:solidFill>
          <a:ln>
            <a:noFill/>
          </a:ln>
          <a:effectLst/>
        </c:spPr>
      </c:pivotFmt>
      <c:pivotFmt>
        <c:idx val="2"/>
        <c:spPr>
          <a:solidFill>
            <a:srgbClr val="A66BD3"/>
          </a:solidFill>
          <a:ln>
            <a:noFill/>
          </a:ln>
          <a:effectLst/>
        </c:spPr>
      </c:pivotFmt>
      <c:pivotFmt>
        <c:idx val="3"/>
        <c:spPr>
          <a:solidFill>
            <a:srgbClr val="A66BD3"/>
          </a:solidFill>
          <a:ln>
            <a:noFill/>
          </a:ln>
          <a:effectLst/>
        </c:spPr>
      </c:pivotFmt>
      <c:pivotFmt>
        <c:idx val="4"/>
        <c:spPr>
          <a:solidFill>
            <a:srgbClr val="A66BD3"/>
          </a:solidFill>
          <a:ln>
            <a:noFill/>
          </a:ln>
          <a:effectLst/>
        </c:spPr>
      </c:pivotFmt>
      <c:pivotFmt>
        <c:idx val="5"/>
        <c:spPr>
          <a:solidFill>
            <a:srgbClr val="A66BD3"/>
          </a:solidFill>
          <a:ln>
            <a:noFill/>
          </a:ln>
          <a:effectLst/>
        </c:spPr>
      </c:pivotFmt>
      <c:pivotFmt>
        <c:idx val="6"/>
        <c:spPr>
          <a:solidFill>
            <a:srgbClr val="A66BD3"/>
          </a:solidFill>
          <a:ln>
            <a:noFill/>
          </a:ln>
          <a:effectLst/>
        </c:spPr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rgbClr val="A66BD3"/>
          </a:solidFill>
          <a:ln>
            <a:noFill/>
          </a:ln>
          <a:effectLst/>
        </c:spPr>
      </c:pivotFmt>
      <c:pivotFmt>
        <c:idx val="14"/>
        <c:spPr>
          <a:solidFill>
            <a:srgbClr val="FFD653"/>
          </a:solidFill>
          <a:ln>
            <a:noFill/>
          </a:ln>
          <a:effectLst/>
        </c:spPr>
      </c:pivotFmt>
      <c:pivotFmt>
        <c:idx val="15"/>
        <c:spPr>
          <a:solidFill>
            <a:srgbClr val="FFD653"/>
          </a:solidFill>
          <a:ln>
            <a:noFill/>
          </a:ln>
          <a:effectLst/>
        </c:spPr>
      </c:pivotFmt>
      <c:pivotFmt>
        <c:idx val="16"/>
        <c:spPr>
          <a:solidFill>
            <a:srgbClr val="FFD653"/>
          </a:solidFill>
          <a:ln>
            <a:noFill/>
          </a:ln>
          <a:effectLst/>
        </c:spPr>
      </c:pivotFmt>
      <c:pivotFmt>
        <c:idx val="17"/>
        <c:spPr>
          <a:solidFill>
            <a:srgbClr val="FFD653"/>
          </a:solidFill>
          <a:ln>
            <a:noFill/>
          </a:ln>
          <a:effectLst/>
        </c:spPr>
      </c:pivotFmt>
      <c:pivotFmt>
        <c:idx val="18"/>
        <c:spPr>
          <a:solidFill>
            <a:srgbClr val="FFD653"/>
          </a:solidFill>
          <a:ln>
            <a:noFill/>
          </a:ln>
          <a:effectLst/>
        </c:spPr>
      </c:pivotFmt>
      <c:pivotFmt>
        <c:idx val="19"/>
        <c:spPr>
          <a:solidFill>
            <a:srgbClr val="FFD653"/>
          </a:solidFill>
          <a:ln>
            <a:noFill/>
          </a:ln>
          <a:effectLst/>
        </c:spPr>
      </c:pivotFmt>
      <c:pivotFmt>
        <c:idx val="20"/>
        <c:spPr>
          <a:solidFill>
            <a:srgbClr val="FFD653"/>
          </a:solidFill>
          <a:ln>
            <a:noFill/>
          </a:ln>
          <a:effectLst/>
        </c:spPr>
      </c:pivotFmt>
      <c:pivotFmt>
        <c:idx val="2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rgbClr val="A66BD3"/>
          </a:solidFill>
          <a:ln>
            <a:noFill/>
          </a:ln>
          <a:effectLst/>
        </c:spPr>
      </c:pivotFmt>
      <c:pivotFmt>
        <c:idx val="23"/>
        <c:spPr>
          <a:solidFill>
            <a:srgbClr val="A66BD3"/>
          </a:solidFill>
          <a:ln>
            <a:noFill/>
          </a:ln>
          <a:effectLst/>
        </c:spPr>
      </c:pivotFmt>
      <c:pivotFmt>
        <c:idx val="2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rgbClr val="FFD653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923062117235345"/>
          <c:y val="0.18589858559346747"/>
          <c:w val="0.84632493438320211"/>
          <c:h val="0.412480679498396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Ingresos!$AL$4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Ingresos!$AJ$5:$AK$29</c:f>
              <c:multiLvlStrCache>
                <c:ptCount val="25"/>
                <c:lvl>
                  <c:pt idx="0">
                    <c:v>lun</c:v>
                  </c:pt>
                  <c:pt idx="1">
                    <c:v>mar</c:v>
                  </c:pt>
                  <c:pt idx="2">
                    <c:v>mié</c:v>
                  </c:pt>
                  <c:pt idx="3">
                    <c:v>jue</c:v>
                  </c:pt>
                  <c:pt idx="4">
                    <c:v>vie</c:v>
                  </c:pt>
                  <c:pt idx="5">
                    <c:v>sáb</c:v>
                  </c:pt>
                  <c:pt idx="6">
                    <c:v>mié</c:v>
                  </c:pt>
                  <c:pt idx="7">
                    <c:v>jue</c:v>
                  </c:pt>
                  <c:pt idx="8">
                    <c:v>lun</c:v>
                  </c:pt>
                  <c:pt idx="9">
                    <c:v>mar</c:v>
                  </c:pt>
                  <c:pt idx="10">
                    <c:v>sáb</c:v>
                  </c:pt>
                  <c:pt idx="11">
                    <c:v>dom</c:v>
                  </c:pt>
                  <c:pt idx="12">
                    <c:v>lun</c:v>
                  </c:pt>
                  <c:pt idx="13">
                    <c:v>mar</c:v>
                  </c:pt>
                  <c:pt idx="14">
                    <c:v>mié</c:v>
                  </c:pt>
                  <c:pt idx="15">
                    <c:v>jue</c:v>
                  </c:pt>
                  <c:pt idx="16">
                    <c:v>vie</c:v>
                  </c:pt>
                  <c:pt idx="17">
                    <c:v>sáb</c:v>
                  </c:pt>
                  <c:pt idx="18">
                    <c:v>dom</c:v>
                  </c:pt>
                  <c:pt idx="19">
                    <c:v>lun</c:v>
                  </c:pt>
                  <c:pt idx="20">
                    <c:v>mar</c:v>
                  </c:pt>
                  <c:pt idx="21">
                    <c:v>mié</c:v>
                  </c:pt>
                  <c:pt idx="22">
                    <c:v>jue</c:v>
                  </c:pt>
                  <c:pt idx="23">
                    <c:v>vie</c:v>
                  </c:pt>
                  <c:pt idx="24">
                    <c:v>dom</c:v>
                  </c:pt>
                </c:lvl>
                <c:lvl>
                  <c:pt idx="0">
                    <c:v>23/02/2026</c:v>
                  </c:pt>
                  <c:pt idx="1">
                    <c:v>24/02/2026</c:v>
                  </c:pt>
                  <c:pt idx="2">
                    <c:v>25/02/2026</c:v>
                  </c:pt>
                  <c:pt idx="3">
                    <c:v>26/02/2026</c:v>
                  </c:pt>
                  <c:pt idx="4">
                    <c:v>27/02/2026</c:v>
                  </c:pt>
                  <c:pt idx="5">
                    <c:v>28/02/2026</c:v>
                  </c:pt>
                  <c:pt idx="6">
                    <c:v>4/03/2026</c:v>
                  </c:pt>
                  <c:pt idx="7">
                    <c:v>5/03/2026</c:v>
                  </c:pt>
                  <c:pt idx="8">
                    <c:v>2/03/2026</c:v>
                  </c:pt>
                  <c:pt idx="9">
                    <c:v>3/03/2026</c:v>
                  </c:pt>
                  <c:pt idx="10">
                    <c:v>7/03/2026</c:v>
                  </c:pt>
                  <c:pt idx="11">
                    <c:v>8/03/2026</c:v>
                  </c:pt>
                  <c:pt idx="12">
                    <c:v>9/03/2026</c:v>
                  </c:pt>
                  <c:pt idx="13">
                    <c:v>10/03/2026</c:v>
                  </c:pt>
                  <c:pt idx="14">
                    <c:v>11/03/2026</c:v>
                  </c:pt>
                  <c:pt idx="15">
                    <c:v>12/03/2026</c:v>
                  </c:pt>
                  <c:pt idx="16">
                    <c:v>13/03/2026</c:v>
                  </c:pt>
                  <c:pt idx="17">
                    <c:v>14/03/2026</c:v>
                  </c:pt>
                  <c:pt idx="18">
                    <c:v>15/03/2026</c:v>
                  </c:pt>
                  <c:pt idx="19">
                    <c:v>16/03/2026</c:v>
                  </c:pt>
                  <c:pt idx="20">
                    <c:v>17/03/2026</c:v>
                  </c:pt>
                  <c:pt idx="21">
                    <c:v>18/03/2026</c:v>
                  </c:pt>
                  <c:pt idx="22">
                    <c:v>19/03/2026</c:v>
                  </c:pt>
                  <c:pt idx="23">
                    <c:v>20/03/2026</c:v>
                  </c:pt>
                  <c:pt idx="24">
                    <c:v>22/03/2026</c:v>
                  </c:pt>
                </c:lvl>
              </c:multiLvlStrCache>
            </c:multiLvlStrRef>
          </c:cat>
          <c:val>
            <c:numRef>
              <c:f>Ingresos!$AL$5:$AL$29</c:f>
              <c:numCache>
                <c:formatCode>_-[$$-240A]\ * #,##0_-;\-[$$-240A]\ * #,##0_-;_-[$$-240A]\ * "-"??_-;_-@_-</c:formatCode>
                <c:ptCount val="25"/>
                <c:pt idx="0">
                  <c:v>225000</c:v>
                </c:pt>
                <c:pt idx="1">
                  <c:v>221500</c:v>
                </c:pt>
                <c:pt idx="2">
                  <c:v>390500</c:v>
                </c:pt>
                <c:pt idx="3">
                  <c:v>209000</c:v>
                </c:pt>
                <c:pt idx="4">
                  <c:v>248500</c:v>
                </c:pt>
                <c:pt idx="5">
                  <c:v>504000</c:v>
                </c:pt>
                <c:pt idx="6">
                  <c:v>344000</c:v>
                </c:pt>
                <c:pt idx="7">
                  <c:v>259000</c:v>
                </c:pt>
                <c:pt idx="8">
                  <c:v>60000</c:v>
                </c:pt>
                <c:pt idx="9">
                  <c:v>169000</c:v>
                </c:pt>
                <c:pt idx="10">
                  <c:v>298500</c:v>
                </c:pt>
                <c:pt idx="11">
                  <c:v>219500</c:v>
                </c:pt>
                <c:pt idx="12">
                  <c:v>248500</c:v>
                </c:pt>
                <c:pt idx="13">
                  <c:v>94000</c:v>
                </c:pt>
                <c:pt idx="14">
                  <c:v>473500</c:v>
                </c:pt>
                <c:pt idx="15">
                  <c:v>243000</c:v>
                </c:pt>
                <c:pt idx="16">
                  <c:v>132500</c:v>
                </c:pt>
                <c:pt idx="17">
                  <c:v>392500</c:v>
                </c:pt>
                <c:pt idx="18">
                  <c:v>118000</c:v>
                </c:pt>
                <c:pt idx="19">
                  <c:v>124000</c:v>
                </c:pt>
                <c:pt idx="20">
                  <c:v>314000</c:v>
                </c:pt>
                <c:pt idx="21">
                  <c:v>149000</c:v>
                </c:pt>
                <c:pt idx="22">
                  <c:v>388900</c:v>
                </c:pt>
                <c:pt idx="23">
                  <c:v>172700</c:v>
                </c:pt>
                <c:pt idx="24">
                  <c:v>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2-4D04-A96F-72EEFD502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0586896"/>
        <c:axId val="1820588528"/>
      </c:barChart>
      <c:catAx>
        <c:axId val="182058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588528"/>
        <c:crosses val="autoZero"/>
        <c:auto val="1"/>
        <c:lblAlgn val="ctr"/>
        <c:lblOffset val="100"/>
        <c:noMultiLvlLbl val="0"/>
      </c:catAx>
      <c:valAx>
        <c:axId val="182058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240A]\ * #,##0_-;\-[$$-240A]\ * #,##0_-;_-[$$-240A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586896"/>
        <c:crosses val="autoZero"/>
        <c:crossBetween val="between"/>
        <c:dispUnits>
          <c:custUnit val="1000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 System.xlsx]Ingresos!Rentabilidad</c:name>
    <c:fmtId val="5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0" baseline="0">
                <a:effectLst/>
              </a:rPr>
              <a:t>Rentabilidad  </a:t>
            </a:r>
            <a:endParaRPr lang="es-CO">
              <a:effectLst/>
            </a:endParaRPr>
          </a:p>
          <a:p>
            <a:pPr>
              <a:defRPr/>
            </a:pPr>
            <a:r>
              <a:rPr lang="es-CO" sz="1800" b="1" i="0" baseline="0">
                <a:effectLst/>
              </a:rPr>
              <a:t> 2020</a:t>
            </a:r>
            <a:endParaRPr lang="es-CO">
              <a:effectLst/>
            </a:endParaRPr>
          </a:p>
        </c:rich>
      </c:tx>
      <c:layout>
        <c:manualLayout>
          <c:xMode val="edge"/>
          <c:yMode val="edge"/>
          <c:x val="0.43468696427376141"/>
          <c:y val="2.5682864853761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36766727875265"/>
          <c:y val="0.13635041413090687"/>
          <c:w val="0.85974231421371106"/>
          <c:h val="0.62658426148118196"/>
        </c:manualLayout>
      </c:layout>
      <c:areaChart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820555888"/>
        <c:axId val="1820587440"/>
      </c:areaChart>
      <c:catAx>
        <c:axId val="182055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587440"/>
        <c:crosses val="autoZero"/>
        <c:auto val="1"/>
        <c:lblAlgn val="ctr"/>
        <c:lblOffset val="100"/>
        <c:noMultiLvlLbl val="0"/>
      </c:catAx>
      <c:valAx>
        <c:axId val="182058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240A]\ * #,##0_-;\-[$$-240A]\ * #,##0_-;_-[$$-240A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555888"/>
        <c:crosses val="autoZero"/>
        <c:crossBetween val="between"/>
        <c:dispUnits>
          <c:custUnit val="1000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_rels/data1.xml.rels><?xml version="1.0" encoding="UTF-8" standalone="yes"?>
<Relationships xmlns="http://schemas.openxmlformats.org/package/2006/relationships"><Relationship Id="rId3" Type="http://schemas.openxmlformats.org/officeDocument/2006/relationships/hyperlink" Target="#Ingresos!A1"/><Relationship Id="rId2" Type="http://schemas.openxmlformats.org/officeDocument/2006/relationships/hyperlink" Target="#Cuentas_x_pagar"/><Relationship Id="rId1" Type="http://schemas.openxmlformats.org/officeDocument/2006/relationships/hyperlink" Target="#Activos!A3"/><Relationship Id="rId4" Type="http://schemas.openxmlformats.org/officeDocument/2006/relationships/hyperlink" Target="#Opex!A1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3">
  <dgm:title val=""/>
  <dgm:desc val=""/>
  <dgm:catLst>
    <dgm:cat type="colorful" pri="103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3"/>
      <a:schemeClr val="accent4"/>
    </dgm:fillClrLst>
    <dgm:linClrLst>
      <a:schemeClr val="accent3"/>
      <a:schemeClr val="accent4"/>
    </dgm:linClrLst>
    <dgm:effectClrLst/>
    <dgm:txLinClrLst/>
    <dgm:txFillClrLst/>
    <dgm:txEffectClrLst/>
  </dgm:styleLbl>
  <dgm:styleLbl name="ln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3">
        <a:alpha val="50000"/>
      </a:schemeClr>
      <a:schemeClr val="accent4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3">
        <a:tint val="50000"/>
      </a:schemeClr>
      <a:schemeClr val="accent4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3"/>
      <a:schemeClr val="accent4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3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64B47852-742A-46CD-B1B7-548D32462E75}" type="doc">
      <dgm:prSet loTypeId="urn:microsoft.com/office/officeart/2005/8/layout/radial6" loCatId="cycle" qsTypeId="urn:microsoft.com/office/officeart/2005/8/quickstyle/simple5" qsCatId="simple" csTypeId="urn:microsoft.com/office/officeart/2005/8/colors/colorful3" csCatId="colorful" phldr="1"/>
      <dgm:spPr/>
      <dgm:t>
        <a:bodyPr/>
        <a:lstStyle/>
        <a:p>
          <a:endParaRPr lang="es-CO"/>
        </a:p>
      </dgm:t>
    </dgm:pt>
    <dgm:pt modelId="{81F63DCC-F876-4F38-B52D-11783D37F89B}">
      <dgm:prSet phldrT="[Texto]"/>
      <dgm:spPr/>
      <dgm:t>
        <a:bodyPr/>
        <a:lstStyle/>
        <a:p>
          <a:r>
            <a:rPr lang="es-CO"/>
            <a:t>Activos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6035BF3A-C2CA-4EA8-9FAA-BADEDD2EAED4}" type="sibTrans" cxnId="{42A4B75B-9768-4FC0-BA45-DDECAA618095}">
      <dgm:prSet/>
      <dgm:spPr/>
      <dgm:t>
        <a:bodyPr/>
        <a:lstStyle/>
        <a:p>
          <a:endParaRPr lang="es-CO"/>
        </a:p>
      </dgm:t>
    </dgm:pt>
    <dgm:pt modelId="{D198EFAD-0048-4B20-B3C3-3F23D58C816B}" type="parTrans" cxnId="{42A4B75B-9768-4FC0-BA45-DDECAA618095}">
      <dgm:prSet/>
      <dgm:spPr/>
      <dgm:t>
        <a:bodyPr/>
        <a:lstStyle/>
        <a:p>
          <a:endParaRPr lang="es-CO"/>
        </a:p>
      </dgm:t>
    </dgm:pt>
    <dgm:pt modelId="{67F7EEAB-2580-4068-AF5C-629485D93C71}">
      <dgm:prSet phldrT="[Texto]"/>
      <dgm:spPr/>
      <dgm:t>
        <a:bodyPr/>
        <a:lstStyle/>
        <a:p>
          <a:r>
            <a:rPr lang="es-CO"/>
            <a:t>Cuentas x pagar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D25BFE8D-A868-4653-A189-D9BA8E0A0112}" type="sibTrans" cxnId="{ECEC49F8-D581-4133-AA50-BE4F863DCA95}">
      <dgm:prSet/>
      <dgm:spPr/>
      <dgm:t>
        <a:bodyPr/>
        <a:lstStyle/>
        <a:p>
          <a:endParaRPr lang="es-CO"/>
        </a:p>
      </dgm:t>
    </dgm:pt>
    <dgm:pt modelId="{C561CAB8-224F-4F98-A097-6518D165B2FA}" type="parTrans" cxnId="{ECEC49F8-D581-4133-AA50-BE4F863DCA95}">
      <dgm:prSet/>
      <dgm:spPr/>
      <dgm:t>
        <a:bodyPr/>
        <a:lstStyle/>
        <a:p>
          <a:endParaRPr lang="es-CO"/>
        </a:p>
      </dgm:t>
    </dgm:pt>
    <dgm:pt modelId="{8D7DD220-F386-442E-B845-EF7E1C904A2A}">
      <dgm:prSet phldrT="[Texto]"/>
      <dgm:spPr/>
      <dgm:t>
        <a:bodyPr/>
        <a:lstStyle/>
        <a:p>
          <a:r>
            <a:rPr lang="es-CO"/>
            <a:t>Ingresos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334CC921-6B35-4CF4-B9A8-2E0597CA35AC}" type="sibTrans" cxnId="{D8ED910E-849A-417F-9DFD-CA4E2D793CB2}">
      <dgm:prSet/>
      <dgm:spPr/>
      <dgm:t>
        <a:bodyPr/>
        <a:lstStyle/>
        <a:p>
          <a:endParaRPr lang="es-CO"/>
        </a:p>
      </dgm:t>
    </dgm:pt>
    <dgm:pt modelId="{6037A481-3449-44A4-A4FB-792EC8338FC2}" type="parTrans" cxnId="{D8ED910E-849A-417F-9DFD-CA4E2D793CB2}">
      <dgm:prSet/>
      <dgm:spPr/>
      <dgm:t>
        <a:bodyPr/>
        <a:lstStyle/>
        <a:p>
          <a:endParaRPr lang="es-CO"/>
        </a:p>
      </dgm:t>
    </dgm:pt>
    <dgm:pt modelId="{6E7D1AF1-DCBD-479A-8F21-3212D60D2F78}">
      <dgm:prSet phldrT="[Texto]">
        <dgm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dgm:style>
      </dgm:prSet>
      <dgm:spPr>
        <a:noFill/>
        <a:ln/>
      </dgm:spPr>
      <dgm:t>
        <a:bodyPr/>
        <a:lstStyle/>
        <a:p>
          <a:r>
            <a:rPr lang="es-CO"/>
            <a:t> </a:t>
          </a:r>
        </a:p>
      </dgm:t>
    </dgm:pt>
    <dgm:pt modelId="{3EEC6871-EAA1-4B12-92F5-78BBF2682B80}" type="sibTrans" cxnId="{47406005-90A9-4C79-881A-13F5BE15AF74}">
      <dgm:prSet/>
      <dgm:spPr/>
      <dgm:t>
        <a:bodyPr/>
        <a:lstStyle/>
        <a:p>
          <a:endParaRPr lang="es-CO"/>
        </a:p>
      </dgm:t>
    </dgm:pt>
    <dgm:pt modelId="{B1DF4A96-3EC7-4BBD-89F1-AD7C14A81899}" type="parTrans" cxnId="{47406005-90A9-4C79-881A-13F5BE15AF74}">
      <dgm:prSet/>
      <dgm:spPr/>
      <dgm:t>
        <a:bodyPr/>
        <a:lstStyle/>
        <a:p>
          <a:endParaRPr lang="es-CO"/>
        </a:p>
      </dgm:t>
    </dgm:pt>
    <dgm:pt modelId="{CE51C380-F842-45A4-9BFE-9CFC45519591}">
      <dgm:prSet phldrT="[Texto]"/>
      <dgm:spPr/>
      <dgm:t>
        <a:bodyPr/>
        <a:lstStyle/>
        <a:p>
          <a:r>
            <a:rPr lang="es-CO"/>
            <a:t>OPEX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/>
          </dgm14:cNvPr>
        </a:ext>
      </dgm:extLst>
    </dgm:pt>
    <dgm:pt modelId="{E61CCCE9-E0CC-43AD-A85A-9E61151C2186}" type="parTrans" cxnId="{F3EDA979-EC2E-4E52-B0D5-975D1C5CF72E}">
      <dgm:prSet/>
      <dgm:spPr/>
      <dgm:t>
        <a:bodyPr/>
        <a:lstStyle/>
        <a:p>
          <a:endParaRPr lang="es-CO"/>
        </a:p>
      </dgm:t>
    </dgm:pt>
    <dgm:pt modelId="{D6539722-A427-4279-AAFE-BCE6254C8B6D}" type="sibTrans" cxnId="{F3EDA979-EC2E-4E52-B0D5-975D1C5CF72E}">
      <dgm:prSet/>
      <dgm:spPr/>
      <dgm:t>
        <a:bodyPr/>
        <a:lstStyle/>
        <a:p>
          <a:endParaRPr lang="es-CO"/>
        </a:p>
      </dgm:t>
    </dgm:pt>
    <dgm:pt modelId="{75EE6453-57B8-4606-8819-88881D637227}" type="pres">
      <dgm:prSet presAssocID="{64B47852-742A-46CD-B1B7-548D32462E75}" presName="Name0" presStyleCnt="0">
        <dgm:presLayoutVars>
          <dgm:chMax val="1"/>
          <dgm:dir/>
          <dgm:animLvl val="ctr"/>
          <dgm:resizeHandles val="exact"/>
        </dgm:presLayoutVars>
      </dgm:prSet>
      <dgm:spPr/>
    </dgm:pt>
    <dgm:pt modelId="{6681B32D-2E24-4636-A78F-BC926B879589}" type="pres">
      <dgm:prSet presAssocID="{6E7D1AF1-DCBD-479A-8F21-3212D60D2F78}" presName="centerShape" presStyleLbl="node0" presStyleIdx="0" presStyleCnt="1" custScaleX="203757" custScaleY="202114" custLinFactNeighborX="1861" custLinFactNeighborY="-475"/>
      <dgm:spPr/>
    </dgm:pt>
    <dgm:pt modelId="{774A2DE8-AFF6-46FF-A0E0-2F858C500C72}" type="pres">
      <dgm:prSet presAssocID="{8D7DD220-F386-442E-B845-EF7E1C904A2A}" presName="node" presStyleLbl="node1" presStyleIdx="0" presStyleCnt="4">
        <dgm:presLayoutVars>
          <dgm:bulletEnabled val="1"/>
        </dgm:presLayoutVars>
      </dgm:prSet>
      <dgm:spPr/>
    </dgm:pt>
    <dgm:pt modelId="{89EF00DB-84CB-4DF7-BCA2-471101864F45}" type="pres">
      <dgm:prSet presAssocID="{8D7DD220-F386-442E-B845-EF7E1C904A2A}" presName="dummy" presStyleCnt="0"/>
      <dgm:spPr/>
    </dgm:pt>
    <dgm:pt modelId="{8E4E5F5A-A4FE-41A6-A500-323272351F28}" type="pres">
      <dgm:prSet presAssocID="{334CC921-6B35-4CF4-B9A8-2E0597CA35AC}" presName="sibTrans" presStyleLbl="sibTrans2D1" presStyleIdx="0" presStyleCnt="4"/>
      <dgm:spPr/>
    </dgm:pt>
    <dgm:pt modelId="{EF7C0C61-9105-4366-A3B0-0C5E966BDBC2}" type="pres">
      <dgm:prSet presAssocID="{CE51C380-F842-45A4-9BFE-9CFC45519591}" presName="node" presStyleLbl="node1" presStyleIdx="1" presStyleCnt="4">
        <dgm:presLayoutVars>
          <dgm:bulletEnabled val="1"/>
        </dgm:presLayoutVars>
      </dgm:prSet>
      <dgm:spPr/>
    </dgm:pt>
    <dgm:pt modelId="{156ECFEF-2E35-4003-A7FA-5DFA938E1B9A}" type="pres">
      <dgm:prSet presAssocID="{CE51C380-F842-45A4-9BFE-9CFC45519591}" presName="dummy" presStyleCnt="0"/>
      <dgm:spPr/>
    </dgm:pt>
    <dgm:pt modelId="{4BE38136-E3AF-4B08-B25A-EF0717CE08AC}" type="pres">
      <dgm:prSet presAssocID="{D6539722-A427-4279-AAFE-BCE6254C8B6D}" presName="sibTrans" presStyleLbl="sibTrans2D1" presStyleIdx="1" presStyleCnt="4"/>
      <dgm:spPr/>
    </dgm:pt>
    <dgm:pt modelId="{DDE904DE-5D6B-417D-9107-C760ED08BAD2}" type="pres">
      <dgm:prSet presAssocID="{67F7EEAB-2580-4068-AF5C-629485D93C71}" presName="node" presStyleLbl="node1" presStyleIdx="2" presStyleCnt="4">
        <dgm:presLayoutVars>
          <dgm:bulletEnabled val="1"/>
        </dgm:presLayoutVars>
      </dgm:prSet>
      <dgm:spPr/>
    </dgm:pt>
    <dgm:pt modelId="{315A78A8-C95C-40CA-AD6C-735C8D4F8751}" type="pres">
      <dgm:prSet presAssocID="{67F7EEAB-2580-4068-AF5C-629485D93C71}" presName="dummy" presStyleCnt="0"/>
      <dgm:spPr/>
    </dgm:pt>
    <dgm:pt modelId="{8D38B28F-2BC1-40FA-96A2-DE28DAAC0DA3}" type="pres">
      <dgm:prSet presAssocID="{D25BFE8D-A868-4653-A189-D9BA8E0A0112}" presName="sibTrans" presStyleLbl="sibTrans2D1" presStyleIdx="2" presStyleCnt="4"/>
      <dgm:spPr/>
    </dgm:pt>
    <dgm:pt modelId="{D695B8B3-A625-4533-8B71-F37199DAACE0}" type="pres">
      <dgm:prSet presAssocID="{81F63DCC-F876-4F38-B52D-11783D37F89B}" presName="node" presStyleLbl="node1" presStyleIdx="3" presStyleCnt="4">
        <dgm:presLayoutVars>
          <dgm:bulletEnabled val="1"/>
        </dgm:presLayoutVars>
      </dgm:prSet>
      <dgm:spPr/>
    </dgm:pt>
    <dgm:pt modelId="{545EC8BD-84CD-4158-AF64-19FED48EFBA6}" type="pres">
      <dgm:prSet presAssocID="{81F63DCC-F876-4F38-B52D-11783D37F89B}" presName="dummy" presStyleCnt="0"/>
      <dgm:spPr/>
    </dgm:pt>
    <dgm:pt modelId="{20B6ADC2-378A-4BF9-BACC-23B1CC38C95D}" type="pres">
      <dgm:prSet presAssocID="{6035BF3A-C2CA-4EA8-9FAA-BADEDD2EAED4}" presName="sibTrans" presStyleLbl="sibTrans2D1" presStyleIdx="3" presStyleCnt="4"/>
      <dgm:spPr/>
    </dgm:pt>
  </dgm:ptLst>
  <dgm:cxnLst>
    <dgm:cxn modelId="{5C181302-80C8-4752-A512-8668D647B9D1}" type="presOf" srcId="{CE51C380-F842-45A4-9BFE-9CFC45519591}" destId="{EF7C0C61-9105-4366-A3B0-0C5E966BDBC2}" srcOrd="0" destOrd="0" presId="urn:microsoft.com/office/officeart/2005/8/layout/radial6"/>
    <dgm:cxn modelId="{47406005-90A9-4C79-881A-13F5BE15AF74}" srcId="{64B47852-742A-46CD-B1B7-548D32462E75}" destId="{6E7D1AF1-DCBD-479A-8F21-3212D60D2F78}" srcOrd="0" destOrd="0" parTransId="{B1DF4A96-3EC7-4BBD-89F1-AD7C14A81899}" sibTransId="{3EEC6871-EAA1-4B12-92F5-78BBF2682B80}"/>
    <dgm:cxn modelId="{D8ED910E-849A-417F-9DFD-CA4E2D793CB2}" srcId="{6E7D1AF1-DCBD-479A-8F21-3212D60D2F78}" destId="{8D7DD220-F386-442E-B845-EF7E1C904A2A}" srcOrd="0" destOrd="0" parTransId="{6037A481-3449-44A4-A4FB-792EC8338FC2}" sibTransId="{334CC921-6B35-4CF4-B9A8-2E0597CA35AC}"/>
    <dgm:cxn modelId="{03E07817-2B7B-4081-AB9C-F6AF32DB5746}" type="presOf" srcId="{6E7D1AF1-DCBD-479A-8F21-3212D60D2F78}" destId="{6681B32D-2E24-4636-A78F-BC926B879589}" srcOrd="0" destOrd="0" presId="urn:microsoft.com/office/officeart/2005/8/layout/radial6"/>
    <dgm:cxn modelId="{4BB7A61B-472C-4BC5-A509-E0EBA6F220FD}" type="presOf" srcId="{334CC921-6B35-4CF4-B9A8-2E0597CA35AC}" destId="{8E4E5F5A-A4FE-41A6-A500-323272351F28}" srcOrd="0" destOrd="0" presId="urn:microsoft.com/office/officeart/2005/8/layout/radial6"/>
    <dgm:cxn modelId="{7FD81B1C-7895-4194-A2A3-800507B758AD}" type="presOf" srcId="{67F7EEAB-2580-4068-AF5C-629485D93C71}" destId="{DDE904DE-5D6B-417D-9107-C760ED08BAD2}" srcOrd="0" destOrd="0" presId="urn:microsoft.com/office/officeart/2005/8/layout/radial6"/>
    <dgm:cxn modelId="{F8121723-0809-48DA-BF80-BCF0910624A6}" type="presOf" srcId="{8D7DD220-F386-442E-B845-EF7E1C904A2A}" destId="{774A2DE8-AFF6-46FF-A0E0-2F858C500C72}" srcOrd="0" destOrd="0" presId="urn:microsoft.com/office/officeart/2005/8/layout/radial6"/>
    <dgm:cxn modelId="{294BD22B-42E3-43A2-B7D3-AAE0EB9F08EC}" type="presOf" srcId="{D6539722-A427-4279-AAFE-BCE6254C8B6D}" destId="{4BE38136-E3AF-4B08-B25A-EF0717CE08AC}" srcOrd="0" destOrd="0" presId="urn:microsoft.com/office/officeart/2005/8/layout/radial6"/>
    <dgm:cxn modelId="{42A4B75B-9768-4FC0-BA45-DDECAA618095}" srcId="{6E7D1AF1-DCBD-479A-8F21-3212D60D2F78}" destId="{81F63DCC-F876-4F38-B52D-11783D37F89B}" srcOrd="3" destOrd="0" parTransId="{D198EFAD-0048-4B20-B3C3-3F23D58C816B}" sibTransId="{6035BF3A-C2CA-4EA8-9FAA-BADEDD2EAED4}"/>
    <dgm:cxn modelId="{B6EA4463-6623-4E17-975C-985A10B889EC}" type="presOf" srcId="{64B47852-742A-46CD-B1B7-548D32462E75}" destId="{75EE6453-57B8-4606-8819-88881D637227}" srcOrd="0" destOrd="0" presId="urn:microsoft.com/office/officeart/2005/8/layout/radial6"/>
    <dgm:cxn modelId="{11A9E467-3C1C-4D2E-9C32-1557266CDC85}" type="presOf" srcId="{D25BFE8D-A868-4653-A189-D9BA8E0A0112}" destId="{8D38B28F-2BC1-40FA-96A2-DE28DAAC0DA3}" srcOrd="0" destOrd="0" presId="urn:microsoft.com/office/officeart/2005/8/layout/radial6"/>
    <dgm:cxn modelId="{8A0EFC57-49F7-4635-AC30-320B0F3DCF36}" type="presOf" srcId="{81F63DCC-F876-4F38-B52D-11783D37F89B}" destId="{D695B8B3-A625-4533-8B71-F37199DAACE0}" srcOrd="0" destOrd="0" presId="urn:microsoft.com/office/officeart/2005/8/layout/radial6"/>
    <dgm:cxn modelId="{F3EDA979-EC2E-4E52-B0D5-975D1C5CF72E}" srcId="{6E7D1AF1-DCBD-479A-8F21-3212D60D2F78}" destId="{CE51C380-F842-45A4-9BFE-9CFC45519591}" srcOrd="1" destOrd="0" parTransId="{E61CCCE9-E0CC-43AD-A85A-9E61151C2186}" sibTransId="{D6539722-A427-4279-AAFE-BCE6254C8B6D}"/>
    <dgm:cxn modelId="{D3DFB9C3-CA66-45B9-A86C-279C13D83A06}" type="presOf" srcId="{6035BF3A-C2CA-4EA8-9FAA-BADEDD2EAED4}" destId="{20B6ADC2-378A-4BF9-BACC-23B1CC38C95D}" srcOrd="0" destOrd="0" presId="urn:microsoft.com/office/officeart/2005/8/layout/radial6"/>
    <dgm:cxn modelId="{ECEC49F8-D581-4133-AA50-BE4F863DCA95}" srcId="{6E7D1AF1-DCBD-479A-8F21-3212D60D2F78}" destId="{67F7EEAB-2580-4068-AF5C-629485D93C71}" srcOrd="2" destOrd="0" parTransId="{C561CAB8-224F-4F98-A097-6518D165B2FA}" sibTransId="{D25BFE8D-A868-4653-A189-D9BA8E0A0112}"/>
    <dgm:cxn modelId="{1110A21B-F48F-4DFA-8C34-CEFC922A0C63}" type="presParOf" srcId="{75EE6453-57B8-4606-8819-88881D637227}" destId="{6681B32D-2E24-4636-A78F-BC926B879589}" srcOrd="0" destOrd="0" presId="urn:microsoft.com/office/officeart/2005/8/layout/radial6"/>
    <dgm:cxn modelId="{C6CAC3A3-9534-4BFB-A5FF-6D58EE95DA5F}" type="presParOf" srcId="{75EE6453-57B8-4606-8819-88881D637227}" destId="{774A2DE8-AFF6-46FF-A0E0-2F858C500C72}" srcOrd="1" destOrd="0" presId="urn:microsoft.com/office/officeart/2005/8/layout/radial6"/>
    <dgm:cxn modelId="{7C779770-C6FC-4745-BB60-ED0BDB9986F7}" type="presParOf" srcId="{75EE6453-57B8-4606-8819-88881D637227}" destId="{89EF00DB-84CB-4DF7-BCA2-471101864F45}" srcOrd="2" destOrd="0" presId="urn:microsoft.com/office/officeart/2005/8/layout/radial6"/>
    <dgm:cxn modelId="{D5977F4A-62A0-4B40-8BE5-CDA38F166F04}" type="presParOf" srcId="{75EE6453-57B8-4606-8819-88881D637227}" destId="{8E4E5F5A-A4FE-41A6-A500-323272351F28}" srcOrd="3" destOrd="0" presId="urn:microsoft.com/office/officeart/2005/8/layout/radial6"/>
    <dgm:cxn modelId="{75098FE4-219F-46E3-822E-ECF55B3B140F}" type="presParOf" srcId="{75EE6453-57B8-4606-8819-88881D637227}" destId="{EF7C0C61-9105-4366-A3B0-0C5E966BDBC2}" srcOrd="4" destOrd="0" presId="urn:microsoft.com/office/officeart/2005/8/layout/radial6"/>
    <dgm:cxn modelId="{93E3DFE7-ED8F-43C6-88CE-C8C44702BA3F}" type="presParOf" srcId="{75EE6453-57B8-4606-8819-88881D637227}" destId="{156ECFEF-2E35-4003-A7FA-5DFA938E1B9A}" srcOrd="5" destOrd="0" presId="urn:microsoft.com/office/officeart/2005/8/layout/radial6"/>
    <dgm:cxn modelId="{33CF961F-42C5-4BB2-8CD9-AF18C715948D}" type="presParOf" srcId="{75EE6453-57B8-4606-8819-88881D637227}" destId="{4BE38136-E3AF-4B08-B25A-EF0717CE08AC}" srcOrd="6" destOrd="0" presId="urn:microsoft.com/office/officeart/2005/8/layout/radial6"/>
    <dgm:cxn modelId="{BC12A602-940A-40DF-B2B2-599C132BE84D}" type="presParOf" srcId="{75EE6453-57B8-4606-8819-88881D637227}" destId="{DDE904DE-5D6B-417D-9107-C760ED08BAD2}" srcOrd="7" destOrd="0" presId="urn:microsoft.com/office/officeart/2005/8/layout/radial6"/>
    <dgm:cxn modelId="{7CEFCEAF-7009-4FEF-8291-327EBE13F083}" type="presParOf" srcId="{75EE6453-57B8-4606-8819-88881D637227}" destId="{315A78A8-C95C-40CA-AD6C-735C8D4F8751}" srcOrd="8" destOrd="0" presId="urn:microsoft.com/office/officeart/2005/8/layout/radial6"/>
    <dgm:cxn modelId="{FAF4ECB6-7A1F-43D2-9E4F-32183D8FF53F}" type="presParOf" srcId="{75EE6453-57B8-4606-8819-88881D637227}" destId="{8D38B28F-2BC1-40FA-96A2-DE28DAAC0DA3}" srcOrd="9" destOrd="0" presId="urn:microsoft.com/office/officeart/2005/8/layout/radial6"/>
    <dgm:cxn modelId="{FC651A52-8C64-46D0-9D9C-B6AB45FCE78C}" type="presParOf" srcId="{75EE6453-57B8-4606-8819-88881D637227}" destId="{D695B8B3-A625-4533-8B71-F37199DAACE0}" srcOrd="10" destOrd="0" presId="urn:microsoft.com/office/officeart/2005/8/layout/radial6"/>
    <dgm:cxn modelId="{E578CC79-A7D5-48D5-ADBC-4C23E6E588C1}" type="presParOf" srcId="{75EE6453-57B8-4606-8819-88881D637227}" destId="{545EC8BD-84CD-4158-AF64-19FED48EFBA6}" srcOrd="11" destOrd="0" presId="urn:microsoft.com/office/officeart/2005/8/layout/radial6"/>
    <dgm:cxn modelId="{4A351A78-5031-4603-B6E7-0F485C25DC78}" type="presParOf" srcId="{75EE6453-57B8-4606-8819-88881D637227}" destId="{20B6ADC2-378A-4BF9-BACC-23B1CC38C95D}" srcOrd="12" destOrd="0" presId="urn:microsoft.com/office/officeart/2005/8/layout/radial6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0B6ADC2-378A-4BF9-BACC-23B1CC38C95D}">
      <dsp:nvSpPr>
        <dsp:cNvPr id="0" name=""/>
        <dsp:cNvSpPr/>
      </dsp:nvSpPr>
      <dsp:spPr>
        <a:xfrm>
          <a:off x="744675" y="458502"/>
          <a:ext cx="3059682" cy="3059682"/>
        </a:xfrm>
        <a:prstGeom prst="blockArc">
          <a:avLst>
            <a:gd name="adj1" fmla="val 10800000"/>
            <a:gd name="adj2" fmla="val 16200000"/>
            <a:gd name="adj3" fmla="val 4639"/>
          </a:avLst>
        </a:prstGeom>
        <a:gradFill rotWithShape="0">
          <a:gsLst>
            <a:gs pos="0">
              <a:schemeClr val="accent3">
                <a:hueOff val="-1234063"/>
                <a:satOff val="-21671"/>
                <a:lumOff val="-392"/>
                <a:alphaOff val="0"/>
                <a:tint val="100000"/>
                <a:shade val="85000"/>
                <a:satMod val="100000"/>
                <a:lumMod val="100000"/>
              </a:schemeClr>
            </a:gs>
            <a:gs pos="100000">
              <a:schemeClr val="accent3">
                <a:hueOff val="-1234063"/>
                <a:satOff val="-21671"/>
                <a:lumOff val="-392"/>
                <a:alphaOff val="0"/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ln>
          <a:noFill/>
        </a:ln>
        <a:effectLst>
          <a:outerShdw blurRad="76200" dist="25400" dir="5400000" algn="ctr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flat" dir="t">
            <a:rot lat="0" lon="0" rev="3600000"/>
          </a:lightRig>
        </a:scene3d>
        <a:sp3d contourW="12700" prstMaterial="flat">
          <a:bevelT w="38100" h="44450" prst="angle"/>
          <a:contourClr>
            <a:schemeClr val="accent3">
              <a:hueOff val="-1234063"/>
              <a:satOff val="-21671"/>
              <a:lumOff val="-392"/>
              <a:alphaOff val="0"/>
              <a:shade val="35000"/>
              <a:satMod val="160000"/>
            </a:schemeClr>
          </a:contourClr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</dsp:sp>
    <dsp:sp modelId="{8D38B28F-2BC1-40FA-96A2-DE28DAAC0DA3}">
      <dsp:nvSpPr>
        <dsp:cNvPr id="0" name=""/>
        <dsp:cNvSpPr/>
      </dsp:nvSpPr>
      <dsp:spPr>
        <a:xfrm>
          <a:off x="744675" y="458502"/>
          <a:ext cx="3059682" cy="3059682"/>
        </a:xfrm>
        <a:prstGeom prst="blockArc">
          <a:avLst>
            <a:gd name="adj1" fmla="val 5400000"/>
            <a:gd name="adj2" fmla="val 10800000"/>
            <a:gd name="adj3" fmla="val 4639"/>
          </a:avLst>
        </a:prstGeom>
        <a:gradFill rotWithShape="0">
          <a:gsLst>
            <a:gs pos="0">
              <a:schemeClr val="accent3">
                <a:hueOff val="-822709"/>
                <a:satOff val="-14447"/>
                <a:lumOff val="-261"/>
                <a:alphaOff val="0"/>
                <a:tint val="100000"/>
                <a:shade val="85000"/>
                <a:satMod val="100000"/>
                <a:lumMod val="100000"/>
              </a:schemeClr>
            </a:gs>
            <a:gs pos="100000">
              <a:schemeClr val="accent3">
                <a:hueOff val="-822709"/>
                <a:satOff val="-14447"/>
                <a:lumOff val="-261"/>
                <a:alphaOff val="0"/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ln>
          <a:noFill/>
        </a:ln>
        <a:effectLst>
          <a:outerShdw blurRad="76200" dist="25400" dir="5400000" algn="ctr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flat" dir="t">
            <a:rot lat="0" lon="0" rev="3600000"/>
          </a:lightRig>
        </a:scene3d>
        <a:sp3d contourW="12700" prstMaterial="flat">
          <a:bevelT w="38100" h="44450" prst="angle"/>
          <a:contourClr>
            <a:schemeClr val="accent3">
              <a:hueOff val="-822709"/>
              <a:satOff val="-14447"/>
              <a:lumOff val="-261"/>
              <a:alphaOff val="0"/>
              <a:shade val="35000"/>
              <a:satMod val="160000"/>
            </a:schemeClr>
          </a:contourClr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</dsp:sp>
    <dsp:sp modelId="{4BE38136-E3AF-4B08-B25A-EF0717CE08AC}">
      <dsp:nvSpPr>
        <dsp:cNvPr id="0" name=""/>
        <dsp:cNvSpPr/>
      </dsp:nvSpPr>
      <dsp:spPr>
        <a:xfrm>
          <a:off x="744675" y="458502"/>
          <a:ext cx="3059682" cy="3059682"/>
        </a:xfrm>
        <a:prstGeom prst="blockArc">
          <a:avLst>
            <a:gd name="adj1" fmla="val 0"/>
            <a:gd name="adj2" fmla="val 5400000"/>
            <a:gd name="adj3" fmla="val 4639"/>
          </a:avLst>
        </a:prstGeom>
        <a:gradFill rotWithShape="0">
          <a:gsLst>
            <a:gs pos="0">
              <a:schemeClr val="accent3">
                <a:hueOff val="-411354"/>
                <a:satOff val="-7224"/>
                <a:lumOff val="-131"/>
                <a:alphaOff val="0"/>
                <a:tint val="100000"/>
                <a:shade val="85000"/>
                <a:satMod val="100000"/>
                <a:lumMod val="100000"/>
              </a:schemeClr>
            </a:gs>
            <a:gs pos="100000">
              <a:schemeClr val="accent3">
                <a:hueOff val="-411354"/>
                <a:satOff val="-7224"/>
                <a:lumOff val="-131"/>
                <a:alphaOff val="0"/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ln>
          <a:noFill/>
        </a:ln>
        <a:effectLst>
          <a:outerShdw blurRad="76200" dist="25400" dir="5400000" algn="ctr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flat" dir="t">
            <a:rot lat="0" lon="0" rev="3600000"/>
          </a:lightRig>
        </a:scene3d>
        <a:sp3d contourW="12700" prstMaterial="flat">
          <a:bevelT w="38100" h="44450" prst="angle"/>
          <a:contourClr>
            <a:schemeClr val="accent3">
              <a:hueOff val="-411354"/>
              <a:satOff val="-7224"/>
              <a:lumOff val="-131"/>
              <a:alphaOff val="0"/>
              <a:shade val="35000"/>
              <a:satMod val="160000"/>
            </a:schemeClr>
          </a:contourClr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</dsp:sp>
    <dsp:sp modelId="{8E4E5F5A-A4FE-41A6-A500-323272351F28}">
      <dsp:nvSpPr>
        <dsp:cNvPr id="0" name=""/>
        <dsp:cNvSpPr/>
      </dsp:nvSpPr>
      <dsp:spPr>
        <a:xfrm>
          <a:off x="744675" y="458502"/>
          <a:ext cx="3059682" cy="3059682"/>
        </a:xfrm>
        <a:prstGeom prst="blockArc">
          <a:avLst>
            <a:gd name="adj1" fmla="val 16200000"/>
            <a:gd name="adj2" fmla="val 0"/>
            <a:gd name="adj3" fmla="val 4639"/>
          </a:avLst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tint val="100000"/>
                <a:shade val="85000"/>
                <a:satMod val="100000"/>
                <a:lumMod val="100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ln>
          <a:noFill/>
        </a:ln>
        <a:effectLst>
          <a:outerShdw blurRad="76200" dist="25400" dir="5400000" algn="ctr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flat" dir="t">
            <a:rot lat="0" lon="0" rev="3600000"/>
          </a:lightRig>
        </a:scene3d>
        <a:sp3d contourW="12700" prstMaterial="flat">
          <a:bevelT w="38100" h="44450" prst="angle"/>
          <a:contourClr>
            <a:schemeClr val="accent3">
              <a:hueOff val="0"/>
              <a:satOff val="0"/>
              <a:lumOff val="0"/>
              <a:alphaOff val="0"/>
              <a:shade val="35000"/>
              <a:satMod val="160000"/>
            </a:schemeClr>
          </a:contourClr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</dsp:sp>
    <dsp:sp modelId="{6681B32D-2E24-4636-A78F-BC926B879589}">
      <dsp:nvSpPr>
        <dsp:cNvPr id="0" name=""/>
        <dsp:cNvSpPr/>
      </dsp:nvSpPr>
      <dsp:spPr>
        <a:xfrm>
          <a:off x="895436" y="551016"/>
          <a:ext cx="2869398" cy="2846261"/>
        </a:xfrm>
        <a:prstGeom prst="ellipse">
          <a:avLst/>
        </a:prstGeom>
        <a:noFill/>
        <a:ln w="15875" cap="flat" cmpd="sng" algn="ctr">
          <a:solidFill>
            <a:schemeClr val="accent4"/>
          </a:solidFill>
          <a:prstDash val="solid"/>
        </a:ln>
        <a:effectLst/>
      </dsp:spPr>
      <dsp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dsp:style>
      <dsp:txBody>
        <a:bodyPr spcFirstLastPara="0" vert="horz" wrap="square" lIns="82550" tIns="82550" rIns="82550" bIns="82550" numCol="1" spcCol="1270" anchor="ctr" anchorCtr="0">
          <a:noAutofit/>
        </a:bodyPr>
        <a:lstStyle/>
        <a:p>
          <a:pPr marL="0" lvl="0" indent="0" algn="ctr" defTabSz="2889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6500" kern="1200"/>
            <a:t> </a:t>
          </a:r>
        </a:p>
      </dsp:txBody>
      <dsp:txXfrm>
        <a:off x="1315650" y="967841"/>
        <a:ext cx="2028970" cy="2012611"/>
      </dsp:txXfrm>
    </dsp:sp>
    <dsp:sp modelId="{774A2DE8-AFF6-46FF-A0E0-2F858C500C72}">
      <dsp:nvSpPr>
        <dsp:cNvPr id="0" name=""/>
        <dsp:cNvSpPr/>
      </dsp:nvSpPr>
      <dsp:spPr>
        <a:xfrm>
          <a:off x="1781630" y="1104"/>
          <a:ext cx="985771" cy="985771"/>
        </a:xfrm>
        <a:prstGeom prst="ellipse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tint val="100000"/>
                <a:shade val="85000"/>
                <a:satMod val="100000"/>
                <a:lumMod val="100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ln>
          <a:noFill/>
        </a:ln>
        <a:effectLst>
          <a:outerShdw blurRad="76200" dist="25400" dir="5400000" algn="ctr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flat" dir="t">
            <a:rot lat="0" lon="0" rev="3600000"/>
          </a:lightRig>
        </a:scene3d>
        <a:sp3d contourW="12700" prstMaterial="flat">
          <a:bevelT w="38100" h="44450" prst="angle"/>
          <a:contourClr>
            <a:schemeClr val="accent3">
              <a:hueOff val="0"/>
              <a:satOff val="0"/>
              <a:lumOff val="0"/>
              <a:alphaOff val="0"/>
              <a:shade val="35000"/>
              <a:satMod val="160000"/>
            </a:schemeClr>
          </a:contourClr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20320" tIns="20320" rIns="2032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600" kern="1200"/>
            <a:t>Ingresos</a:t>
          </a:r>
        </a:p>
      </dsp:txBody>
      <dsp:txXfrm>
        <a:off x="1925993" y="145467"/>
        <a:ext cx="697045" cy="697045"/>
      </dsp:txXfrm>
    </dsp:sp>
    <dsp:sp modelId="{EF7C0C61-9105-4366-A3B0-0C5E966BDBC2}">
      <dsp:nvSpPr>
        <dsp:cNvPr id="0" name=""/>
        <dsp:cNvSpPr/>
      </dsp:nvSpPr>
      <dsp:spPr>
        <a:xfrm>
          <a:off x="3275984" y="1495458"/>
          <a:ext cx="985771" cy="985771"/>
        </a:xfrm>
        <a:prstGeom prst="ellipse">
          <a:avLst/>
        </a:prstGeom>
        <a:gradFill rotWithShape="0">
          <a:gsLst>
            <a:gs pos="0">
              <a:schemeClr val="accent3">
                <a:hueOff val="-411354"/>
                <a:satOff val="-7224"/>
                <a:lumOff val="-131"/>
                <a:alphaOff val="0"/>
                <a:tint val="100000"/>
                <a:shade val="85000"/>
                <a:satMod val="100000"/>
                <a:lumMod val="100000"/>
              </a:schemeClr>
            </a:gs>
            <a:gs pos="100000">
              <a:schemeClr val="accent3">
                <a:hueOff val="-411354"/>
                <a:satOff val="-7224"/>
                <a:lumOff val="-131"/>
                <a:alphaOff val="0"/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ln>
          <a:noFill/>
        </a:ln>
        <a:effectLst>
          <a:outerShdw blurRad="76200" dist="25400" dir="5400000" algn="ctr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flat" dir="t">
            <a:rot lat="0" lon="0" rev="3600000"/>
          </a:lightRig>
        </a:scene3d>
        <a:sp3d contourW="12700" prstMaterial="flat">
          <a:bevelT w="38100" h="44450" prst="angle"/>
          <a:contourClr>
            <a:schemeClr val="accent3">
              <a:hueOff val="-411354"/>
              <a:satOff val="-7224"/>
              <a:lumOff val="-131"/>
              <a:alphaOff val="0"/>
              <a:shade val="35000"/>
              <a:satMod val="160000"/>
            </a:schemeClr>
          </a:contourClr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20320" tIns="20320" rIns="2032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600" kern="1200"/>
            <a:t>OPEX</a:t>
          </a:r>
        </a:p>
      </dsp:txBody>
      <dsp:txXfrm>
        <a:off x="3420347" y="1639821"/>
        <a:ext cx="697045" cy="697045"/>
      </dsp:txXfrm>
    </dsp:sp>
    <dsp:sp modelId="{DDE904DE-5D6B-417D-9107-C760ED08BAD2}">
      <dsp:nvSpPr>
        <dsp:cNvPr id="0" name=""/>
        <dsp:cNvSpPr/>
      </dsp:nvSpPr>
      <dsp:spPr>
        <a:xfrm>
          <a:off x="1781630" y="2989811"/>
          <a:ext cx="985771" cy="985771"/>
        </a:xfrm>
        <a:prstGeom prst="ellipse">
          <a:avLst/>
        </a:prstGeom>
        <a:gradFill rotWithShape="0">
          <a:gsLst>
            <a:gs pos="0">
              <a:schemeClr val="accent3">
                <a:hueOff val="-822709"/>
                <a:satOff val="-14447"/>
                <a:lumOff val="-261"/>
                <a:alphaOff val="0"/>
                <a:tint val="100000"/>
                <a:shade val="85000"/>
                <a:satMod val="100000"/>
                <a:lumMod val="100000"/>
              </a:schemeClr>
            </a:gs>
            <a:gs pos="100000">
              <a:schemeClr val="accent3">
                <a:hueOff val="-822709"/>
                <a:satOff val="-14447"/>
                <a:lumOff val="-261"/>
                <a:alphaOff val="0"/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ln>
          <a:noFill/>
        </a:ln>
        <a:effectLst>
          <a:outerShdw blurRad="76200" dist="25400" dir="5400000" algn="ctr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flat" dir="t">
            <a:rot lat="0" lon="0" rev="3600000"/>
          </a:lightRig>
        </a:scene3d>
        <a:sp3d contourW="12700" prstMaterial="flat">
          <a:bevelT w="38100" h="44450" prst="angle"/>
          <a:contourClr>
            <a:schemeClr val="accent3">
              <a:hueOff val="-822709"/>
              <a:satOff val="-14447"/>
              <a:lumOff val="-261"/>
              <a:alphaOff val="0"/>
              <a:shade val="35000"/>
              <a:satMod val="160000"/>
            </a:schemeClr>
          </a:contourClr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20320" tIns="20320" rIns="2032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600" kern="1200"/>
            <a:t>Cuentas x pagar</a:t>
          </a:r>
        </a:p>
      </dsp:txBody>
      <dsp:txXfrm>
        <a:off x="1925993" y="3134174"/>
        <a:ext cx="697045" cy="697045"/>
      </dsp:txXfrm>
    </dsp:sp>
    <dsp:sp modelId="{D695B8B3-A625-4533-8B71-F37199DAACE0}">
      <dsp:nvSpPr>
        <dsp:cNvPr id="0" name=""/>
        <dsp:cNvSpPr/>
      </dsp:nvSpPr>
      <dsp:spPr>
        <a:xfrm>
          <a:off x="287276" y="1495458"/>
          <a:ext cx="985771" cy="985771"/>
        </a:xfrm>
        <a:prstGeom prst="ellipse">
          <a:avLst/>
        </a:prstGeom>
        <a:gradFill rotWithShape="0">
          <a:gsLst>
            <a:gs pos="0">
              <a:schemeClr val="accent3">
                <a:hueOff val="-1234063"/>
                <a:satOff val="-21671"/>
                <a:lumOff val="-392"/>
                <a:alphaOff val="0"/>
                <a:tint val="100000"/>
                <a:shade val="85000"/>
                <a:satMod val="100000"/>
                <a:lumMod val="100000"/>
              </a:schemeClr>
            </a:gs>
            <a:gs pos="100000">
              <a:schemeClr val="accent3">
                <a:hueOff val="-1234063"/>
                <a:satOff val="-21671"/>
                <a:lumOff val="-392"/>
                <a:alphaOff val="0"/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ln>
          <a:noFill/>
        </a:ln>
        <a:effectLst>
          <a:outerShdw blurRad="76200" dist="25400" dir="5400000" algn="ctr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flat" dir="t">
            <a:rot lat="0" lon="0" rev="3600000"/>
          </a:lightRig>
        </a:scene3d>
        <a:sp3d contourW="12700" prstMaterial="flat">
          <a:bevelT w="38100" h="44450" prst="angle"/>
          <a:contourClr>
            <a:schemeClr val="accent3">
              <a:hueOff val="-1234063"/>
              <a:satOff val="-21671"/>
              <a:lumOff val="-392"/>
              <a:alphaOff val="0"/>
              <a:shade val="35000"/>
              <a:satMod val="160000"/>
            </a:schemeClr>
          </a:contourClr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20320" tIns="20320" rIns="2032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600" kern="1200"/>
            <a:t>Activos</a:t>
          </a:r>
        </a:p>
      </dsp:txBody>
      <dsp:txXfrm>
        <a:off x="431639" y="1639821"/>
        <a:ext cx="697045" cy="697045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radial6">
  <dgm:title val=""/>
  <dgm:desc val=""/>
  <dgm:catLst>
    <dgm:cat type="cycle" pri="9000"/>
    <dgm:cat type="relationship" pri="21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  <dgm:pt modelId="14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  <dgm:cxn modelId="5" srcId="1" destId="13" srcOrd="2" destOrd="0"/>
        <dgm:cxn modelId="6" srcId="1" destId="14" srcOrd="3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13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12"/>
        <dgm:pt modelId="13"/>
        <dgm:pt modelId="14"/>
        <dgm:pt modelId="15"/>
        <dgm:pt modelId="16"/>
      </dgm:ptLst>
      <dgm:cxnLst>
        <dgm:cxn modelId="2" srcId="0" destId="1" srcOrd="0" destOrd="0"/>
        <dgm:cxn modelId="16" srcId="1" destId="11" srcOrd="0" destOrd="0"/>
        <dgm:cxn modelId="17" srcId="1" destId="12" srcOrd="1" destOrd="0"/>
        <dgm:cxn modelId="18" srcId="1" destId="13" srcOrd="2" destOrd="0"/>
        <dgm:cxn modelId="19" srcId="1" destId="14" srcOrd="3" destOrd="0"/>
        <dgm:cxn modelId="20" srcId="1" destId="15" srcOrd="4" destOrd="0"/>
        <dgm:cxn modelId="21" srcId="1" destId="16" srcOrd="5" destOrd="0"/>
      </dgm:cxnLst>
      <dgm:bg/>
      <dgm:whole/>
    </dgm:dataModel>
  </dgm:clrData>
  <dgm:layoutNode name="Name0">
    <dgm:varLst>
      <dgm:chMax val="1"/>
      <dgm:dir/>
      <dgm:animLvl val="ctr"/>
      <dgm:resizeHandles val="exact"/>
    </dgm:varLst>
    <dgm:choose name="Name1">
      <dgm:if name="Name2" func="var" arg="dir" op="equ" val="norm">
        <dgm:choose name="Name3">
          <dgm:if name="Name4" axis="ch ch" ptType="node node" st="1 1" cnt="1 0" func="cnt" op="lte" val="1">
            <dgm:alg type="cycle">
              <dgm:param type="stAng" val="90"/>
              <dgm:param type="spanAng" val="360"/>
              <dgm:param type="ctrShpMap" val="fNode"/>
            </dgm:alg>
          </dgm:if>
          <dgm:else name="Name5">
            <dgm:alg type="cycle">
              <dgm:param type="stAng" val="0"/>
              <dgm:param type="spanAng" val="360"/>
              <dgm:param type="ctrShpMap" val="fNode"/>
            </dgm:alg>
          </dgm:else>
        </dgm:choose>
      </dgm:if>
      <dgm:else name="Name6">
        <dgm:choose name="Name7">
          <dgm:if name="Name8" axis="ch ch" ptType="node node" st="1 1" cnt="1 0" func="cnt" op="lte" val="1">
            <dgm:alg type="cycle">
              <dgm:param type="stAng" val="-90"/>
              <dgm:param type="spanAng" val="360"/>
              <dgm:param type="ctrShpMap" val="fNode"/>
            </dgm:alg>
          </dgm:if>
          <dgm:else name="Name9">
            <dgm:alg type="cycle">
              <dgm:param type="stAng" val="0"/>
              <dgm:param type="spanAng" val="-360"/>
              <dgm:param type="ctrShpMap" val="fNode"/>
            </dgm:alg>
          </dgm:else>
        </dgm:choose>
      </dgm:else>
    </dgm:choose>
    <dgm:shape xmlns:r="http://schemas.openxmlformats.org/officeDocument/2006/relationships" r:blip="">
      <dgm:adjLst/>
    </dgm:shape>
    <dgm:presOf/>
    <dgm:choose name="Name10">
      <dgm:if name="Name11" func="var" arg="dir" op="equ" val="norm">
        <dgm:choose name="Name12">
          <dgm:if name="Name13" axis="ch ch" ptType="node node" st="1 1" cnt="1 0" func="cnt" op="equ" val="1">
            <dgm:constrLst>
              <dgm:constr type="diam" val="170"/>
              <dgm:constr type="w" for="ch" forName="centerShape" refType="w"/>
              <dgm:constr type="w" for="ch" forName="oneComp" refType="w" refFor="ch" refForName="centerShape" op="equ" fact="0.7"/>
              <dgm:constr type="sp" refType="w" refFor="ch" refForName="oneComp" fact="0.3"/>
              <dgm:constr type="sibSp" refType="w" refFor="ch" refForName="oneComp" fact="0.3"/>
              <dgm:constr type="primFontSz" for="ch" forName="centerShape" val="65"/>
              <dgm:constr type="primFontSz" for="des" forName="oneNode" refType="primFontSz" refFor="ch" refForName="centerShape" fact="0.95"/>
              <dgm:constr type="primFontSz" for="des" forName="oneNode" refType="primFontSz" refFor="ch" refForName="centerShape" op="lte" fact="0.95"/>
              <dgm:constr type="diam" for="ch" forName="singleconn" refType="diam" op="equ" fact="-1"/>
              <dgm:constr type="h" for="ch" forName="singleconn" refType="w" refFor="ch" refForName="oneComp" fact="0.24"/>
              <dgm:constr type="w" for="ch" forName="dummya" refType="w" refFor="ch" refForName="oneComp" op="equ"/>
              <dgm:constr type="w" for="ch" forName="dummyb" refType="w" refFor="ch" refForName="oneComp" op="equ"/>
              <dgm:constr type="w" for="ch" forName="dummyc" refType="w" refFor="ch" refForName="oneComp" op="equ"/>
            </dgm:constrLst>
          </dgm:if>
          <dgm:else name="Name14">
            <dgm:constrLst>
              <dgm:constr type="diam" val="170"/>
              <dgm:constr type="w" for="ch" forName="centerShape" refType="w"/>
              <dgm:constr type="w" for="ch" forName="node" refType="w" refFor="ch" refForName="centerShape" op="equ" fact="0.7"/>
              <dgm:constr type="sp" refType="w" refFor="ch" refForName="node" fact="0.3"/>
              <dgm:constr type="sibSp" refType="w" refFor="ch" refForName="node" fact="0.3"/>
              <dgm:constr type="primFontSz" for="ch" forName="centerShape" val="65"/>
              <dgm:constr type="primFontSz" for="des" forName="node" refType="primFontSz" refFor="ch" refForName="centerShape" fact="0.78"/>
              <dgm:constr type="primFontSz" for="ch" forName="node" refType="primFontSz" refFor="ch" refForName="centerShape" op="lte" fact="0.95"/>
              <dgm:constr type="diam" for="ch" forName="sibTrans" refType="diam" op="equ"/>
              <dgm:constr type="h" for="ch" forName="sibTrans" refType="w" refFor="ch" refForName="node" fact="0.24"/>
              <dgm:constr type="w" for="ch" forName="dummy" val="1"/>
            </dgm:constrLst>
          </dgm:else>
        </dgm:choose>
      </dgm:if>
      <dgm:else name="Name15">
        <dgm:choose name="Name16">
          <dgm:if name="Name17" axis="ch ch" ptType="node node" st="1 1" cnt="1 0" func="cnt" op="equ" val="1">
            <dgm:constrLst>
              <dgm:constr type="diam" val="170"/>
              <dgm:constr type="w" for="ch" forName="centerShape" refType="w"/>
              <dgm:constr type="w" for="ch" forName="oneComp" refType="w" refFor="ch" refForName="centerShape" op="equ" fact="0.7"/>
              <dgm:constr type="sp" refType="w" refFor="ch" refForName="oneComp" fact="0.3"/>
              <dgm:constr type="sibSp" refType="w" refFor="ch" refForName="oneComp" fact="0.3"/>
              <dgm:constr type="primFontSz" for="ch" forName="centerShape" val="65"/>
              <dgm:constr type="primFontSz" for="des" forName="oneNode" refType="primFontSz" refFor="ch" refForName="centerShape" fact="0.95"/>
              <dgm:constr type="primFontSz" for="ch" forName="oneNode" refType="primFontSz" refFor="ch" refForName="centerShape" op="lte" fact="0.95"/>
              <dgm:constr type="diam" for="ch" forName="singleconn" refType="diam"/>
              <dgm:constr type="h" for="ch" forName="singleconn" refType="w" refFor="ch" refForName="oneComp" fact="0.24"/>
              <dgm:constr type="diam" for="ch" refType="diam" op="equ"/>
              <dgm:constr type="w" for="ch" forName="dummya" refType="w" refFor="ch" refForName="oneComp" op="equ"/>
              <dgm:constr type="w" for="ch" forName="dummyb" refType="w" refFor="ch" refForName="oneComp" op="equ"/>
              <dgm:constr type="w" for="ch" forName="dummyc" refType="w" refFor="ch" refForName="oneComp" op="equ"/>
            </dgm:constrLst>
          </dgm:if>
          <dgm:else name="Name18">
            <dgm:constrLst>
              <dgm:constr type="diam" val="170"/>
              <dgm:constr type="w" for="ch" forName="centerShape" refType="w"/>
              <dgm:constr type="w" for="ch" forName="node" refType="w" refFor="ch" refForName="centerShape" op="equ" fact="0.7"/>
              <dgm:constr type="sp" refType="w" refFor="ch" refForName="node" fact="0.3"/>
              <dgm:constr type="sibSp" refType="w" refFor="ch" refForName="node" fact="0.3"/>
              <dgm:constr type="primFontSz" for="ch" forName="centerShape" val="65"/>
              <dgm:constr type="primFontSz" for="des" forName="node" refType="primFontSz" refFor="ch" refForName="centerShape" fact="0.78"/>
              <dgm:constr type="primFontSz" for="ch" forName="node" refType="primFontSz" refFor="ch" refForName="centerShape" op="lte" fact="0.95"/>
              <dgm:constr type="diam" for="ch" ptType="sibTrans" refType="diam" fact="-1"/>
              <dgm:constr type="h" for="ch" forName="sibTrans" refType="w" refFor="ch" refForName="node" fact="0.24"/>
              <dgm:constr type="diam" for="ch" refType="diam" op="equ" fact="-1"/>
              <dgm:constr type="w" for="ch" forName="dummy" val="1"/>
            </dgm:constrLst>
          </dgm:else>
        </dgm:choose>
      </dgm:else>
    </dgm:choose>
    <dgm:ruleLst>
      <dgm:rule type="diam" val="INF" fact="NaN" max="NaN"/>
    </dgm:ruleLst>
    <dgm:forEach name="Name19" axis="ch" ptType="node" cnt="1">
      <dgm:layoutNode name="centerShape" styleLbl="node0">
        <dgm:alg type="tx"/>
        <dgm:shape xmlns:r="http://schemas.openxmlformats.org/officeDocument/2006/relationships" type="ellipse" r:blip="">
          <dgm:adjLst/>
        </dgm:shape>
        <dgm:presOf axis="self"/>
        <dgm:constrLst>
          <dgm:constr type="h" refType="w"/>
          <dgm:constr type="tMarg" refType="primFontSz" fact="0.1"/>
          <dgm:constr type="bMarg" refType="primFontSz" fact="0.1"/>
          <dgm:constr type="lMarg" refType="primFontSz" fact="0.1"/>
          <dgm:constr type="rMarg" refType="primFontSz" fact="0.1"/>
        </dgm:constrLst>
        <dgm:ruleLst>
          <dgm:rule type="primFontSz" val="5" fact="NaN" max="NaN"/>
        </dgm:ruleLst>
      </dgm:layoutNode>
      <dgm:forEach name="Name20" axis="ch">
        <dgm:forEach name="Name21" axis="self" ptType="node">
          <dgm:choose name="Name22">
            <dgm:if name="Name23" axis="par ch" ptType="node node" func="cnt" op="gt" val="1">
              <dgm:layoutNode name="node" styleLbl="node1">
                <dgm:varLst>
                  <dgm:bulletEnabled val="1"/>
                </dgm:varLst>
                <dgm:alg type="tx">
                  <dgm:param type="txAnchorVertCh" val="mid"/>
                </dgm:alg>
                <dgm:shape xmlns:r="http://schemas.openxmlformats.org/officeDocument/2006/relationships" type="ellipse" r:blip="">
                  <dgm:adjLst/>
                </dgm:shape>
                <dgm:presOf axis="desOrSelf" ptType="node"/>
                <dgm:constrLst>
                  <dgm:constr type="h" refType="w"/>
                  <dgm:constr type="tMarg" refType="primFontSz" fact="0.1"/>
                  <dgm:constr type="bMarg" refType="primFontSz" fact="0.1"/>
                  <dgm:constr type="lMarg" refType="primFontSz" fact="0.1"/>
                  <dgm:constr type="rMarg" refType="primFontSz" fact="0.1"/>
                </dgm:constrLst>
                <dgm:ruleLst>
                  <dgm:rule type="primFontSz" val="5" fact="NaN" max="NaN"/>
                </dgm:ruleLst>
              </dgm:layoutNode>
              <dgm:layoutNode name="dummy">
                <dgm:alg type="sp"/>
                <dgm:shape xmlns:r="http://schemas.openxmlformats.org/officeDocument/2006/relationships" r:blip="">
                  <dgm:adjLst/>
                </dgm:shape>
                <dgm:presOf/>
                <dgm:constrLst>
                  <dgm:constr type="h" refType="w"/>
                </dgm:constrLst>
                <dgm:ruleLst/>
              </dgm:layoutNode>
              <dgm:forEach name="sibTransForEach" axis="followSib" ptType="sibTrans" hideLastTrans="0" cnt="1">
                <dgm:layoutNode name="sibTrans" styleLbl="sibTrans2D1">
                  <dgm:alg type="conn">
                    <dgm:param type="connRout" val="curve"/>
                    <dgm:param type="begPts" val="ctr"/>
                    <dgm:param type="endPts" val="ctr"/>
                    <dgm:param type="begSty" val="noArr"/>
                    <dgm:param type="endSty" val="noArr"/>
                    <dgm:param type="dstNode" val="node"/>
                  </dgm:alg>
                  <dgm:shape xmlns:r="http://schemas.openxmlformats.org/officeDocument/2006/relationships" type="conn" r:blip="" zOrderOff="-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</dgm:if>
            <dgm:if name="Name24" axis="par ch" ptType="node node" func="cnt" op="equ" val="1">
              <dgm:layoutNode name="oneComp">
                <dgm:alg type="composite">
                  <dgm:param type="ar" val="1"/>
                </dgm:alg>
                <dgm:shape xmlns:r="http://schemas.openxmlformats.org/officeDocument/2006/relationships" r:blip="">
                  <dgm:adjLst/>
                </dgm:shape>
                <dgm:presOf/>
                <dgm:constrLst>
                  <dgm:constr type="h" refType="w"/>
                  <dgm:constr type="l" for="ch" forName="dummyConnPt" refType="w" fact="0.5"/>
                  <dgm:constr type="t" for="ch" forName="dummyConnPt" refType="w" fact="0.5"/>
                  <dgm:constr type="l" for="ch" forName="oneNode"/>
                  <dgm:constr type="t" for="ch" forName="oneNode"/>
                  <dgm:constr type="h" for="ch" forName="oneNode" refType="h"/>
                  <dgm:constr type="w" for="ch" forName="oneNode" refType="w"/>
                </dgm:constrLst>
                <dgm:ruleLst/>
                <dgm:layoutNode name="dummyConnPt" styleLbl="node1">
                  <dgm:alg type="sp"/>
                  <dgm:shape xmlns:r="http://schemas.openxmlformats.org/officeDocument/2006/relationships" r:blip="">
                    <dgm:adjLst/>
                  </dgm:shape>
                  <dgm:presOf/>
                  <dgm:constrLst>
                    <dgm:constr type="w" val="1"/>
                    <dgm:constr type="h" val="1"/>
                  </dgm:constrLst>
                  <dgm:ruleLst/>
                </dgm:layoutNode>
                <dgm:layoutNode name="oneNode" styleLbl="node1">
                  <dgm:varLst>
                    <dgm:bulletEnabled val="1"/>
                  </dgm:varLst>
                  <dgm:alg type="tx">
                    <dgm:param type="txAnchorVertCh" val="mid"/>
                  </dgm:alg>
                  <dgm:shape xmlns:r="http://schemas.openxmlformats.org/officeDocument/2006/relationships" type="ellipse" r:blip="">
                    <dgm:adjLst/>
                  </dgm:shape>
                  <dgm:presOf axis="desOrSelf" ptType="node"/>
                  <dgm:constrLst>
                    <dgm:constr type="h" refType="w"/>
                    <dgm:constr type="tMarg" refType="primFontSz" fact="0.1"/>
                    <dgm:constr type="bMarg" refType="primFontSz" fact="0.1"/>
                    <dgm:constr type="lMarg" refType="primFontSz" fact="0.1"/>
                    <dgm:constr type="rMarg" refType="primFontSz" fact="0.1"/>
                  </dgm:constrLst>
                  <dgm:ruleLst>
                    <dgm:rule type="primFontSz" val="5" fact="NaN" max="NaN"/>
                  </dgm:ruleLst>
                </dgm:layoutNode>
              </dgm:layoutNode>
              <dgm:layoutNode name="dummya">
                <dgm:alg type="sp"/>
                <dgm:shape xmlns:r="http://schemas.openxmlformats.org/officeDocument/2006/relationships" r:blip="">
                  <dgm:adjLst/>
                </dgm:shape>
                <dgm:presOf/>
                <dgm:constrLst>
                  <dgm:constr type="h" refType="w"/>
                </dgm:constrLst>
                <dgm:ruleLst/>
              </dgm:layoutNode>
              <dgm:layoutNode name="dummyb">
                <dgm:alg type="sp"/>
                <dgm:shape xmlns:r="http://schemas.openxmlformats.org/officeDocument/2006/relationships" r:blip="">
                  <dgm:adjLst/>
                </dgm:shape>
                <dgm:presOf/>
                <dgm:constrLst>
                  <dgm:constr type="h" refType="w"/>
                </dgm:constrLst>
                <dgm:ruleLst/>
              </dgm:layoutNode>
              <dgm:layoutNode name="dummyc">
                <dgm:alg type="sp"/>
                <dgm:shape xmlns:r="http://schemas.openxmlformats.org/officeDocument/2006/relationships" r:blip="">
                  <dgm:adjLst/>
                </dgm:shape>
                <dgm:presOf/>
                <dgm:constrLst>
                  <dgm:constr type="h" refType="w"/>
                </dgm:constrLst>
                <dgm:ruleLst/>
              </dgm:layoutNode>
              <dgm:forEach name="sibTransForEach1" axis="followSib" ptType="sibTrans" hideLastTrans="0" cnt="1">
                <dgm:layoutNode name="singleconn" styleLbl="sibTrans2D1">
                  <dgm:alg type="conn">
                    <dgm:param type="connRout" val="longCurve"/>
                    <dgm:param type="begPts" val="bCtr"/>
                    <dgm:param type="endPts" val="tCtr"/>
                    <dgm:param type="begSty" val="noArr"/>
                    <dgm:param type="endSty" val="noArr"/>
                    <dgm:param type="srcNode" val="dummyConnPt"/>
                    <dgm:param type="dstNode" val="dummyConnPt"/>
                  </dgm:alg>
                  <dgm:shape xmlns:r="http://schemas.openxmlformats.org/officeDocument/2006/relationships" type="conn" r:blip="" zOrderOff="-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</dgm:if>
            <dgm:else name="Name25"/>
          </dgm:choose>
        </dgm:forEach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image" Target="../media/image2.png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Inicio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Inicio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3.png"/><Relationship Id="rId1" Type="http://schemas.openxmlformats.org/officeDocument/2006/relationships/hyperlink" Target="#Inicio!A1"/><Relationship Id="rId4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#Inicio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Inici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76200</xdr:rowOff>
    </xdr:from>
    <xdr:to>
      <xdr:col>5</xdr:col>
      <xdr:colOff>358033</xdr:colOff>
      <xdr:row>22</xdr:row>
      <xdr:rowOff>71438</xdr:rowOff>
    </xdr:to>
    <xdr:graphicFrame macro="">
      <xdr:nvGraphicFramePr>
        <xdr:cNvPr id="6" name="Diagrama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5</xdr:col>
      <xdr:colOff>778565</xdr:colOff>
      <xdr:row>4</xdr:row>
      <xdr:rowOff>49696</xdr:rowOff>
    </xdr:from>
    <xdr:to>
      <xdr:col>7</xdr:col>
      <xdr:colOff>339587</xdr:colOff>
      <xdr:row>6</xdr:row>
      <xdr:rowOff>140806</xdr:rowOff>
    </xdr:to>
    <xdr:sp macro="" textlink="">
      <xdr:nvSpPr>
        <xdr:cNvPr id="3" name="Rectángulo redondead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797826" y="778566"/>
          <a:ext cx="1234109" cy="455544"/>
        </a:xfrm>
        <a:prstGeom prst="roundRect">
          <a:avLst/>
        </a:prstGeom>
        <a:solidFill>
          <a:schemeClr val="accent2">
            <a:lumMod val="75000"/>
          </a:schemeClr>
        </a:solidFill>
        <a:scene3d>
          <a:camera prst="orthographicFront">
            <a:rot lat="0" lon="0" rev="0"/>
          </a:camera>
          <a:lightRig rig="flat" dir="t">
            <a:rot lat="0" lon="0" rev="3600000"/>
          </a:lightRig>
        </a:scene3d>
        <a:sp3d contourW="12700" prstMaterial="flat">
          <a:bevelT w="38100" h="44450"/>
          <a:contourClr>
            <a:schemeClr val="dk1">
              <a:shade val="35000"/>
              <a:satMod val="160000"/>
            </a:schemeClr>
          </a:contourClr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>
              <a:solidFill>
                <a:srgbClr val="FFFFA3"/>
              </a:solidFill>
            </a:rPr>
            <a:t>Misión y Visión</a:t>
          </a:r>
        </a:p>
      </xdr:txBody>
    </xdr:sp>
    <xdr:clientData/>
  </xdr:twoCellAnchor>
  <xdr:twoCellAnchor editAs="oneCell">
    <xdr:from>
      <xdr:col>1</xdr:col>
      <xdr:colOff>689894</xdr:colOff>
      <xdr:row>7</xdr:row>
      <xdr:rowOff>46284</xdr:rowOff>
    </xdr:from>
    <xdr:to>
      <xdr:col>3</xdr:col>
      <xdr:colOff>463826</xdr:colOff>
      <xdr:row>13</xdr:row>
      <xdr:rowOff>150103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B29E4DD-1F96-66F4-3413-D7D1E14BC5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07" t="14452" r="4726" b="12768"/>
        <a:stretch>
          <a:fillRect/>
        </a:stretch>
      </xdr:blipFill>
      <xdr:spPr>
        <a:xfrm>
          <a:off x="2362981" y="1321806"/>
          <a:ext cx="1447019" cy="11971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16</xdr:row>
      <xdr:rowOff>56029</xdr:rowOff>
    </xdr:from>
    <xdr:to>
      <xdr:col>1</xdr:col>
      <xdr:colOff>61075</xdr:colOff>
      <xdr:row>19</xdr:row>
      <xdr:rowOff>88802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AD4D53-4046-47A1-BF5C-45CF39E72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6" y="3092823"/>
          <a:ext cx="578225" cy="5706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24848</xdr:colOff>
      <xdr:row>0</xdr:row>
      <xdr:rowOff>57978</xdr:rowOff>
    </xdr:from>
    <xdr:to>
      <xdr:col>6</xdr:col>
      <xdr:colOff>8282</xdr:colOff>
      <xdr:row>2</xdr:row>
      <xdr:rowOff>91108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32522" y="57978"/>
          <a:ext cx="5449956" cy="39756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2400" u="sng">
              <a:solidFill>
                <a:schemeClr val="accent3">
                  <a:lumMod val="50000"/>
                </a:schemeClr>
              </a:solidFill>
            </a:rPr>
            <a:t>Pasivos</a:t>
          </a:r>
        </a:p>
      </xdr:txBody>
    </xdr:sp>
    <xdr:clientData/>
  </xdr:twoCellAnchor>
  <xdr:twoCellAnchor>
    <xdr:from>
      <xdr:col>6</xdr:col>
      <xdr:colOff>364433</xdr:colOff>
      <xdr:row>0</xdr:row>
      <xdr:rowOff>57977</xdr:rowOff>
    </xdr:from>
    <xdr:to>
      <xdr:col>8</xdr:col>
      <xdr:colOff>952500</xdr:colOff>
      <xdr:row>2</xdr:row>
      <xdr:rowOff>82825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938629" y="57977"/>
          <a:ext cx="2501349" cy="389283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2400" u="sng">
              <a:solidFill>
                <a:schemeClr val="accent3">
                  <a:lumMod val="50000"/>
                </a:schemeClr>
              </a:solidFill>
            </a:rPr>
            <a:t>Gastos</a:t>
          </a:r>
          <a:r>
            <a:rPr lang="es-CO" sz="2400" u="sng" baseline="0">
              <a:solidFill>
                <a:schemeClr val="accent3">
                  <a:lumMod val="50000"/>
                </a:schemeClr>
              </a:solidFill>
            </a:rPr>
            <a:t> de entrada</a:t>
          </a:r>
          <a:endParaRPr lang="es-CO" sz="2400" u="sng">
            <a:solidFill>
              <a:schemeClr val="accent3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372717</xdr:colOff>
      <xdr:row>27</xdr:row>
      <xdr:rowOff>149085</xdr:rowOff>
    </xdr:from>
    <xdr:to>
      <xdr:col>9</xdr:col>
      <xdr:colOff>472109</xdr:colOff>
      <xdr:row>29</xdr:row>
      <xdr:rowOff>91108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80391" y="5085520"/>
          <a:ext cx="9732066" cy="306458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2400" u="sng">
              <a:solidFill>
                <a:schemeClr val="accent3">
                  <a:lumMod val="50000"/>
                </a:schemeClr>
              </a:solidFill>
            </a:rPr>
            <a:t>Patrimonio</a:t>
          </a:r>
        </a:p>
      </xdr:txBody>
    </xdr:sp>
    <xdr:clientData/>
  </xdr:twoCellAnchor>
  <xdr:twoCellAnchor>
    <xdr:from>
      <xdr:col>7</xdr:col>
      <xdr:colOff>24848</xdr:colOff>
      <xdr:row>30</xdr:row>
      <xdr:rowOff>17393</xdr:rowOff>
    </xdr:from>
    <xdr:to>
      <xdr:col>9</xdr:col>
      <xdr:colOff>8283</xdr:colOff>
      <xdr:row>32</xdr:row>
      <xdr:rowOff>49697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5010978" y="4026176"/>
          <a:ext cx="2501348" cy="396738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2400" u="sng">
              <a:solidFill>
                <a:schemeClr val="accent3">
                  <a:lumMod val="50000"/>
                </a:schemeClr>
              </a:solidFill>
            </a:rPr>
            <a:t>Inventario (Stock)</a:t>
          </a:r>
        </a:p>
      </xdr:txBody>
    </xdr:sp>
    <xdr:clientData/>
  </xdr:twoCellAnchor>
  <xdr:twoCellAnchor editAs="oneCell">
    <xdr:from>
      <xdr:col>7</xdr:col>
      <xdr:colOff>985631</xdr:colOff>
      <xdr:row>12</xdr:row>
      <xdr:rowOff>124238</xdr:rowOff>
    </xdr:from>
    <xdr:to>
      <xdr:col>8</xdr:col>
      <xdr:colOff>23291</xdr:colOff>
      <xdr:row>15</xdr:row>
      <xdr:rowOff>139642</xdr:rowOff>
    </xdr:to>
    <xdr:pic>
      <xdr:nvPicPr>
        <xdr:cNvPr id="7" name="Imagen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23283" y="2310847"/>
          <a:ext cx="578225" cy="562056"/>
        </a:xfrm>
        <a:prstGeom prst="rect">
          <a:avLst/>
        </a:prstGeom>
      </xdr:spPr>
    </xdr:pic>
    <xdr:clientData/>
  </xdr:twoCellAnchor>
  <xdr:twoCellAnchor>
    <xdr:from>
      <xdr:col>0</xdr:col>
      <xdr:colOff>99391</xdr:colOff>
      <xdr:row>30</xdr:row>
      <xdr:rowOff>12424</xdr:rowOff>
    </xdr:from>
    <xdr:to>
      <xdr:col>4</xdr:col>
      <xdr:colOff>0</xdr:colOff>
      <xdr:row>32</xdr:row>
      <xdr:rowOff>44728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99391" y="4021207"/>
          <a:ext cx="4514022" cy="396738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2400" u="sng">
              <a:solidFill>
                <a:schemeClr val="accent3">
                  <a:lumMod val="50000"/>
                </a:schemeClr>
              </a:solidFill>
            </a:rPr>
            <a:t>Planta y Equipo</a:t>
          </a:r>
        </a:p>
      </xdr:txBody>
    </xdr:sp>
    <xdr:clientData/>
  </xdr:twoCellAnchor>
  <xdr:twoCellAnchor>
    <xdr:from>
      <xdr:col>10</xdr:col>
      <xdr:colOff>0</xdr:colOff>
      <xdr:row>0</xdr:row>
      <xdr:rowOff>66260</xdr:rowOff>
    </xdr:from>
    <xdr:to>
      <xdr:col>14</xdr:col>
      <xdr:colOff>0</xdr:colOff>
      <xdr:row>2</xdr:row>
      <xdr:rowOff>173934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8158370" y="66260"/>
          <a:ext cx="3735456" cy="472109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600" b="1" u="sng">
              <a:solidFill>
                <a:schemeClr val="accent3">
                  <a:lumMod val="50000"/>
                </a:schemeClr>
              </a:solidFill>
            </a:rPr>
            <a:t>Balance General</a:t>
          </a:r>
          <a:r>
            <a:rPr lang="es-CO" sz="1600" b="1" u="sng" baseline="0">
              <a:solidFill>
                <a:schemeClr val="accent3">
                  <a:lumMod val="50000"/>
                </a:schemeClr>
              </a:solidFill>
            </a:rPr>
            <a:t> </a:t>
          </a:r>
          <a:br>
            <a:rPr lang="es-CO" sz="1800" b="1" u="sng" baseline="0">
              <a:solidFill>
                <a:schemeClr val="accent3">
                  <a:lumMod val="50000"/>
                </a:schemeClr>
              </a:solidFill>
            </a:rPr>
          </a:br>
          <a:r>
            <a:rPr lang="es-CO" sz="1050" b="1" u="sng" baseline="0">
              <a:solidFill>
                <a:schemeClr val="accent3">
                  <a:lumMod val="50000"/>
                </a:schemeClr>
              </a:solidFill>
            </a:rPr>
            <a:t>31 de marzo de 2020</a:t>
          </a:r>
          <a:endParaRPr lang="es-CO" sz="1200" b="1" u="sng">
            <a:solidFill>
              <a:schemeClr val="accent3">
                <a:lumMod val="50000"/>
              </a:schemeClr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5</xdr:row>
      <xdr:rowOff>180975</xdr:rowOff>
    </xdr:from>
    <xdr:to>
      <xdr:col>21</xdr:col>
      <xdr:colOff>457200</xdr:colOff>
      <xdr:row>11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ipo día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í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58400" y="1095375"/>
              <a:ext cx="1533524" cy="9905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18</xdr:col>
      <xdr:colOff>533399</xdr:colOff>
      <xdr:row>0</xdr:row>
      <xdr:rowOff>133350</xdr:rowOff>
    </xdr:from>
    <xdr:to>
      <xdr:col>30</xdr:col>
      <xdr:colOff>133350</xdr:colOff>
      <xdr:row>21</xdr:row>
      <xdr:rowOff>9525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9753599" y="133350"/>
          <a:ext cx="10572751" cy="37909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19</xdr:col>
      <xdr:colOff>104775</xdr:colOff>
      <xdr:row>1</xdr:row>
      <xdr:rowOff>142875</xdr:rowOff>
    </xdr:from>
    <xdr:to>
      <xdr:col>20</xdr:col>
      <xdr:colOff>63876</xdr:colOff>
      <xdr:row>4</xdr:row>
      <xdr:rowOff>144671</xdr:rowOff>
    </xdr:to>
    <xdr:pic>
      <xdr:nvPicPr>
        <xdr:cNvPr id="8" name="Imagen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96800" y="323850"/>
          <a:ext cx="578225" cy="558329"/>
        </a:xfrm>
        <a:prstGeom prst="rect">
          <a:avLst/>
        </a:prstGeom>
      </xdr:spPr>
    </xdr:pic>
    <xdr:clientData/>
  </xdr:twoCellAnchor>
  <xdr:twoCellAnchor>
    <xdr:from>
      <xdr:col>6</xdr:col>
      <xdr:colOff>695324</xdr:colOff>
      <xdr:row>1</xdr:row>
      <xdr:rowOff>24848</xdr:rowOff>
    </xdr:from>
    <xdr:to>
      <xdr:col>18</xdr:col>
      <xdr:colOff>200024</xdr:colOff>
      <xdr:row>16</xdr:row>
      <xdr:rowOff>1656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28576</xdr:colOff>
      <xdr:row>18</xdr:row>
      <xdr:rowOff>45137</xdr:rowOff>
    </xdr:from>
    <xdr:to>
      <xdr:col>18</xdr:col>
      <xdr:colOff>484909</xdr:colOff>
      <xdr:row>44</xdr:row>
      <xdr:rowOff>66674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857250</xdr:colOff>
      <xdr:row>0</xdr:row>
      <xdr:rowOff>114300</xdr:rowOff>
    </xdr:from>
    <xdr:to>
      <xdr:col>2</xdr:col>
      <xdr:colOff>0</xdr:colOff>
      <xdr:row>2</xdr:row>
      <xdr:rowOff>123825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857250" y="114300"/>
          <a:ext cx="228600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2400" b="1" u="sng">
              <a:solidFill>
                <a:schemeClr val="accent3">
                  <a:lumMod val="50000"/>
                </a:schemeClr>
              </a:solidFill>
            </a:rPr>
            <a:t>Plan de pagos</a:t>
          </a:r>
        </a:p>
      </xdr:txBody>
    </xdr:sp>
    <xdr:clientData/>
  </xdr:twoCellAnchor>
  <xdr:twoCellAnchor editAs="oneCell">
    <xdr:from>
      <xdr:col>0</xdr:col>
      <xdr:colOff>190500</xdr:colOff>
      <xdr:row>0</xdr:row>
      <xdr:rowOff>76200</xdr:rowOff>
    </xdr:from>
    <xdr:to>
      <xdr:col>0</xdr:col>
      <xdr:colOff>659933</xdr:colOff>
      <xdr:row>2</xdr:row>
      <xdr:rowOff>171490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76200"/>
          <a:ext cx="469433" cy="4572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0</xdr:col>
      <xdr:colOff>587750</xdr:colOff>
      <xdr:row>2</xdr:row>
      <xdr:rowOff>43979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FA71A8-7A95-4B08-863B-30698B610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0"/>
          <a:ext cx="578225" cy="5678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ucursarl_Choriboni/Dashboard%20Choriboni%20Parrilla.xlsx" TargetMode="External"/><Relationship Id="rId2" Type="http://schemas.openxmlformats.org/officeDocument/2006/relationships/externalLinkPath" Target="file:///F:\2025_DigiLivo\GERENTE%20DE%20PROYECTOS\Proyecto%20Choriboni\Base%20Total_Choriboni%20Parrilla\Sucursarl_Choriboni\Dashboard%20Choriboni%20Parrilla.xlsx" TargetMode="External"/><Relationship Id="rId1" Type="http://schemas.openxmlformats.org/officeDocument/2006/relationships/externalLinkPath" Target="/2025_DigiLivo/GERENTE%20DE%20PROYECTOS/Proyecto%20Choriboni/Base%20Total_Choriboni%20Parrilla/Sucursarl_Choriboni/Dashboard%20Choriboni%20Parril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GRESOS"/>
      <sheetName val="sales"/>
      <sheetName val="entradas"/>
      <sheetName val="Informe"/>
      <sheetName val="historial de venta"/>
      <sheetName val="Informe_ventas"/>
      <sheetName val="Informe_dto"/>
      <sheetName val="Informe_dto_dia"/>
      <sheetName val="urls"/>
    </sheetNames>
    <sheetDataSet>
      <sheetData sheetId="0"/>
      <sheetData sheetId="1">
        <row r="7">
          <cell r="A7">
            <v>46076</v>
          </cell>
          <cell r="B7">
            <v>0.69208333333333338</v>
          </cell>
          <cell r="D7" t="str">
            <v xml:space="preserve"> Chorizo con papa/arepa</v>
          </cell>
          <cell r="G7">
            <v>2</v>
          </cell>
          <cell r="I7">
            <v>16000</v>
          </cell>
          <cell r="J7">
            <v>0</v>
          </cell>
          <cell r="K7">
            <v>16000</v>
          </cell>
          <cell r="L7">
            <v>4340</v>
          </cell>
        </row>
        <row r="8">
          <cell r="A8">
            <v>46076</v>
          </cell>
          <cell r="B8">
            <v>0.70967592592592588</v>
          </cell>
          <cell r="D8" t="str">
            <v xml:space="preserve"> Chorizo con papa/arepa</v>
          </cell>
          <cell r="G8">
            <v>1</v>
          </cell>
          <cell r="I8">
            <v>0</v>
          </cell>
          <cell r="K8">
            <v>8000</v>
          </cell>
          <cell r="L8">
            <v>4340</v>
          </cell>
        </row>
        <row r="9">
          <cell r="A9">
            <v>46076</v>
          </cell>
          <cell r="B9">
            <v>0.71737268518518515</v>
          </cell>
          <cell r="D9" t="str">
            <v xml:space="preserve"> Chorizo con papa/arepa</v>
          </cell>
          <cell r="G9">
            <v>2</v>
          </cell>
          <cell r="I9">
            <v>16000</v>
          </cell>
          <cell r="J9">
            <v>0</v>
          </cell>
          <cell r="K9">
            <v>16000</v>
          </cell>
          <cell r="L9">
            <v>4340</v>
          </cell>
        </row>
        <row r="10">
          <cell r="A10">
            <v>46076</v>
          </cell>
          <cell r="B10">
            <v>0.71737268518518515</v>
          </cell>
          <cell r="D10" t="str">
            <v>BEBIDA - Coca Cola</v>
          </cell>
          <cell r="G10">
            <v>2</v>
          </cell>
          <cell r="I10">
            <v>6000</v>
          </cell>
          <cell r="J10">
            <v>0</v>
          </cell>
          <cell r="K10">
            <v>6000</v>
          </cell>
          <cell r="L10">
            <v>1200</v>
          </cell>
        </row>
        <row r="11">
          <cell r="A11">
            <v>46076</v>
          </cell>
          <cell r="B11">
            <v>0.72047453703703701</v>
          </cell>
          <cell r="D11" t="str">
            <v xml:space="preserve"> Chorizo con papa/arepa</v>
          </cell>
          <cell r="G11">
            <v>3</v>
          </cell>
          <cell r="I11">
            <v>0</v>
          </cell>
          <cell r="J11">
            <v>24000</v>
          </cell>
          <cell r="K11">
            <v>24000</v>
          </cell>
          <cell r="L11">
            <v>4340</v>
          </cell>
        </row>
        <row r="12">
          <cell r="A12">
            <v>46076</v>
          </cell>
          <cell r="B12">
            <v>0.75028935185185186</v>
          </cell>
          <cell r="D12" t="str">
            <v xml:space="preserve"> Chorizo con papa/arepa</v>
          </cell>
          <cell r="G12">
            <v>2</v>
          </cell>
          <cell r="I12">
            <v>16000</v>
          </cell>
          <cell r="J12">
            <v>0</v>
          </cell>
          <cell r="K12">
            <v>16000</v>
          </cell>
          <cell r="L12">
            <v>4340</v>
          </cell>
        </row>
        <row r="13">
          <cell r="A13">
            <v>46076</v>
          </cell>
          <cell r="B13">
            <v>0.75028935185185186</v>
          </cell>
          <cell r="D13" t="str">
            <v>BEBIDA - Botella de Agua</v>
          </cell>
          <cell r="G13">
            <v>2</v>
          </cell>
          <cell r="I13">
            <v>7000</v>
          </cell>
          <cell r="J13">
            <v>0</v>
          </cell>
          <cell r="K13">
            <v>7000</v>
          </cell>
          <cell r="L13">
            <v>1416.67</v>
          </cell>
        </row>
        <row r="14">
          <cell r="A14">
            <v>46076</v>
          </cell>
          <cell r="B14">
            <v>0.7519675925925926</v>
          </cell>
          <cell r="D14" t="str">
            <v xml:space="preserve"> Chorizo con papa/arepa</v>
          </cell>
          <cell r="G14">
            <v>2</v>
          </cell>
          <cell r="I14">
            <v>16000</v>
          </cell>
          <cell r="J14">
            <v>0</v>
          </cell>
          <cell r="K14">
            <v>16000</v>
          </cell>
          <cell r="L14">
            <v>4340</v>
          </cell>
        </row>
        <row r="15">
          <cell r="A15">
            <v>46076</v>
          </cell>
          <cell r="B15">
            <v>0.7519675925925926</v>
          </cell>
          <cell r="D15" t="str">
            <v>BEBIDA - Postobón</v>
          </cell>
          <cell r="G15">
            <v>1</v>
          </cell>
          <cell r="I15">
            <v>3000</v>
          </cell>
          <cell r="J15">
            <v>0</v>
          </cell>
          <cell r="K15">
            <v>3000</v>
          </cell>
          <cell r="L15">
            <v>1133.33</v>
          </cell>
        </row>
        <row r="16">
          <cell r="A16">
            <v>46076</v>
          </cell>
          <cell r="B16">
            <v>0.78722222222222227</v>
          </cell>
          <cell r="D16" t="str">
            <v xml:space="preserve"> Chorizo con papa/arepa</v>
          </cell>
          <cell r="G16">
            <v>1</v>
          </cell>
          <cell r="I16">
            <v>8000</v>
          </cell>
          <cell r="J16">
            <v>0</v>
          </cell>
          <cell r="K16">
            <v>8000</v>
          </cell>
          <cell r="L16">
            <v>4340</v>
          </cell>
        </row>
        <row r="17">
          <cell r="A17">
            <v>46076</v>
          </cell>
          <cell r="B17">
            <v>0.79547453703703708</v>
          </cell>
          <cell r="D17" t="str">
            <v xml:space="preserve"> Chorizo con papa/arepa</v>
          </cell>
          <cell r="G17">
            <v>2</v>
          </cell>
          <cell r="I17">
            <v>16000</v>
          </cell>
          <cell r="J17">
            <v>0</v>
          </cell>
          <cell r="K17">
            <v>16000</v>
          </cell>
          <cell r="L17">
            <v>4340</v>
          </cell>
        </row>
        <row r="18">
          <cell r="A18">
            <v>46076</v>
          </cell>
          <cell r="B18">
            <v>0.79547453703703708</v>
          </cell>
          <cell r="D18" t="str">
            <v>BEBIDA - Coca Cola</v>
          </cell>
          <cell r="G18">
            <v>2</v>
          </cell>
          <cell r="I18">
            <v>6000</v>
          </cell>
          <cell r="J18">
            <v>0</v>
          </cell>
          <cell r="K18">
            <v>6000</v>
          </cell>
          <cell r="L18">
            <v>1200</v>
          </cell>
        </row>
        <row r="19">
          <cell r="A19">
            <v>46076</v>
          </cell>
          <cell r="B19">
            <v>0.81828703703703709</v>
          </cell>
          <cell r="D19" t="str">
            <v xml:space="preserve"> Chorizo con papa/arepa</v>
          </cell>
          <cell r="G19">
            <v>3</v>
          </cell>
          <cell r="I19">
            <v>24000</v>
          </cell>
          <cell r="J19">
            <v>0</v>
          </cell>
          <cell r="K19">
            <v>24000</v>
          </cell>
          <cell r="L19">
            <v>4340</v>
          </cell>
        </row>
        <row r="20">
          <cell r="A20">
            <v>46076</v>
          </cell>
          <cell r="B20">
            <v>0.84164351851851849</v>
          </cell>
          <cell r="D20" t="str">
            <v xml:space="preserve"> Chorizo con papa/arepa</v>
          </cell>
          <cell r="G20">
            <v>1</v>
          </cell>
          <cell r="I20">
            <v>8000</v>
          </cell>
          <cell r="J20">
            <v>0</v>
          </cell>
          <cell r="K20">
            <v>8000</v>
          </cell>
          <cell r="L20">
            <v>4340</v>
          </cell>
        </row>
        <row r="21">
          <cell r="A21">
            <v>46076</v>
          </cell>
          <cell r="B21">
            <v>0.84385416666666668</v>
          </cell>
          <cell r="D21" t="str">
            <v xml:space="preserve"> Chorizo con papa/arepa</v>
          </cell>
          <cell r="G21">
            <v>1</v>
          </cell>
          <cell r="I21">
            <v>8000</v>
          </cell>
          <cell r="J21">
            <v>0</v>
          </cell>
          <cell r="K21">
            <v>8000</v>
          </cell>
          <cell r="L21">
            <v>4340</v>
          </cell>
        </row>
        <row r="22">
          <cell r="A22">
            <v>46076</v>
          </cell>
          <cell r="B22">
            <v>0.84565972222222219</v>
          </cell>
          <cell r="D22" t="str">
            <v xml:space="preserve"> Chorizo con papa/arepa</v>
          </cell>
          <cell r="G22">
            <v>1</v>
          </cell>
          <cell r="I22">
            <v>8000</v>
          </cell>
          <cell r="J22">
            <v>0</v>
          </cell>
          <cell r="K22">
            <v>8000</v>
          </cell>
          <cell r="L22">
            <v>4340</v>
          </cell>
        </row>
        <row r="23">
          <cell r="A23">
            <v>46076</v>
          </cell>
          <cell r="B23">
            <v>0.84565972222222219</v>
          </cell>
          <cell r="D23" t="str">
            <v>BEBIDA - Postobón</v>
          </cell>
          <cell r="G23">
            <v>1</v>
          </cell>
          <cell r="I23">
            <v>3000</v>
          </cell>
          <cell r="J23">
            <v>0</v>
          </cell>
          <cell r="K23">
            <v>3000</v>
          </cell>
          <cell r="L23">
            <v>1133.33</v>
          </cell>
        </row>
        <row r="24">
          <cell r="A24">
            <v>46076</v>
          </cell>
          <cell r="B24">
            <v>0.85024305555555557</v>
          </cell>
          <cell r="D24" t="str">
            <v xml:space="preserve"> Chorizo con papa/arepa</v>
          </cell>
          <cell r="G24">
            <v>3</v>
          </cell>
          <cell r="I24">
            <v>24000</v>
          </cell>
          <cell r="J24">
            <v>0</v>
          </cell>
          <cell r="K24">
            <v>24000</v>
          </cell>
          <cell r="L24">
            <v>4340</v>
          </cell>
        </row>
        <row r="25">
          <cell r="A25">
            <v>46076</v>
          </cell>
          <cell r="B25">
            <v>0.85265046296296299</v>
          </cell>
          <cell r="D25" t="str">
            <v xml:space="preserve"> Chorizo con papa/arepa</v>
          </cell>
          <cell r="G25">
            <v>1</v>
          </cell>
          <cell r="I25">
            <v>8000</v>
          </cell>
          <cell r="J25">
            <v>0</v>
          </cell>
          <cell r="K25">
            <v>8000</v>
          </cell>
          <cell r="L25">
            <v>4340</v>
          </cell>
        </row>
        <row r="26">
          <cell r="A26">
            <v>46077</v>
          </cell>
          <cell r="B26">
            <v>0.64868055555555559</v>
          </cell>
          <cell r="D26" t="str">
            <v xml:space="preserve"> Chorizo con papa/arepa</v>
          </cell>
          <cell r="G26">
            <v>5</v>
          </cell>
          <cell r="I26">
            <v>40000</v>
          </cell>
          <cell r="J26">
            <v>0</v>
          </cell>
          <cell r="K26">
            <v>40000</v>
          </cell>
          <cell r="L26">
            <v>4340</v>
          </cell>
        </row>
        <row r="27">
          <cell r="A27">
            <v>46077</v>
          </cell>
          <cell r="B27">
            <v>0.64935185185185185</v>
          </cell>
          <cell r="D27" t="str">
            <v xml:space="preserve"> Chorizo con papa/arepa</v>
          </cell>
          <cell r="G27">
            <v>3</v>
          </cell>
          <cell r="I27">
            <v>24000</v>
          </cell>
          <cell r="J27">
            <v>0</v>
          </cell>
          <cell r="K27">
            <v>24000</v>
          </cell>
          <cell r="L27">
            <v>4340</v>
          </cell>
        </row>
        <row r="28">
          <cell r="A28">
            <v>46077</v>
          </cell>
          <cell r="B28">
            <v>0.74003472222222222</v>
          </cell>
          <cell r="D28" t="str">
            <v xml:space="preserve"> Chorizo con papa/arepa</v>
          </cell>
          <cell r="G28">
            <v>1</v>
          </cell>
          <cell r="I28">
            <v>8000</v>
          </cell>
          <cell r="J28">
            <v>0</v>
          </cell>
          <cell r="K28">
            <v>8000</v>
          </cell>
          <cell r="L28">
            <v>4340</v>
          </cell>
        </row>
        <row r="29">
          <cell r="A29">
            <v>46077</v>
          </cell>
          <cell r="B29">
            <v>0.75960648148148147</v>
          </cell>
          <cell r="D29" t="str">
            <v xml:space="preserve"> Chorizo con papa/arepa</v>
          </cell>
          <cell r="G29">
            <v>1</v>
          </cell>
          <cell r="I29">
            <v>8000</v>
          </cell>
          <cell r="J29">
            <v>0</v>
          </cell>
          <cell r="K29">
            <v>8000</v>
          </cell>
          <cell r="L29">
            <v>4340</v>
          </cell>
        </row>
        <row r="30">
          <cell r="A30">
            <v>46077</v>
          </cell>
          <cell r="B30">
            <v>0.77417824074074071</v>
          </cell>
          <cell r="D30" t="str">
            <v xml:space="preserve"> Chorizo con papa/arepa</v>
          </cell>
          <cell r="G30">
            <v>2</v>
          </cell>
          <cell r="I30">
            <v>16000</v>
          </cell>
          <cell r="J30">
            <v>0</v>
          </cell>
          <cell r="K30">
            <v>16000</v>
          </cell>
          <cell r="L30">
            <v>4340</v>
          </cell>
        </row>
        <row r="31">
          <cell r="A31">
            <v>46077</v>
          </cell>
          <cell r="B31">
            <v>0.7751851851851852</v>
          </cell>
          <cell r="D31" t="str">
            <v xml:space="preserve"> Chorizo con papa/arepa</v>
          </cell>
          <cell r="G31">
            <v>1</v>
          </cell>
          <cell r="I31">
            <v>8000</v>
          </cell>
          <cell r="J31">
            <v>0</v>
          </cell>
          <cell r="K31">
            <v>8000</v>
          </cell>
          <cell r="L31">
            <v>4340</v>
          </cell>
        </row>
        <row r="32">
          <cell r="A32">
            <v>46077</v>
          </cell>
          <cell r="B32">
            <v>0.77952546296296299</v>
          </cell>
          <cell r="D32" t="str">
            <v xml:space="preserve"> Chorizo con papa/arepa</v>
          </cell>
          <cell r="G32">
            <v>1</v>
          </cell>
          <cell r="I32">
            <v>8000</v>
          </cell>
          <cell r="J32">
            <v>0</v>
          </cell>
          <cell r="K32">
            <v>8000</v>
          </cell>
          <cell r="L32">
            <v>4340</v>
          </cell>
        </row>
        <row r="33">
          <cell r="A33">
            <v>46077</v>
          </cell>
          <cell r="B33">
            <v>0.77952546296296299</v>
          </cell>
          <cell r="D33" t="str">
            <v>z. MP -  Chorizo CRUDO</v>
          </cell>
          <cell r="G33">
            <v>2</v>
          </cell>
          <cell r="I33">
            <v>9000</v>
          </cell>
          <cell r="J33">
            <v>0</v>
          </cell>
          <cell r="K33">
            <v>9000</v>
          </cell>
          <cell r="L33">
            <v>3500</v>
          </cell>
        </row>
        <row r="34">
          <cell r="A34">
            <v>46077</v>
          </cell>
          <cell r="B34">
            <v>0.79715277777777782</v>
          </cell>
          <cell r="D34" t="str">
            <v xml:space="preserve"> Chorizo con papa/arepa</v>
          </cell>
          <cell r="G34">
            <v>1</v>
          </cell>
          <cell r="I34">
            <v>8000</v>
          </cell>
          <cell r="J34">
            <v>0</v>
          </cell>
          <cell r="K34">
            <v>8000</v>
          </cell>
          <cell r="L34">
            <v>4340</v>
          </cell>
        </row>
        <row r="35">
          <cell r="A35">
            <v>46077</v>
          </cell>
          <cell r="B35">
            <v>0.83438657407407413</v>
          </cell>
          <cell r="D35" t="str">
            <v xml:space="preserve"> Chorizo con papa/arepa</v>
          </cell>
          <cell r="G35">
            <v>1</v>
          </cell>
          <cell r="I35">
            <v>0</v>
          </cell>
          <cell r="J35">
            <v>8000</v>
          </cell>
          <cell r="K35">
            <v>8000</v>
          </cell>
          <cell r="L35">
            <v>4340</v>
          </cell>
        </row>
        <row r="36">
          <cell r="A36">
            <v>46077</v>
          </cell>
          <cell r="B36">
            <v>0.83438657407407413</v>
          </cell>
          <cell r="D36" t="str">
            <v>BEBIDA - Coca Cola</v>
          </cell>
          <cell r="G36">
            <v>1</v>
          </cell>
          <cell r="I36">
            <v>0</v>
          </cell>
          <cell r="J36">
            <v>3000</v>
          </cell>
          <cell r="K36">
            <v>3000</v>
          </cell>
          <cell r="L36">
            <v>1200</v>
          </cell>
        </row>
        <row r="37">
          <cell r="A37">
            <v>46077</v>
          </cell>
          <cell r="B37">
            <v>0.83687500000000004</v>
          </cell>
          <cell r="D37" t="str">
            <v xml:space="preserve"> Chorizo con papa/arepa</v>
          </cell>
          <cell r="G37">
            <v>1</v>
          </cell>
          <cell r="I37">
            <v>8000</v>
          </cell>
          <cell r="J37">
            <v>0</v>
          </cell>
          <cell r="K37">
            <v>8000</v>
          </cell>
          <cell r="L37">
            <v>4340</v>
          </cell>
        </row>
        <row r="38">
          <cell r="A38">
            <v>46077</v>
          </cell>
          <cell r="B38">
            <v>0.84701388888888884</v>
          </cell>
          <cell r="D38" t="str">
            <v xml:space="preserve"> Chorizo con papa/arepa</v>
          </cell>
          <cell r="G38">
            <v>3</v>
          </cell>
          <cell r="I38">
            <v>24000</v>
          </cell>
          <cell r="J38">
            <v>0</v>
          </cell>
          <cell r="K38">
            <v>24000</v>
          </cell>
          <cell r="L38">
            <v>4340</v>
          </cell>
        </row>
        <row r="39">
          <cell r="A39">
            <v>46077</v>
          </cell>
          <cell r="B39">
            <v>0.84701388888888884</v>
          </cell>
          <cell r="D39" t="str">
            <v>BEBIDA - Botella de Agua</v>
          </cell>
          <cell r="G39">
            <v>1</v>
          </cell>
          <cell r="I39">
            <v>3500</v>
          </cell>
          <cell r="J39">
            <v>0</v>
          </cell>
          <cell r="K39">
            <v>3500</v>
          </cell>
          <cell r="L39">
            <v>1416.67</v>
          </cell>
        </row>
        <row r="40">
          <cell r="A40">
            <v>46077</v>
          </cell>
          <cell r="B40">
            <v>0.84701388888888884</v>
          </cell>
          <cell r="D40" t="str">
            <v>BEBIDA - Postobón</v>
          </cell>
          <cell r="G40">
            <v>1</v>
          </cell>
          <cell r="I40">
            <v>3000</v>
          </cell>
          <cell r="J40">
            <v>0</v>
          </cell>
          <cell r="K40">
            <v>3000</v>
          </cell>
          <cell r="L40">
            <v>1133.33</v>
          </cell>
        </row>
        <row r="41">
          <cell r="A41">
            <v>46077</v>
          </cell>
          <cell r="B41">
            <v>0.84987268518518522</v>
          </cell>
          <cell r="D41" t="str">
            <v xml:space="preserve"> Chorizo con papa/arepa</v>
          </cell>
          <cell r="G41">
            <v>4</v>
          </cell>
          <cell r="I41">
            <v>32000</v>
          </cell>
          <cell r="J41">
            <v>0</v>
          </cell>
          <cell r="K41">
            <v>32000</v>
          </cell>
          <cell r="L41">
            <v>4340</v>
          </cell>
        </row>
        <row r="42">
          <cell r="A42">
            <v>46077</v>
          </cell>
          <cell r="B42">
            <v>0.84987268518518522</v>
          </cell>
          <cell r="D42" t="str">
            <v>BEBIDA - Coca Cola</v>
          </cell>
          <cell r="G42">
            <v>2</v>
          </cell>
          <cell r="I42">
            <v>6000</v>
          </cell>
          <cell r="J42">
            <v>0</v>
          </cell>
          <cell r="K42">
            <v>6000</v>
          </cell>
          <cell r="L42">
            <v>1200</v>
          </cell>
        </row>
        <row r="43">
          <cell r="A43">
            <v>46077</v>
          </cell>
          <cell r="B43">
            <v>0.86760416666666662</v>
          </cell>
          <cell r="D43" t="str">
            <v xml:space="preserve"> Chorizo con papa/arepa</v>
          </cell>
          <cell r="G43">
            <v>1</v>
          </cell>
          <cell r="I43">
            <v>8000</v>
          </cell>
          <cell r="J43">
            <v>0</v>
          </cell>
          <cell r="K43">
            <v>8000</v>
          </cell>
          <cell r="L43">
            <v>4340</v>
          </cell>
        </row>
        <row r="44">
          <cell r="A44">
            <v>46078</v>
          </cell>
          <cell r="B44">
            <v>0.57804398148148151</v>
          </cell>
          <cell r="D44" t="str">
            <v xml:space="preserve"> Chorizo con papa/arepa</v>
          </cell>
          <cell r="G44">
            <v>1</v>
          </cell>
          <cell r="I44">
            <v>8000</v>
          </cell>
          <cell r="J44">
            <v>0</v>
          </cell>
          <cell r="K44">
            <v>8000</v>
          </cell>
          <cell r="L44">
            <v>4340</v>
          </cell>
        </row>
        <row r="45">
          <cell r="A45">
            <v>46078</v>
          </cell>
          <cell r="B45">
            <v>0.57990740740740743</v>
          </cell>
          <cell r="D45" t="str">
            <v xml:space="preserve"> Chorizo con papa/arepa</v>
          </cell>
          <cell r="G45">
            <v>1</v>
          </cell>
          <cell r="I45">
            <v>8000</v>
          </cell>
          <cell r="J45">
            <v>0</v>
          </cell>
          <cell r="K45">
            <v>8000</v>
          </cell>
          <cell r="L45">
            <v>4340</v>
          </cell>
        </row>
        <row r="46">
          <cell r="A46">
            <v>46078</v>
          </cell>
          <cell r="B46">
            <v>0.58693287037037034</v>
          </cell>
          <cell r="D46" t="str">
            <v xml:space="preserve"> Chorizo con papa/arepa</v>
          </cell>
          <cell r="G46">
            <v>1</v>
          </cell>
          <cell r="I46">
            <v>8000</v>
          </cell>
          <cell r="J46">
            <v>0</v>
          </cell>
          <cell r="K46">
            <v>8000</v>
          </cell>
          <cell r="L46">
            <v>4340</v>
          </cell>
        </row>
        <row r="47">
          <cell r="A47">
            <v>46078</v>
          </cell>
          <cell r="B47">
            <v>0.59138888888888885</v>
          </cell>
          <cell r="D47" t="str">
            <v>Parrillada de 35</v>
          </cell>
          <cell r="G47">
            <v>1</v>
          </cell>
          <cell r="I47">
            <v>35000</v>
          </cell>
          <cell r="J47">
            <v>0</v>
          </cell>
          <cell r="K47">
            <v>35000</v>
          </cell>
          <cell r="L47">
            <v>1000000</v>
          </cell>
        </row>
        <row r="48">
          <cell r="A48">
            <v>46078</v>
          </cell>
          <cell r="B48">
            <v>0.60063657407407411</v>
          </cell>
          <cell r="D48" t="str">
            <v>Parrillada de 35</v>
          </cell>
          <cell r="G48">
            <v>1</v>
          </cell>
          <cell r="I48">
            <v>35000</v>
          </cell>
          <cell r="J48">
            <v>0</v>
          </cell>
          <cell r="K48">
            <v>35000</v>
          </cell>
          <cell r="L48">
            <v>1000000</v>
          </cell>
        </row>
        <row r="49">
          <cell r="A49">
            <v>46078</v>
          </cell>
          <cell r="B49">
            <v>0.6012615740740741</v>
          </cell>
          <cell r="D49" t="str">
            <v xml:space="preserve"> Chorizo con papa/arepa</v>
          </cell>
          <cell r="G49">
            <v>2</v>
          </cell>
          <cell r="I49">
            <v>16000</v>
          </cell>
          <cell r="J49">
            <v>0</v>
          </cell>
          <cell r="K49">
            <v>16000</v>
          </cell>
          <cell r="L49">
            <v>4340</v>
          </cell>
        </row>
        <row r="50">
          <cell r="A50">
            <v>46078</v>
          </cell>
          <cell r="B50">
            <v>0.69451388888888888</v>
          </cell>
          <cell r="D50" t="str">
            <v xml:space="preserve"> Chorizo con papa/arepa</v>
          </cell>
          <cell r="G50">
            <v>1</v>
          </cell>
          <cell r="I50">
            <v>8000</v>
          </cell>
          <cell r="J50">
            <v>0</v>
          </cell>
          <cell r="K50">
            <v>8000</v>
          </cell>
          <cell r="L50">
            <v>4340</v>
          </cell>
        </row>
        <row r="51">
          <cell r="A51">
            <v>46078</v>
          </cell>
          <cell r="B51">
            <v>0.69530092592592596</v>
          </cell>
          <cell r="D51" t="str">
            <v xml:space="preserve"> Chorizo con papa/arepa</v>
          </cell>
          <cell r="G51">
            <v>1</v>
          </cell>
          <cell r="I51">
            <v>0</v>
          </cell>
          <cell r="J51">
            <v>8000</v>
          </cell>
          <cell r="K51">
            <v>8000</v>
          </cell>
          <cell r="L51">
            <v>4340</v>
          </cell>
        </row>
        <row r="52">
          <cell r="A52">
            <v>46078</v>
          </cell>
          <cell r="B52">
            <v>0.76214120370370375</v>
          </cell>
          <cell r="D52" t="str">
            <v xml:space="preserve"> Chorizo con papa/arepa</v>
          </cell>
          <cell r="G52">
            <v>1</v>
          </cell>
          <cell r="I52">
            <v>8000</v>
          </cell>
          <cell r="J52">
            <v>0</v>
          </cell>
          <cell r="K52">
            <v>8000</v>
          </cell>
          <cell r="L52">
            <v>4340</v>
          </cell>
        </row>
        <row r="53">
          <cell r="A53">
            <v>46078</v>
          </cell>
          <cell r="B53">
            <v>0.76402777777777775</v>
          </cell>
          <cell r="D53" t="str">
            <v xml:space="preserve"> Chorizo con papa/arepa</v>
          </cell>
          <cell r="G53">
            <v>1</v>
          </cell>
          <cell r="I53">
            <v>8000</v>
          </cell>
          <cell r="J53">
            <v>0</v>
          </cell>
          <cell r="K53">
            <v>8000</v>
          </cell>
          <cell r="L53">
            <v>4340</v>
          </cell>
        </row>
        <row r="54">
          <cell r="A54">
            <v>46078</v>
          </cell>
          <cell r="B54">
            <v>0.76837962962962958</v>
          </cell>
          <cell r="D54" t="str">
            <v xml:space="preserve"> Chorizo con papa/arepa</v>
          </cell>
          <cell r="G54">
            <v>1</v>
          </cell>
          <cell r="I54">
            <v>8000</v>
          </cell>
          <cell r="J54">
            <v>0</v>
          </cell>
          <cell r="K54">
            <v>8000</v>
          </cell>
          <cell r="L54">
            <v>4340</v>
          </cell>
        </row>
        <row r="55">
          <cell r="A55">
            <v>46078</v>
          </cell>
          <cell r="B55">
            <v>0.77375000000000005</v>
          </cell>
          <cell r="D55" t="str">
            <v xml:space="preserve"> Chorizo con papa/arepa</v>
          </cell>
          <cell r="G55">
            <v>5</v>
          </cell>
          <cell r="I55">
            <v>40000</v>
          </cell>
          <cell r="J55">
            <v>0</v>
          </cell>
          <cell r="K55">
            <v>40000</v>
          </cell>
          <cell r="L55">
            <v>4340</v>
          </cell>
        </row>
        <row r="56">
          <cell r="A56">
            <v>46078</v>
          </cell>
          <cell r="B56">
            <v>0.77424768518518516</v>
          </cell>
          <cell r="D56" t="str">
            <v>BEBIDA - Coca Cola</v>
          </cell>
          <cell r="G56">
            <v>2</v>
          </cell>
          <cell r="I56">
            <v>6000</v>
          </cell>
          <cell r="J56">
            <v>0</v>
          </cell>
          <cell r="K56">
            <v>6000</v>
          </cell>
          <cell r="L56">
            <v>1200</v>
          </cell>
        </row>
        <row r="57">
          <cell r="A57">
            <v>46078</v>
          </cell>
          <cell r="B57">
            <v>0.77424768518518516</v>
          </cell>
          <cell r="D57" t="str">
            <v>BEBIDA - Postobón</v>
          </cell>
          <cell r="G57">
            <v>1</v>
          </cell>
          <cell r="I57">
            <v>3000</v>
          </cell>
          <cell r="J57">
            <v>0</v>
          </cell>
          <cell r="K57">
            <v>3000</v>
          </cell>
          <cell r="L57">
            <v>1133.33</v>
          </cell>
        </row>
        <row r="58">
          <cell r="A58">
            <v>46078</v>
          </cell>
          <cell r="B58">
            <v>0.77776620370370375</v>
          </cell>
          <cell r="D58" t="str">
            <v xml:space="preserve"> Chorizo con papa/arepa</v>
          </cell>
          <cell r="G58">
            <v>3</v>
          </cell>
          <cell r="I58">
            <v>24000</v>
          </cell>
          <cell r="J58">
            <v>0</v>
          </cell>
          <cell r="K58">
            <v>24000</v>
          </cell>
          <cell r="L58">
            <v>4340</v>
          </cell>
        </row>
        <row r="59">
          <cell r="A59">
            <v>46078</v>
          </cell>
          <cell r="B59">
            <v>0.79901620370370374</v>
          </cell>
          <cell r="D59" t="str">
            <v xml:space="preserve"> Chorizo con papa/arepa</v>
          </cell>
          <cell r="G59">
            <v>1</v>
          </cell>
          <cell r="I59">
            <v>0</v>
          </cell>
          <cell r="J59">
            <v>8000</v>
          </cell>
          <cell r="K59">
            <v>8000</v>
          </cell>
          <cell r="L59">
            <v>4340</v>
          </cell>
        </row>
        <row r="60">
          <cell r="A60">
            <v>46078</v>
          </cell>
          <cell r="B60">
            <v>0.80049768518518516</v>
          </cell>
          <cell r="D60" t="str">
            <v xml:space="preserve"> Chorizo con papa/arepa</v>
          </cell>
          <cell r="G60">
            <v>1</v>
          </cell>
          <cell r="I60">
            <v>8000</v>
          </cell>
          <cell r="J60">
            <v>0</v>
          </cell>
          <cell r="K60">
            <v>8000</v>
          </cell>
          <cell r="L60">
            <v>4340</v>
          </cell>
        </row>
        <row r="61">
          <cell r="A61">
            <v>46078</v>
          </cell>
          <cell r="B61">
            <v>0.80049768518518516</v>
          </cell>
          <cell r="D61" t="str">
            <v>BEBIDA - Coca Cola</v>
          </cell>
          <cell r="G61">
            <v>1</v>
          </cell>
          <cell r="I61">
            <v>3000</v>
          </cell>
          <cell r="J61">
            <v>0</v>
          </cell>
          <cell r="K61">
            <v>3000</v>
          </cell>
          <cell r="L61">
            <v>1200</v>
          </cell>
        </row>
        <row r="62">
          <cell r="A62">
            <v>46078</v>
          </cell>
          <cell r="B62">
            <v>0.80687500000000001</v>
          </cell>
          <cell r="D62" t="str">
            <v>z. MP -  Chorizo CRUDO</v>
          </cell>
          <cell r="G62">
            <v>5</v>
          </cell>
          <cell r="I62">
            <v>0</v>
          </cell>
          <cell r="J62">
            <v>22500</v>
          </cell>
          <cell r="K62">
            <v>22500</v>
          </cell>
          <cell r="L62">
            <v>3500</v>
          </cell>
        </row>
        <row r="63">
          <cell r="A63">
            <v>46078</v>
          </cell>
          <cell r="B63">
            <v>0.81111111111111112</v>
          </cell>
          <cell r="D63" t="str">
            <v xml:space="preserve"> Chorizo con papa/arepa</v>
          </cell>
          <cell r="G63">
            <v>2</v>
          </cell>
          <cell r="I63">
            <v>0</v>
          </cell>
          <cell r="J63">
            <v>16000</v>
          </cell>
          <cell r="K63">
            <v>16000</v>
          </cell>
          <cell r="L63">
            <v>4340</v>
          </cell>
        </row>
        <row r="64">
          <cell r="A64">
            <v>46078</v>
          </cell>
          <cell r="B64">
            <v>0.8189467592592593</v>
          </cell>
          <cell r="D64" t="str">
            <v>BEBIDA - Postobón</v>
          </cell>
          <cell r="G64">
            <v>1</v>
          </cell>
          <cell r="I64">
            <v>3000</v>
          </cell>
          <cell r="J64">
            <v>0</v>
          </cell>
          <cell r="K64">
            <v>3000</v>
          </cell>
          <cell r="L64">
            <v>1133.33</v>
          </cell>
        </row>
        <row r="65">
          <cell r="A65">
            <v>46078</v>
          </cell>
          <cell r="B65">
            <v>0.8189467592592593</v>
          </cell>
          <cell r="D65" t="str">
            <v>Parrillada de 35</v>
          </cell>
          <cell r="G65">
            <v>1</v>
          </cell>
          <cell r="I65">
            <v>35000</v>
          </cell>
          <cell r="J65">
            <v>0</v>
          </cell>
          <cell r="K65">
            <v>35000</v>
          </cell>
          <cell r="L65">
            <v>1000000</v>
          </cell>
        </row>
        <row r="66">
          <cell r="A66">
            <v>46078</v>
          </cell>
          <cell r="B66">
            <v>0.8197916666666667</v>
          </cell>
          <cell r="D66" t="str">
            <v xml:space="preserve"> Chorizo con papa/arepa</v>
          </cell>
          <cell r="G66">
            <v>2</v>
          </cell>
          <cell r="I66">
            <v>16000</v>
          </cell>
          <cell r="J66">
            <v>0</v>
          </cell>
          <cell r="K66">
            <v>16000</v>
          </cell>
          <cell r="L66">
            <v>4340</v>
          </cell>
        </row>
        <row r="67">
          <cell r="A67">
            <v>46078</v>
          </cell>
          <cell r="B67">
            <v>0.83253472222222225</v>
          </cell>
          <cell r="D67" t="str">
            <v xml:space="preserve"> Chorizo con papa/arepa</v>
          </cell>
          <cell r="G67">
            <v>2</v>
          </cell>
          <cell r="I67">
            <v>16000</v>
          </cell>
          <cell r="J67">
            <v>0</v>
          </cell>
          <cell r="K67">
            <v>16000</v>
          </cell>
          <cell r="L67">
            <v>4340</v>
          </cell>
        </row>
        <row r="68">
          <cell r="A68">
            <v>46078</v>
          </cell>
          <cell r="B68">
            <v>0.83809027777777778</v>
          </cell>
          <cell r="D68" t="str">
            <v xml:space="preserve"> Chorizo con papa/arepa</v>
          </cell>
          <cell r="G68">
            <v>4</v>
          </cell>
          <cell r="I68">
            <v>32000</v>
          </cell>
          <cell r="J68">
            <v>0</v>
          </cell>
          <cell r="K68">
            <v>32000</v>
          </cell>
          <cell r="L68">
            <v>4340</v>
          </cell>
        </row>
        <row r="69">
          <cell r="A69">
            <v>46078</v>
          </cell>
          <cell r="B69">
            <v>0.84167824074074071</v>
          </cell>
          <cell r="D69" t="str">
            <v xml:space="preserve"> Chorizo con papa/arepa</v>
          </cell>
          <cell r="G69">
            <v>1</v>
          </cell>
          <cell r="I69">
            <v>0</v>
          </cell>
          <cell r="J69">
            <v>8000</v>
          </cell>
          <cell r="K69">
            <v>8000</v>
          </cell>
          <cell r="L69">
            <v>4340</v>
          </cell>
        </row>
        <row r="70">
          <cell r="A70">
            <v>46078</v>
          </cell>
          <cell r="B70">
            <v>0.84804398148148152</v>
          </cell>
          <cell r="D70" t="str">
            <v xml:space="preserve"> Chorizo con papa/arepa</v>
          </cell>
          <cell r="G70">
            <v>2</v>
          </cell>
          <cell r="I70">
            <v>16000</v>
          </cell>
          <cell r="J70">
            <v>0</v>
          </cell>
          <cell r="K70">
            <v>16000</v>
          </cell>
          <cell r="L70">
            <v>4340</v>
          </cell>
        </row>
        <row r="71">
          <cell r="A71">
            <v>46079</v>
          </cell>
          <cell r="B71">
            <v>0.55702546296296296</v>
          </cell>
          <cell r="D71" t="str">
            <v>z. MP -  Chorizo CRUDO</v>
          </cell>
          <cell r="G71">
            <v>2</v>
          </cell>
          <cell r="I71">
            <v>9000</v>
          </cell>
          <cell r="J71">
            <v>0</v>
          </cell>
          <cell r="K71">
            <v>9000</v>
          </cell>
          <cell r="L71">
            <v>3500</v>
          </cell>
        </row>
        <row r="72">
          <cell r="A72">
            <v>46079</v>
          </cell>
          <cell r="B72">
            <v>0.56067129629629631</v>
          </cell>
          <cell r="D72" t="str">
            <v xml:space="preserve"> Chorizo con papa/arepa</v>
          </cell>
          <cell r="G72">
            <v>2</v>
          </cell>
          <cell r="I72">
            <v>16000</v>
          </cell>
          <cell r="J72">
            <v>0</v>
          </cell>
          <cell r="K72">
            <v>16000</v>
          </cell>
          <cell r="L72">
            <v>4340</v>
          </cell>
        </row>
        <row r="73">
          <cell r="A73">
            <v>46079</v>
          </cell>
          <cell r="B73">
            <v>0.63410879629629635</v>
          </cell>
          <cell r="D73" t="str">
            <v>Bandeja Choriboni - 25</v>
          </cell>
          <cell r="G73">
            <v>1</v>
          </cell>
          <cell r="I73">
            <v>0</v>
          </cell>
          <cell r="J73">
            <v>25000</v>
          </cell>
          <cell r="K73">
            <v>25000</v>
          </cell>
          <cell r="L73">
            <v>4340</v>
          </cell>
        </row>
        <row r="74">
          <cell r="A74">
            <v>46079</v>
          </cell>
          <cell r="B74">
            <v>0.72755787037037034</v>
          </cell>
          <cell r="D74" t="str">
            <v xml:space="preserve"> Chorizo con papa/arepa</v>
          </cell>
          <cell r="G74">
            <v>5</v>
          </cell>
          <cell r="I74">
            <v>0</v>
          </cell>
          <cell r="J74">
            <v>40000</v>
          </cell>
          <cell r="K74">
            <v>40000</v>
          </cell>
          <cell r="L74">
            <v>4340</v>
          </cell>
        </row>
        <row r="75">
          <cell r="A75">
            <v>46079</v>
          </cell>
          <cell r="B75">
            <v>0.72755787037037034</v>
          </cell>
          <cell r="D75" t="str">
            <v>BEBIDA - Postobón</v>
          </cell>
          <cell r="G75">
            <v>3</v>
          </cell>
          <cell r="I75">
            <v>0</v>
          </cell>
          <cell r="J75">
            <v>9000</v>
          </cell>
          <cell r="K75">
            <v>9000</v>
          </cell>
          <cell r="L75">
            <v>1133.33</v>
          </cell>
        </row>
        <row r="76">
          <cell r="A76">
            <v>46079</v>
          </cell>
          <cell r="B76">
            <v>0.75289351851851849</v>
          </cell>
          <cell r="D76" t="str">
            <v xml:space="preserve"> Chorizo con papa/arepa</v>
          </cell>
          <cell r="G76">
            <v>1</v>
          </cell>
          <cell r="I76">
            <v>8000</v>
          </cell>
          <cell r="J76">
            <v>0</v>
          </cell>
          <cell r="K76">
            <v>8000</v>
          </cell>
          <cell r="L76">
            <v>4340</v>
          </cell>
        </row>
        <row r="77">
          <cell r="A77">
            <v>46079</v>
          </cell>
          <cell r="B77">
            <v>0.7630555555555556</v>
          </cell>
          <cell r="D77" t="str">
            <v xml:space="preserve"> Chorizo con papa/arepa</v>
          </cell>
          <cell r="G77">
            <v>1</v>
          </cell>
          <cell r="I77">
            <v>0</v>
          </cell>
          <cell r="J77">
            <v>8000</v>
          </cell>
          <cell r="K77">
            <v>8000</v>
          </cell>
          <cell r="L77">
            <v>4340</v>
          </cell>
        </row>
        <row r="78">
          <cell r="A78">
            <v>46079</v>
          </cell>
          <cell r="B78">
            <v>0.76405092592592594</v>
          </cell>
          <cell r="D78" t="str">
            <v xml:space="preserve"> Chorizo con papa/arepa</v>
          </cell>
          <cell r="G78">
            <v>1</v>
          </cell>
          <cell r="I78">
            <v>8000</v>
          </cell>
          <cell r="J78">
            <v>0</v>
          </cell>
          <cell r="K78">
            <v>8000</v>
          </cell>
          <cell r="L78">
            <v>4340</v>
          </cell>
        </row>
        <row r="79">
          <cell r="A79">
            <v>46079</v>
          </cell>
          <cell r="B79">
            <v>0.77359953703703699</v>
          </cell>
          <cell r="D79" t="str">
            <v xml:space="preserve"> Chorizo con papa/arepa</v>
          </cell>
          <cell r="G79">
            <v>1</v>
          </cell>
          <cell r="I79">
            <v>0</v>
          </cell>
          <cell r="J79">
            <v>8000</v>
          </cell>
          <cell r="K79">
            <v>8000</v>
          </cell>
          <cell r="L79">
            <v>4340</v>
          </cell>
        </row>
        <row r="80">
          <cell r="A80">
            <v>46079</v>
          </cell>
          <cell r="B80">
            <v>0.79465277777777776</v>
          </cell>
          <cell r="D80" t="str">
            <v xml:space="preserve"> Chorizo con papa/arepa</v>
          </cell>
          <cell r="G80">
            <v>2</v>
          </cell>
          <cell r="I80">
            <v>16000</v>
          </cell>
          <cell r="J80">
            <v>0</v>
          </cell>
          <cell r="K80">
            <v>16000</v>
          </cell>
          <cell r="L80">
            <v>4340</v>
          </cell>
        </row>
        <row r="81">
          <cell r="A81">
            <v>46079</v>
          </cell>
          <cell r="B81">
            <v>0.81241898148148151</v>
          </cell>
          <cell r="D81" t="str">
            <v xml:space="preserve"> Chorizo con papa/arepa</v>
          </cell>
          <cell r="G81">
            <v>2</v>
          </cell>
          <cell r="I81">
            <v>0</v>
          </cell>
          <cell r="J81">
            <v>16000</v>
          </cell>
          <cell r="K81">
            <v>16000</v>
          </cell>
          <cell r="L81">
            <v>4340</v>
          </cell>
        </row>
        <row r="82">
          <cell r="A82">
            <v>46079</v>
          </cell>
          <cell r="B82">
            <v>0.81241898148148151</v>
          </cell>
          <cell r="D82" t="str">
            <v>BEBIDA - Coca Cola</v>
          </cell>
          <cell r="G82">
            <v>1</v>
          </cell>
          <cell r="I82">
            <v>0</v>
          </cell>
          <cell r="J82">
            <v>3000</v>
          </cell>
          <cell r="K82">
            <v>3000</v>
          </cell>
          <cell r="L82">
            <v>1200</v>
          </cell>
        </row>
        <row r="83">
          <cell r="A83">
            <v>46079</v>
          </cell>
          <cell r="B83">
            <v>0.81355324074074076</v>
          </cell>
          <cell r="D83" t="str">
            <v xml:space="preserve"> Chorizo con papa/arepa</v>
          </cell>
          <cell r="G83">
            <v>1</v>
          </cell>
          <cell r="I83">
            <v>8000</v>
          </cell>
          <cell r="J83">
            <v>0</v>
          </cell>
          <cell r="K83">
            <v>8000</v>
          </cell>
          <cell r="L83">
            <v>4340</v>
          </cell>
        </row>
        <row r="84">
          <cell r="A84">
            <v>46079</v>
          </cell>
          <cell r="B84">
            <v>0.81472222222222224</v>
          </cell>
          <cell r="D84" t="str">
            <v xml:space="preserve"> Chorizo con papa/arepa</v>
          </cell>
          <cell r="G84">
            <v>1</v>
          </cell>
          <cell r="I84">
            <v>8000</v>
          </cell>
          <cell r="J84">
            <v>0</v>
          </cell>
          <cell r="K84">
            <v>8000</v>
          </cell>
          <cell r="L84">
            <v>4340</v>
          </cell>
        </row>
        <row r="85">
          <cell r="A85">
            <v>46079</v>
          </cell>
          <cell r="B85">
            <v>0.84375</v>
          </cell>
          <cell r="D85" t="str">
            <v xml:space="preserve"> Chorizo con papa/arepa</v>
          </cell>
          <cell r="G85">
            <v>1</v>
          </cell>
          <cell r="I85">
            <v>8000</v>
          </cell>
          <cell r="J85">
            <v>0</v>
          </cell>
          <cell r="K85">
            <v>8000</v>
          </cell>
          <cell r="L85">
            <v>4340</v>
          </cell>
        </row>
        <row r="86">
          <cell r="A86">
            <v>46079</v>
          </cell>
          <cell r="B86">
            <v>0.84375</v>
          </cell>
          <cell r="D86" t="str">
            <v>BEBIDA - Postobón</v>
          </cell>
          <cell r="G86">
            <v>1</v>
          </cell>
          <cell r="I86">
            <v>3000</v>
          </cell>
          <cell r="J86">
            <v>0</v>
          </cell>
          <cell r="K86">
            <v>3000</v>
          </cell>
          <cell r="L86">
            <v>1133.33</v>
          </cell>
        </row>
        <row r="87">
          <cell r="A87">
            <v>46079</v>
          </cell>
          <cell r="B87">
            <v>0.84394675925925922</v>
          </cell>
          <cell r="D87" t="str">
            <v xml:space="preserve"> Chorizo con papa/arepa</v>
          </cell>
          <cell r="G87">
            <v>1</v>
          </cell>
          <cell r="I87">
            <v>0</v>
          </cell>
          <cell r="J87">
            <v>8000</v>
          </cell>
          <cell r="K87">
            <v>8000</v>
          </cell>
          <cell r="L87">
            <v>4340</v>
          </cell>
        </row>
        <row r="88">
          <cell r="A88">
            <v>46079</v>
          </cell>
          <cell r="B88">
            <v>0.84410879629629632</v>
          </cell>
          <cell r="D88" t="str">
            <v xml:space="preserve"> Chorizo con papa/arepa</v>
          </cell>
          <cell r="G88">
            <v>1</v>
          </cell>
          <cell r="I88">
            <v>0</v>
          </cell>
          <cell r="J88">
            <v>8000</v>
          </cell>
          <cell r="K88">
            <v>8000</v>
          </cell>
          <cell r="L88">
            <v>4340</v>
          </cell>
        </row>
        <row r="89">
          <cell r="A89">
            <v>46080</v>
          </cell>
          <cell r="B89">
            <v>0.63017361111111114</v>
          </cell>
          <cell r="D89" t="str">
            <v xml:space="preserve"> Chorizo con papa/arepa</v>
          </cell>
          <cell r="G89">
            <v>1</v>
          </cell>
          <cell r="I89">
            <v>0</v>
          </cell>
          <cell r="J89">
            <v>8000</v>
          </cell>
          <cell r="K89">
            <v>8000</v>
          </cell>
          <cell r="L89">
            <v>4340</v>
          </cell>
        </row>
        <row r="90">
          <cell r="A90">
            <v>46080</v>
          </cell>
          <cell r="B90">
            <v>0.63017361111111114</v>
          </cell>
          <cell r="D90" t="str">
            <v>BEBIDA - Postobón</v>
          </cell>
          <cell r="G90">
            <v>1</v>
          </cell>
          <cell r="I90">
            <v>0</v>
          </cell>
          <cell r="J90">
            <v>3000</v>
          </cell>
          <cell r="K90">
            <v>3000</v>
          </cell>
          <cell r="L90">
            <v>1133.33</v>
          </cell>
        </row>
        <row r="91">
          <cell r="A91">
            <v>46080</v>
          </cell>
          <cell r="B91">
            <v>0.63124999999999998</v>
          </cell>
          <cell r="D91" t="str">
            <v xml:space="preserve"> Chorizo con papa/arepa</v>
          </cell>
          <cell r="G91">
            <v>1</v>
          </cell>
          <cell r="I91">
            <v>8000</v>
          </cell>
          <cell r="J91">
            <v>0</v>
          </cell>
          <cell r="K91">
            <v>8000</v>
          </cell>
          <cell r="L91">
            <v>4340</v>
          </cell>
        </row>
        <row r="92">
          <cell r="A92">
            <v>46080</v>
          </cell>
          <cell r="B92">
            <v>0.71579861111111109</v>
          </cell>
          <cell r="D92" t="str">
            <v xml:space="preserve"> Chorizo con papa/arepa</v>
          </cell>
          <cell r="G92">
            <v>1</v>
          </cell>
          <cell r="I92">
            <v>8000</v>
          </cell>
          <cell r="J92">
            <v>0</v>
          </cell>
          <cell r="K92">
            <v>8000</v>
          </cell>
          <cell r="L92">
            <v>4340</v>
          </cell>
        </row>
        <row r="93">
          <cell r="A93">
            <v>46080</v>
          </cell>
          <cell r="B93">
            <v>0.71579861111111109</v>
          </cell>
          <cell r="D93" t="str">
            <v>Parrillada de 35</v>
          </cell>
          <cell r="G93">
            <v>1</v>
          </cell>
          <cell r="I93">
            <v>35000</v>
          </cell>
          <cell r="J93">
            <v>0</v>
          </cell>
          <cell r="K93">
            <v>35000</v>
          </cell>
          <cell r="L93">
            <v>1000000</v>
          </cell>
        </row>
        <row r="94">
          <cell r="A94">
            <v>46080</v>
          </cell>
          <cell r="B94">
            <v>0.71579861111111109</v>
          </cell>
          <cell r="D94" t="str">
            <v>Tinto</v>
          </cell>
          <cell r="G94">
            <v>1</v>
          </cell>
          <cell r="I94">
            <v>2000</v>
          </cell>
          <cell r="J94">
            <v>0</v>
          </cell>
          <cell r="K94">
            <v>2000</v>
          </cell>
          <cell r="L94">
            <v>1000000</v>
          </cell>
        </row>
        <row r="95">
          <cell r="A95">
            <v>46080</v>
          </cell>
          <cell r="B95">
            <v>0.72542824074074075</v>
          </cell>
          <cell r="D95" t="str">
            <v xml:space="preserve"> Chorizo con papa/arepa</v>
          </cell>
          <cell r="G95">
            <v>3</v>
          </cell>
          <cell r="I95">
            <v>24000</v>
          </cell>
          <cell r="J95">
            <v>0</v>
          </cell>
          <cell r="K95">
            <v>24000</v>
          </cell>
          <cell r="L95">
            <v>4340</v>
          </cell>
        </row>
        <row r="96">
          <cell r="A96">
            <v>46080</v>
          </cell>
          <cell r="B96">
            <v>0.72542824074074075</v>
          </cell>
          <cell r="D96" t="str">
            <v>BEBIDA - Coca Cola</v>
          </cell>
          <cell r="G96">
            <v>2</v>
          </cell>
          <cell r="I96">
            <v>6000</v>
          </cell>
          <cell r="J96">
            <v>0</v>
          </cell>
          <cell r="K96">
            <v>6000</v>
          </cell>
          <cell r="L96">
            <v>1200</v>
          </cell>
        </row>
        <row r="97">
          <cell r="A97">
            <v>46080</v>
          </cell>
          <cell r="B97">
            <v>0.72542824074074075</v>
          </cell>
          <cell r="D97" t="str">
            <v>Parrillada de 35</v>
          </cell>
          <cell r="G97">
            <v>1</v>
          </cell>
          <cell r="I97">
            <v>35000</v>
          </cell>
          <cell r="J97">
            <v>0</v>
          </cell>
          <cell r="K97">
            <v>35000</v>
          </cell>
          <cell r="L97">
            <v>1000000</v>
          </cell>
        </row>
        <row r="98">
          <cell r="A98">
            <v>46080</v>
          </cell>
          <cell r="B98">
            <v>0.74226851851851849</v>
          </cell>
          <cell r="D98" t="str">
            <v xml:space="preserve"> Chorizo con papa/arepa</v>
          </cell>
          <cell r="G98">
            <v>2</v>
          </cell>
          <cell r="I98">
            <v>16000</v>
          </cell>
          <cell r="J98">
            <v>0</v>
          </cell>
          <cell r="K98">
            <v>16000</v>
          </cell>
          <cell r="L98">
            <v>4340</v>
          </cell>
        </row>
        <row r="99">
          <cell r="A99">
            <v>46080</v>
          </cell>
          <cell r="B99">
            <v>0.74226851851851849</v>
          </cell>
          <cell r="D99" t="str">
            <v>BEBIDA - Coca Cola</v>
          </cell>
          <cell r="G99">
            <v>1</v>
          </cell>
          <cell r="I99">
            <v>3000</v>
          </cell>
          <cell r="J99">
            <v>0</v>
          </cell>
          <cell r="K99">
            <v>3000</v>
          </cell>
          <cell r="L99">
            <v>1200</v>
          </cell>
        </row>
        <row r="100">
          <cell r="A100">
            <v>46080</v>
          </cell>
          <cell r="B100">
            <v>0.76141203703703708</v>
          </cell>
          <cell r="D100" t="str">
            <v xml:space="preserve"> Chorizo con papa/arepa</v>
          </cell>
          <cell r="G100">
            <v>3</v>
          </cell>
          <cell r="I100">
            <v>0</v>
          </cell>
          <cell r="J100">
            <v>24000</v>
          </cell>
          <cell r="K100">
            <v>24000</v>
          </cell>
          <cell r="L100">
            <v>4340</v>
          </cell>
        </row>
        <row r="101">
          <cell r="A101">
            <v>46080</v>
          </cell>
          <cell r="B101">
            <v>0.82401620370370365</v>
          </cell>
          <cell r="D101" t="str">
            <v xml:space="preserve"> Chorizo con papa/arepa</v>
          </cell>
          <cell r="G101">
            <v>1</v>
          </cell>
          <cell r="I101">
            <v>0</v>
          </cell>
          <cell r="J101">
            <v>8000</v>
          </cell>
          <cell r="K101">
            <v>8000</v>
          </cell>
          <cell r="L101">
            <v>4340</v>
          </cell>
        </row>
        <row r="102">
          <cell r="A102">
            <v>46080</v>
          </cell>
          <cell r="B102">
            <v>0.82401620370370365</v>
          </cell>
          <cell r="D102" t="str">
            <v>BEBIDA - Botella de Agua</v>
          </cell>
          <cell r="G102">
            <v>1</v>
          </cell>
          <cell r="I102">
            <v>0</v>
          </cell>
          <cell r="J102">
            <v>3500</v>
          </cell>
          <cell r="K102">
            <v>3500</v>
          </cell>
          <cell r="L102">
            <v>1416.67</v>
          </cell>
        </row>
        <row r="103">
          <cell r="A103">
            <v>46080</v>
          </cell>
          <cell r="B103">
            <v>0.83636574074074077</v>
          </cell>
          <cell r="D103" t="str">
            <v xml:space="preserve"> Chorizo con papa/arepa</v>
          </cell>
          <cell r="G103">
            <v>2</v>
          </cell>
          <cell r="I103">
            <v>0</v>
          </cell>
          <cell r="J103">
            <v>16000</v>
          </cell>
          <cell r="K103">
            <v>16000</v>
          </cell>
          <cell r="L103">
            <v>4340</v>
          </cell>
        </row>
        <row r="104">
          <cell r="A104">
            <v>46080</v>
          </cell>
          <cell r="B104">
            <v>0.83721064814814816</v>
          </cell>
          <cell r="D104" t="str">
            <v xml:space="preserve"> Chorizo con papa/arepa</v>
          </cell>
          <cell r="G104">
            <v>4</v>
          </cell>
          <cell r="I104">
            <v>32000</v>
          </cell>
          <cell r="J104">
            <v>0</v>
          </cell>
          <cell r="K104">
            <v>32000</v>
          </cell>
          <cell r="L104">
            <v>4340</v>
          </cell>
        </row>
        <row r="105">
          <cell r="A105">
            <v>46080</v>
          </cell>
          <cell r="B105">
            <v>0.83721064814814816</v>
          </cell>
          <cell r="D105" t="str">
            <v>BEBIDA - Coca Cola</v>
          </cell>
          <cell r="G105">
            <v>3</v>
          </cell>
          <cell r="I105">
            <v>9000</v>
          </cell>
          <cell r="J105">
            <v>0</v>
          </cell>
          <cell r="K105">
            <v>9000</v>
          </cell>
          <cell r="L105">
            <v>1200</v>
          </cell>
        </row>
        <row r="106">
          <cell r="A106">
            <v>46080</v>
          </cell>
          <cell r="B106">
            <v>0.83902777777777782</v>
          </cell>
          <cell r="D106" t="str">
            <v xml:space="preserve"> Chorizo con papa/arepa</v>
          </cell>
          <cell r="G106">
            <v>1</v>
          </cell>
          <cell r="I106">
            <v>8000</v>
          </cell>
          <cell r="J106">
            <v>0</v>
          </cell>
          <cell r="K106">
            <v>8000</v>
          </cell>
          <cell r="L106">
            <v>4340</v>
          </cell>
        </row>
        <row r="107">
          <cell r="A107">
            <v>46081</v>
          </cell>
          <cell r="B107">
            <v>0.78979166666666667</v>
          </cell>
          <cell r="D107" t="str">
            <v>z. MP -  Chorizo CRUDO</v>
          </cell>
          <cell r="G107">
            <v>6</v>
          </cell>
          <cell r="I107">
            <v>27000</v>
          </cell>
          <cell r="J107">
            <v>0</v>
          </cell>
          <cell r="K107">
            <v>27000</v>
          </cell>
          <cell r="L107">
            <v>3500</v>
          </cell>
        </row>
        <row r="108">
          <cell r="A108">
            <v>46081</v>
          </cell>
          <cell r="B108">
            <v>0.79023148148148148</v>
          </cell>
          <cell r="D108" t="str">
            <v xml:space="preserve"> Chorizo con papa/arepa</v>
          </cell>
          <cell r="G108">
            <v>2</v>
          </cell>
          <cell r="I108">
            <v>0</v>
          </cell>
          <cell r="J108">
            <v>16000</v>
          </cell>
          <cell r="K108">
            <v>16000</v>
          </cell>
          <cell r="L108">
            <v>4340</v>
          </cell>
        </row>
        <row r="109">
          <cell r="A109">
            <v>46081</v>
          </cell>
          <cell r="B109">
            <v>0.79096064814814815</v>
          </cell>
          <cell r="D109" t="str">
            <v xml:space="preserve"> Chorizo con papa/arepa</v>
          </cell>
          <cell r="G109">
            <v>1</v>
          </cell>
          <cell r="I109">
            <v>0</v>
          </cell>
          <cell r="J109">
            <v>8000</v>
          </cell>
          <cell r="K109">
            <v>8000</v>
          </cell>
          <cell r="L109">
            <v>4340</v>
          </cell>
        </row>
        <row r="110">
          <cell r="A110">
            <v>46081</v>
          </cell>
          <cell r="B110">
            <v>0.79096064814814815</v>
          </cell>
          <cell r="D110" t="str">
            <v>BEBIDA - Botella de Agua</v>
          </cell>
          <cell r="G110">
            <v>1</v>
          </cell>
          <cell r="I110">
            <v>0</v>
          </cell>
          <cell r="J110">
            <v>3500</v>
          </cell>
          <cell r="K110">
            <v>3500</v>
          </cell>
          <cell r="L110">
            <v>1416.67</v>
          </cell>
        </row>
        <row r="111">
          <cell r="A111">
            <v>46081</v>
          </cell>
          <cell r="B111">
            <v>0.79096064814814815</v>
          </cell>
          <cell r="D111" t="str">
            <v>Tinto</v>
          </cell>
          <cell r="G111">
            <v>1</v>
          </cell>
          <cell r="I111">
            <v>0</v>
          </cell>
          <cell r="J111">
            <v>2000</v>
          </cell>
          <cell r="K111">
            <v>2000</v>
          </cell>
          <cell r="L111">
            <v>1000000</v>
          </cell>
        </row>
        <row r="112">
          <cell r="A112">
            <v>46081</v>
          </cell>
          <cell r="B112">
            <v>0.79240740740740745</v>
          </cell>
          <cell r="D112" t="str">
            <v xml:space="preserve"> Chorizo con papa/arepa</v>
          </cell>
          <cell r="G112">
            <v>2</v>
          </cell>
          <cell r="I112">
            <v>16000</v>
          </cell>
          <cell r="J112">
            <v>0</v>
          </cell>
          <cell r="K112">
            <v>16000</v>
          </cell>
          <cell r="L112">
            <v>4340</v>
          </cell>
        </row>
        <row r="113">
          <cell r="A113">
            <v>46081</v>
          </cell>
          <cell r="B113">
            <v>0.79240740740740745</v>
          </cell>
          <cell r="D113" t="str">
            <v>BEBIDA - Coca Cola</v>
          </cell>
          <cell r="G113">
            <v>1</v>
          </cell>
          <cell r="I113">
            <v>3000</v>
          </cell>
          <cell r="J113">
            <v>0</v>
          </cell>
          <cell r="K113">
            <v>3000</v>
          </cell>
          <cell r="L113">
            <v>1200</v>
          </cell>
        </row>
        <row r="114">
          <cell r="A114">
            <v>46081</v>
          </cell>
          <cell r="B114">
            <v>0.79320601851851846</v>
          </cell>
          <cell r="D114" t="str">
            <v xml:space="preserve"> Chorizo con papa/arepa</v>
          </cell>
          <cell r="G114">
            <v>2</v>
          </cell>
          <cell r="I114">
            <v>16000</v>
          </cell>
          <cell r="J114">
            <v>0</v>
          </cell>
          <cell r="K114">
            <v>16000</v>
          </cell>
          <cell r="L114">
            <v>4340</v>
          </cell>
        </row>
        <row r="115">
          <cell r="A115">
            <v>46081</v>
          </cell>
          <cell r="B115">
            <v>0.79320601851851846</v>
          </cell>
          <cell r="D115" t="str">
            <v>BEBIDA - Coca Cola</v>
          </cell>
          <cell r="G115">
            <v>1</v>
          </cell>
          <cell r="I115">
            <v>3000</v>
          </cell>
          <cell r="J115">
            <v>0</v>
          </cell>
          <cell r="K115">
            <v>3000</v>
          </cell>
          <cell r="L115">
            <v>1200</v>
          </cell>
        </row>
        <row r="116">
          <cell r="A116">
            <v>46081</v>
          </cell>
          <cell r="B116">
            <v>0.79386574074074079</v>
          </cell>
          <cell r="D116" t="str">
            <v xml:space="preserve"> Chorizo con papa/arepa</v>
          </cell>
          <cell r="G116">
            <v>1</v>
          </cell>
          <cell r="I116">
            <v>8000</v>
          </cell>
          <cell r="J116">
            <v>0</v>
          </cell>
          <cell r="K116">
            <v>8000</v>
          </cell>
          <cell r="L116">
            <v>4340</v>
          </cell>
        </row>
        <row r="117">
          <cell r="A117">
            <v>46081</v>
          </cell>
          <cell r="B117">
            <v>0.79386574074074079</v>
          </cell>
          <cell r="D117" t="str">
            <v>BEBIDA - Coca Cola</v>
          </cell>
          <cell r="G117">
            <v>1</v>
          </cell>
          <cell r="I117">
            <v>3000</v>
          </cell>
          <cell r="J117">
            <v>0</v>
          </cell>
          <cell r="K117">
            <v>3000</v>
          </cell>
          <cell r="L117">
            <v>1200</v>
          </cell>
        </row>
        <row r="118">
          <cell r="A118">
            <v>46081</v>
          </cell>
          <cell r="B118">
            <v>0.79442129629629632</v>
          </cell>
          <cell r="D118" t="str">
            <v xml:space="preserve"> Chorizo con papa/arepa</v>
          </cell>
          <cell r="G118">
            <v>4</v>
          </cell>
          <cell r="I118">
            <v>32000</v>
          </cell>
          <cell r="J118">
            <v>0</v>
          </cell>
          <cell r="K118">
            <v>32000</v>
          </cell>
          <cell r="L118">
            <v>4340</v>
          </cell>
        </row>
        <row r="119">
          <cell r="A119">
            <v>46081</v>
          </cell>
          <cell r="B119">
            <v>0.79442129629629632</v>
          </cell>
          <cell r="D119" t="str">
            <v>BEBIDA - Coca Cola</v>
          </cell>
          <cell r="G119">
            <v>2</v>
          </cell>
          <cell r="I119">
            <v>6000</v>
          </cell>
          <cell r="J119">
            <v>0</v>
          </cell>
          <cell r="K119">
            <v>6000</v>
          </cell>
          <cell r="L119">
            <v>1200</v>
          </cell>
        </row>
        <row r="120">
          <cell r="A120">
            <v>46081</v>
          </cell>
          <cell r="B120">
            <v>0.79465277777777776</v>
          </cell>
          <cell r="D120" t="str">
            <v xml:space="preserve"> Chorizo con papa/arepa</v>
          </cell>
          <cell r="G120">
            <v>2</v>
          </cell>
          <cell r="I120">
            <v>16000</v>
          </cell>
          <cell r="J120">
            <v>0</v>
          </cell>
          <cell r="K120">
            <v>16000</v>
          </cell>
          <cell r="L120">
            <v>4340</v>
          </cell>
        </row>
        <row r="121">
          <cell r="A121">
            <v>46081</v>
          </cell>
          <cell r="B121">
            <v>0.79509259259259257</v>
          </cell>
          <cell r="D121" t="str">
            <v xml:space="preserve"> Chorizo con papa/arepa</v>
          </cell>
          <cell r="G121">
            <v>3</v>
          </cell>
          <cell r="I121">
            <v>24000</v>
          </cell>
          <cell r="J121">
            <v>0</v>
          </cell>
          <cell r="K121">
            <v>24000</v>
          </cell>
          <cell r="L121">
            <v>4340</v>
          </cell>
        </row>
        <row r="122">
          <cell r="A122">
            <v>46081</v>
          </cell>
          <cell r="B122">
            <v>0.79509259259259257</v>
          </cell>
          <cell r="D122" t="str">
            <v>BEBIDA - Jugo Hit</v>
          </cell>
          <cell r="G122">
            <v>1</v>
          </cell>
          <cell r="I122">
            <v>4500</v>
          </cell>
          <cell r="J122">
            <v>0</v>
          </cell>
          <cell r="K122">
            <v>4500</v>
          </cell>
          <cell r="L122">
            <v>2416.67</v>
          </cell>
        </row>
        <row r="123">
          <cell r="A123">
            <v>46081</v>
          </cell>
          <cell r="B123">
            <v>0.79549768518518515</v>
          </cell>
          <cell r="D123" t="str">
            <v>Parrillada de 35</v>
          </cell>
          <cell r="G123">
            <v>1</v>
          </cell>
          <cell r="I123">
            <v>35000</v>
          </cell>
          <cell r="J123">
            <v>0</v>
          </cell>
          <cell r="K123">
            <v>35000</v>
          </cell>
          <cell r="L123">
            <v>1000000</v>
          </cell>
        </row>
        <row r="124">
          <cell r="A124">
            <v>46081</v>
          </cell>
          <cell r="B124">
            <v>0.79572916666666671</v>
          </cell>
          <cell r="D124" t="str">
            <v>Parrillada de 35</v>
          </cell>
          <cell r="G124">
            <v>1</v>
          </cell>
          <cell r="I124">
            <v>35000</v>
          </cell>
          <cell r="J124">
            <v>0</v>
          </cell>
          <cell r="K124">
            <v>35000</v>
          </cell>
          <cell r="L124">
            <v>1000000</v>
          </cell>
        </row>
        <row r="125">
          <cell r="A125">
            <v>46081</v>
          </cell>
          <cell r="B125">
            <v>0.79718750000000005</v>
          </cell>
          <cell r="D125" t="str">
            <v>Parrillada de 48</v>
          </cell>
          <cell r="G125">
            <v>1</v>
          </cell>
          <cell r="I125">
            <v>48000</v>
          </cell>
          <cell r="J125">
            <v>0</v>
          </cell>
          <cell r="K125">
            <v>48000</v>
          </cell>
          <cell r="L125">
            <v>1000000</v>
          </cell>
        </row>
        <row r="126">
          <cell r="A126">
            <v>46081</v>
          </cell>
          <cell r="B126">
            <v>0.79751157407407403</v>
          </cell>
          <cell r="D126" t="str">
            <v>Parrillada de 70</v>
          </cell>
          <cell r="G126">
            <v>2</v>
          </cell>
          <cell r="I126">
            <v>140000</v>
          </cell>
          <cell r="J126">
            <v>0</v>
          </cell>
          <cell r="K126">
            <v>140000</v>
          </cell>
          <cell r="L126">
            <v>1000000</v>
          </cell>
        </row>
        <row r="127">
          <cell r="A127">
            <v>46081</v>
          </cell>
          <cell r="B127">
            <v>0.79766203703703709</v>
          </cell>
          <cell r="D127" t="str">
            <v>Parrillada de 40</v>
          </cell>
          <cell r="G127">
            <v>1</v>
          </cell>
          <cell r="I127">
            <v>40000</v>
          </cell>
          <cell r="J127">
            <v>0</v>
          </cell>
          <cell r="K127">
            <v>40000</v>
          </cell>
          <cell r="L127">
            <v>1000000</v>
          </cell>
        </row>
        <row r="128">
          <cell r="A128">
            <v>46081</v>
          </cell>
          <cell r="B128">
            <v>0.79902777777777778</v>
          </cell>
          <cell r="D128" t="str">
            <v>z. MP -  Chorizo CRUDO</v>
          </cell>
          <cell r="G128">
            <v>4</v>
          </cell>
          <cell r="I128">
            <v>0</v>
          </cell>
          <cell r="J128">
            <v>18000</v>
          </cell>
          <cell r="K128">
            <v>18000</v>
          </cell>
          <cell r="L128">
            <v>3500</v>
          </cell>
        </row>
        <row r="129">
          <cell r="A129">
            <v>46083</v>
          </cell>
          <cell r="B129">
            <v>0.5111458333333333</v>
          </cell>
          <cell r="D129" t="str">
            <v xml:space="preserve"> Chorizo con papa/arepa</v>
          </cell>
          <cell r="G129">
            <v>1</v>
          </cell>
          <cell r="I129">
            <v>8000</v>
          </cell>
          <cell r="J129">
            <v>0</v>
          </cell>
          <cell r="K129">
            <v>8000</v>
          </cell>
          <cell r="L129">
            <v>4340</v>
          </cell>
        </row>
        <row r="130">
          <cell r="A130">
            <v>46083</v>
          </cell>
          <cell r="B130">
            <v>0.5111458333333333</v>
          </cell>
          <cell r="D130" t="str">
            <v>BEBIDA - Coca Cola</v>
          </cell>
          <cell r="G130">
            <v>1</v>
          </cell>
          <cell r="I130">
            <v>3000</v>
          </cell>
          <cell r="J130">
            <v>0</v>
          </cell>
          <cell r="K130">
            <v>3000</v>
          </cell>
          <cell r="L130">
            <v>1200</v>
          </cell>
        </row>
        <row r="131">
          <cell r="A131">
            <v>46083</v>
          </cell>
          <cell r="B131">
            <v>0.72031250000000002</v>
          </cell>
          <cell r="D131" t="str">
            <v xml:space="preserve"> Chorizo con papa/arepa</v>
          </cell>
          <cell r="G131">
            <v>1</v>
          </cell>
          <cell r="I131">
            <v>8000</v>
          </cell>
          <cell r="J131">
            <v>0</v>
          </cell>
          <cell r="K131">
            <v>8000</v>
          </cell>
          <cell r="L131">
            <v>4340</v>
          </cell>
        </row>
        <row r="132">
          <cell r="A132">
            <v>46083</v>
          </cell>
          <cell r="B132">
            <v>0.73594907407407406</v>
          </cell>
          <cell r="D132" t="str">
            <v xml:space="preserve"> Chorizo con papa/arepa</v>
          </cell>
          <cell r="G132">
            <v>1</v>
          </cell>
          <cell r="I132">
            <v>8000</v>
          </cell>
          <cell r="J132">
            <v>0</v>
          </cell>
          <cell r="K132">
            <v>8000</v>
          </cell>
          <cell r="L132">
            <v>4340</v>
          </cell>
        </row>
        <row r="133">
          <cell r="A133">
            <v>46083</v>
          </cell>
          <cell r="B133">
            <v>0.82541666666666669</v>
          </cell>
          <cell r="D133" t="str">
            <v xml:space="preserve"> Chorizo con papa/arepa</v>
          </cell>
          <cell r="G133">
            <v>3</v>
          </cell>
          <cell r="I133">
            <v>24000</v>
          </cell>
          <cell r="J133">
            <v>0</v>
          </cell>
          <cell r="K133">
            <v>24000</v>
          </cell>
          <cell r="L133">
            <v>4340</v>
          </cell>
        </row>
        <row r="134">
          <cell r="A134">
            <v>46083</v>
          </cell>
          <cell r="B134">
            <v>0.82541666666666669</v>
          </cell>
          <cell r="D134" t="str">
            <v>BEBIDA - Coca Cola</v>
          </cell>
          <cell r="G134">
            <v>1</v>
          </cell>
          <cell r="I134">
            <v>3000</v>
          </cell>
          <cell r="J134">
            <v>0</v>
          </cell>
          <cell r="K134">
            <v>3000</v>
          </cell>
          <cell r="L134">
            <v>1200</v>
          </cell>
        </row>
        <row r="135">
          <cell r="A135">
            <v>46083</v>
          </cell>
          <cell r="B135">
            <v>0.82541666666666669</v>
          </cell>
          <cell r="D135" t="str">
            <v>BEBIDA - Postobón</v>
          </cell>
          <cell r="G135">
            <v>2</v>
          </cell>
          <cell r="I135">
            <v>6000</v>
          </cell>
          <cell r="J135">
            <v>0</v>
          </cell>
          <cell r="K135">
            <v>6000</v>
          </cell>
          <cell r="L135">
            <v>1133.33</v>
          </cell>
        </row>
        <row r="136">
          <cell r="A136">
            <v>46084</v>
          </cell>
          <cell r="B136">
            <v>0.4917361111111111</v>
          </cell>
          <cell r="D136" t="str">
            <v>BEBIDA - Coca Cola</v>
          </cell>
          <cell r="G136">
            <v>2</v>
          </cell>
          <cell r="I136">
            <v>6000</v>
          </cell>
          <cell r="J136">
            <v>0</v>
          </cell>
          <cell r="K136">
            <v>6000</v>
          </cell>
          <cell r="L136">
            <v>1200</v>
          </cell>
        </row>
        <row r="137">
          <cell r="A137">
            <v>46084</v>
          </cell>
          <cell r="B137">
            <v>0.55184027777777778</v>
          </cell>
          <cell r="D137" t="str">
            <v xml:space="preserve"> Chorizo con papa/arepa</v>
          </cell>
          <cell r="G137">
            <v>1</v>
          </cell>
          <cell r="I137">
            <v>8000</v>
          </cell>
          <cell r="J137">
            <v>0</v>
          </cell>
          <cell r="K137">
            <v>8000</v>
          </cell>
          <cell r="L137">
            <v>4340</v>
          </cell>
        </row>
        <row r="138">
          <cell r="A138">
            <v>46084</v>
          </cell>
          <cell r="B138">
            <v>0.61869212962962961</v>
          </cell>
          <cell r="D138" t="str">
            <v xml:space="preserve"> Chorizo con papa/arepa</v>
          </cell>
          <cell r="G138">
            <v>1</v>
          </cell>
          <cell r="I138">
            <v>8000</v>
          </cell>
          <cell r="J138">
            <v>0</v>
          </cell>
          <cell r="K138">
            <v>8000</v>
          </cell>
          <cell r="L138">
            <v>4340</v>
          </cell>
        </row>
        <row r="139">
          <cell r="A139">
            <v>46084</v>
          </cell>
          <cell r="B139">
            <v>0.66587962962962965</v>
          </cell>
          <cell r="D139" t="str">
            <v xml:space="preserve"> Chorizo con papa/arepa</v>
          </cell>
          <cell r="G139">
            <v>1</v>
          </cell>
          <cell r="I139">
            <v>8000</v>
          </cell>
          <cell r="J139">
            <v>0</v>
          </cell>
          <cell r="K139">
            <v>8000</v>
          </cell>
          <cell r="L139">
            <v>4340</v>
          </cell>
        </row>
        <row r="140">
          <cell r="A140">
            <v>46084</v>
          </cell>
          <cell r="B140">
            <v>0.66587962962962965</v>
          </cell>
          <cell r="D140" t="str">
            <v>BEBIDA - Jugo Hit</v>
          </cell>
          <cell r="G140">
            <v>1</v>
          </cell>
          <cell r="I140">
            <v>4500</v>
          </cell>
          <cell r="J140">
            <v>0</v>
          </cell>
          <cell r="K140">
            <v>4500</v>
          </cell>
          <cell r="L140">
            <v>2416.67</v>
          </cell>
        </row>
        <row r="141">
          <cell r="A141">
            <v>46084</v>
          </cell>
          <cell r="B141">
            <v>0.66723379629629631</v>
          </cell>
          <cell r="D141" t="str">
            <v xml:space="preserve"> Chorizo con papa/arepa</v>
          </cell>
          <cell r="G141">
            <v>1</v>
          </cell>
          <cell r="I141">
            <v>8000</v>
          </cell>
          <cell r="J141">
            <v>0</v>
          </cell>
          <cell r="K141">
            <v>8000</v>
          </cell>
          <cell r="L141">
            <v>4340</v>
          </cell>
        </row>
        <row r="142">
          <cell r="A142">
            <v>46084</v>
          </cell>
          <cell r="B142">
            <v>0.70716435185185189</v>
          </cell>
          <cell r="D142" t="str">
            <v>Bandeja Choriboni - 30</v>
          </cell>
          <cell r="G142">
            <v>1</v>
          </cell>
          <cell r="I142">
            <v>0</v>
          </cell>
          <cell r="J142">
            <v>30000</v>
          </cell>
          <cell r="K142">
            <v>30000</v>
          </cell>
          <cell r="L142">
            <v>3500</v>
          </cell>
        </row>
        <row r="143">
          <cell r="A143">
            <v>46084</v>
          </cell>
          <cell r="B143">
            <v>0.70716435185185189</v>
          </cell>
          <cell r="D143" t="str">
            <v>BEBIDA - Coca Cola</v>
          </cell>
          <cell r="G143">
            <v>1</v>
          </cell>
          <cell r="I143">
            <v>0</v>
          </cell>
          <cell r="J143">
            <v>3000</v>
          </cell>
          <cell r="K143">
            <v>3000</v>
          </cell>
          <cell r="L143">
            <v>1200</v>
          </cell>
        </row>
        <row r="144">
          <cell r="A144">
            <v>46084</v>
          </cell>
          <cell r="B144">
            <v>0.72910879629629632</v>
          </cell>
          <cell r="D144" t="str">
            <v xml:space="preserve"> Chorizo con papa/arepa</v>
          </cell>
          <cell r="G144">
            <v>1</v>
          </cell>
          <cell r="I144">
            <v>8000</v>
          </cell>
          <cell r="J144">
            <v>0</v>
          </cell>
          <cell r="K144">
            <v>8000</v>
          </cell>
          <cell r="L144">
            <v>4340</v>
          </cell>
        </row>
        <row r="145">
          <cell r="A145">
            <v>46084</v>
          </cell>
          <cell r="B145">
            <v>0.74128472222222219</v>
          </cell>
          <cell r="D145" t="str">
            <v xml:space="preserve"> Chorizo con papa/arepa</v>
          </cell>
          <cell r="G145">
            <v>1</v>
          </cell>
          <cell r="I145">
            <v>8000</v>
          </cell>
          <cell r="J145">
            <v>0</v>
          </cell>
          <cell r="K145">
            <v>8000</v>
          </cell>
          <cell r="L145">
            <v>4340</v>
          </cell>
        </row>
        <row r="146">
          <cell r="A146">
            <v>46084</v>
          </cell>
          <cell r="B146">
            <v>0.74128472222222219</v>
          </cell>
          <cell r="D146" t="str">
            <v>z. MP -  Chorizo CRUDO</v>
          </cell>
          <cell r="G146">
            <v>2</v>
          </cell>
          <cell r="I146">
            <v>9000</v>
          </cell>
          <cell r="J146">
            <v>0</v>
          </cell>
          <cell r="K146">
            <v>9000</v>
          </cell>
          <cell r="L146">
            <v>3500</v>
          </cell>
        </row>
        <row r="147">
          <cell r="A147">
            <v>46084</v>
          </cell>
          <cell r="B147">
            <v>0.75469907407407411</v>
          </cell>
          <cell r="D147" t="str">
            <v xml:space="preserve"> Chorizo con papa/arepa</v>
          </cell>
          <cell r="G147">
            <v>1</v>
          </cell>
          <cell r="I147">
            <v>8000</v>
          </cell>
          <cell r="J147">
            <v>0</v>
          </cell>
          <cell r="K147">
            <v>8000</v>
          </cell>
          <cell r="L147">
            <v>4340</v>
          </cell>
        </row>
        <row r="148">
          <cell r="A148">
            <v>46084</v>
          </cell>
          <cell r="B148">
            <v>0.75469907407407411</v>
          </cell>
          <cell r="D148" t="str">
            <v>BEBIDA - Coca Cola</v>
          </cell>
          <cell r="G148">
            <v>1</v>
          </cell>
          <cell r="I148">
            <v>3000</v>
          </cell>
          <cell r="J148">
            <v>0</v>
          </cell>
          <cell r="K148">
            <v>3000</v>
          </cell>
          <cell r="L148">
            <v>1200</v>
          </cell>
        </row>
        <row r="149">
          <cell r="A149">
            <v>46084</v>
          </cell>
          <cell r="B149">
            <v>0.76284722222222223</v>
          </cell>
          <cell r="D149" t="str">
            <v>BEBIDA - Jugo Hit</v>
          </cell>
          <cell r="G149">
            <v>1</v>
          </cell>
          <cell r="I149">
            <v>4500</v>
          </cell>
          <cell r="J149">
            <v>0</v>
          </cell>
          <cell r="K149">
            <v>4500</v>
          </cell>
          <cell r="L149">
            <v>2416.67</v>
          </cell>
        </row>
        <row r="150">
          <cell r="A150">
            <v>46084</v>
          </cell>
          <cell r="B150">
            <v>0.76518518518518519</v>
          </cell>
          <cell r="D150" t="str">
            <v xml:space="preserve"> Chorizo con papa/arepa</v>
          </cell>
          <cell r="G150">
            <v>1</v>
          </cell>
          <cell r="I150">
            <v>0</v>
          </cell>
          <cell r="J150">
            <v>8000</v>
          </cell>
          <cell r="K150">
            <v>8000</v>
          </cell>
          <cell r="L150">
            <v>4340</v>
          </cell>
        </row>
        <row r="151">
          <cell r="A151">
            <v>46084</v>
          </cell>
          <cell r="B151">
            <v>0.76518518518518519</v>
          </cell>
          <cell r="D151" t="str">
            <v>BEBIDA - Coca Cola</v>
          </cell>
          <cell r="G151">
            <v>1</v>
          </cell>
          <cell r="I151">
            <v>0</v>
          </cell>
          <cell r="J151">
            <v>3000</v>
          </cell>
          <cell r="K151">
            <v>3000</v>
          </cell>
          <cell r="L151">
            <v>1200</v>
          </cell>
        </row>
        <row r="152">
          <cell r="A152">
            <v>46084</v>
          </cell>
          <cell r="B152">
            <v>0.77130787037037041</v>
          </cell>
          <cell r="D152" t="str">
            <v>z. MP -  Hamb. CRUDA</v>
          </cell>
          <cell r="G152">
            <v>4</v>
          </cell>
          <cell r="I152">
            <v>0</v>
          </cell>
          <cell r="J152">
            <v>20000</v>
          </cell>
          <cell r="K152">
            <v>20000</v>
          </cell>
          <cell r="L152">
            <v>5000</v>
          </cell>
        </row>
        <row r="153">
          <cell r="A153">
            <v>46084</v>
          </cell>
          <cell r="B153">
            <v>0.85248842592592589</v>
          </cell>
          <cell r="D153" t="str">
            <v xml:space="preserve"> Chorizo con papa/arepa</v>
          </cell>
          <cell r="G153">
            <v>2</v>
          </cell>
          <cell r="I153">
            <v>16000</v>
          </cell>
          <cell r="J153">
            <v>0</v>
          </cell>
          <cell r="K153">
            <v>16000</v>
          </cell>
          <cell r="L153">
            <v>4340</v>
          </cell>
        </row>
        <row r="154">
          <cell r="A154">
            <v>46084</v>
          </cell>
          <cell r="B154">
            <v>0.85248842592592589</v>
          </cell>
          <cell r="D154" t="str">
            <v>BEBIDA - Coca Cola</v>
          </cell>
          <cell r="G154">
            <v>2</v>
          </cell>
          <cell r="I154">
            <v>6000</v>
          </cell>
          <cell r="J154">
            <v>0</v>
          </cell>
          <cell r="K154">
            <v>6000</v>
          </cell>
          <cell r="L154">
            <v>1200</v>
          </cell>
        </row>
        <row r="155">
          <cell r="A155">
            <v>46084</v>
          </cell>
          <cell r="B155">
            <v>0.96866898148148151</v>
          </cell>
          <cell r="D155" t="str">
            <v xml:space="preserve"> Chorizo con papa/arepa</v>
          </cell>
          <cell r="G155">
            <v>3</v>
          </cell>
          <cell r="I155">
            <v>0</v>
          </cell>
          <cell r="J155">
            <v>24000</v>
          </cell>
          <cell r="K155">
            <v>24000</v>
          </cell>
          <cell r="L155">
            <v>4340</v>
          </cell>
        </row>
        <row r="156">
          <cell r="A156">
            <v>46084</v>
          </cell>
          <cell r="B156">
            <v>0.96866898148148151</v>
          </cell>
          <cell r="D156" t="str">
            <v>BEBIDA - Coca Cola</v>
          </cell>
          <cell r="G156">
            <v>1</v>
          </cell>
          <cell r="I156">
            <v>0</v>
          </cell>
          <cell r="J156">
            <v>3000</v>
          </cell>
          <cell r="K156">
            <v>3000</v>
          </cell>
          <cell r="L156">
            <v>1200</v>
          </cell>
        </row>
        <row r="157">
          <cell r="A157">
            <v>46085</v>
          </cell>
          <cell r="B157">
            <v>0.63070601851851849</v>
          </cell>
          <cell r="D157" t="str">
            <v xml:space="preserve"> Chorizo con papa/arepa</v>
          </cell>
          <cell r="G157">
            <v>1</v>
          </cell>
          <cell r="I157">
            <v>8000</v>
          </cell>
          <cell r="J157">
            <v>0</v>
          </cell>
          <cell r="K157">
            <v>8000</v>
          </cell>
          <cell r="L157">
            <v>4340</v>
          </cell>
        </row>
        <row r="158">
          <cell r="A158">
            <v>46085</v>
          </cell>
          <cell r="B158">
            <v>0.63070601851851849</v>
          </cell>
          <cell r="D158" t="str">
            <v>BEBIDA - Coca Cola</v>
          </cell>
          <cell r="G158">
            <v>1</v>
          </cell>
          <cell r="I158">
            <v>3000</v>
          </cell>
          <cell r="J158">
            <v>0</v>
          </cell>
          <cell r="K158">
            <v>3000</v>
          </cell>
          <cell r="L158">
            <v>1200</v>
          </cell>
        </row>
        <row r="159">
          <cell r="A159">
            <v>46085</v>
          </cell>
          <cell r="B159">
            <v>0.63070601851851849</v>
          </cell>
          <cell r="D159" t="str">
            <v>Ham. combo</v>
          </cell>
          <cell r="G159">
            <v>1</v>
          </cell>
          <cell r="I159">
            <v>22000</v>
          </cell>
          <cell r="J159">
            <v>0</v>
          </cell>
          <cell r="K159">
            <v>22000</v>
          </cell>
          <cell r="L159">
            <v>5000</v>
          </cell>
        </row>
        <row r="160">
          <cell r="A160">
            <v>46085</v>
          </cell>
          <cell r="B160">
            <v>0.63363425925925931</v>
          </cell>
          <cell r="D160" t="str">
            <v xml:space="preserve"> Chorizo con papa/arepa</v>
          </cell>
          <cell r="G160">
            <v>1</v>
          </cell>
          <cell r="I160">
            <v>8000</v>
          </cell>
          <cell r="J160">
            <v>0</v>
          </cell>
          <cell r="K160">
            <v>8000</v>
          </cell>
          <cell r="L160">
            <v>4340</v>
          </cell>
        </row>
        <row r="161">
          <cell r="A161">
            <v>46085</v>
          </cell>
          <cell r="B161">
            <v>0.66638888888888892</v>
          </cell>
          <cell r="D161" t="str">
            <v xml:space="preserve"> Chorizo con papa/arepa</v>
          </cell>
          <cell r="G161">
            <v>1</v>
          </cell>
          <cell r="I161">
            <v>8000</v>
          </cell>
          <cell r="J161">
            <v>0</v>
          </cell>
          <cell r="K161">
            <v>8000</v>
          </cell>
          <cell r="L161">
            <v>4340</v>
          </cell>
        </row>
        <row r="162">
          <cell r="A162">
            <v>46085</v>
          </cell>
          <cell r="B162">
            <v>0.6906944444444445</v>
          </cell>
          <cell r="D162" t="str">
            <v xml:space="preserve"> Chorizo con papa/arepa</v>
          </cell>
          <cell r="G162">
            <v>1</v>
          </cell>
          <cell r="I162">
            <v>8000</v>
          </cell>
          <cell r="J162">
            <v>0</v>
          </cell>
          <cell r="K162">
            <v>8000</v>
          </cell>
          <cell r="L162">
            <v>4340</v>
          </cell>
        </row>
        <row r="163">
          <cell r="A163">
            <v>46085</v>
          </cell>
          <cell r="B163">
            <v>0.6906944444444445</v>
          </cell>
          <cell r="D163" t="str">
            <v>BEBIDA - Coca Cola</v>
          </cell>
          <cell r="G163">
            <v>1</v>
          </cell>
          <cell r="I163">
            <v>3000</v>
          </cell>
          <cell r="J163">
            <v>0</v>
          </cell>
          <cell r="K163">
            <v>3000</v>
          </cell>
          <cell r="L163">
            <v>1200</v>
          </cell>
        </row>
        <row r="164">
          <cell r="A164">
            <v>46085</v>
          </cell>
          <cell r="B164">
            <v>0.69087962962962968</v>
          </cell>
          <cell r="D164" t="str">
            <v>BEBIDA - Botella de Agua</v>
          </cell>
          <cell r="G164">
            <v>2</v>
          </cell>
          <cell r="I164">
            <v>7000</v>
          </cell>
          <cell r="J164">
            <v>0</v>
          </cell>
          <cell r="K164">
            <v>7000</v>
          </cell>
          <cell r="L164">
            <v>1416.67</v>
          </cell>
        </row>
        <row r="165">
          <cell r="A165">
            <v>46085</v>
          </cell>
          <cell r="B165">
            <v>0.69216435185185188</v>
          </cell>
          <cell r="D165" t="str">
            <v>Ham. combo</v>
          </cell>
          <cell r="G165">
            <v>1</v>
          </cell>
          <cell r="I165">
            <v>22000</v>
          </cell>
          <cell r="J165">
            <v>0</v>
          </cell>
          <cell r="K165">
            <v>22000</v>
          </cell>
          <cell r="L165">
            <v>5000</v>
          </cell>
        </row>
        <row r="166">
          <cell r="A166">
            <v>46085</v>
          </cell>
          <cell r="B166">
            <v>0.69216435185185188</v>
          </cell>
          <cell r="D166" t="str">
            <v>Ham. sencilla</v>
          </cell>
          <cell r="G166">
            <v>1</v>
          </cell>
          <cell r="I166">
            <v>17000</v>
          </cell>
          <cell r="J166">
            <v>0</v>
          </cell>
          <cell r="K166">
            <v>17000</v>
          </cell>
          <cell r="L166">
            <v>5000</v>
          </cell>
        </row>
        <row r="167">
          <cell r="A167">
            <v>46085</v>
          </cell>
          <cell r="B167">
            <v>0.70192129629629629</v>
          </cell>
          <cell r="D167" t="str">
            <v xml:space="preserve"> Chorizo con papa/arepa</v>
          </cell>
          <cell r="G167">
            <v>3</v>
          </cell>
          <cell r="I167">
            <v>0</v>
          </cell>
          <cell r="J167">
            <v>24000</v>
          </cell>
          <cell r="K167">
            <v>24000</v>
          </cell>
          <cell r="L167">
            <v>4340</v>
          </cell>
        </row>
        <row r="168">
          <cell r="A168">
            <v>46085</v>
          </cell>
          <cell r="B168">
            <v>0.70192129629629629</v>
          </cell>
          <cell r="D168" t="str">
            <v>Bandeja Choriboni - 25</v>
          </cell>
          <cell r="G168">
            <v>1</v>
          </cell>
          <cell r="I168">
            <v>0</v>
          </cell>
          <cell r="J168">
            <v>25000</v>
          </cell>
          <cell r="K168">
            <v>25000</v>
          </cell>
          <cell r="L168">
            <v>4340</v>
          </cell>
        </row>
        <row r="169">
          <cell r="A169">
            <v>46085</v>
          </cell>
          <cell r="B169">
            <v>0.70192129629629629</v>
          </cell>
          <cell r="D169" t="str">
            <v>BEBIDA - Coca Cola</v>
          </cell>
          <cell r="G169">
            <v>2</v>
          </cell>
          <cell r="I169">
            <v>0</v>
          </cell>
          <cell r="J169">
            <v>6000</v>
          </cell>
          <cell r="K169">
            <v>6000</v>
          </cell>
          <cell r="L169">
            <v>1200</v>
          </cell>
        </row>
        <row r="170">
          <cell r="A170">
            <v>46085</v>
          </cell>
          <cell r="B170">
            <v>0.70192129629629629</v>
          </cell>
          <cell r="D170" t="str">
            <v>BEBIDA - Postobón</v>
          </cell>
          <cell r="G170">
            <v>3</v>
          </cell>
          <cell r="I170">
            <v>0</v>
          </cell>
          <cell r="J170">
            <v>9000</v>
          </cell>
          <cell r="K170">
            <v>9000</v>
          </cell>
          <cell r="L170">
            <v>1133.33</v>
          </cell>
        </row>
        <row r="171">
          <cell r="A171">
            <v>46085</v>
          </cell>
          <cell r="B171">
            <v>0.7832175925925926</v>
          </cell>
          <cell r="D171" t="str">
            <v>z. MP -  Chorizo CRUDO</v>
          </cell>
          <cell r="G171">
            <v>4</v>
          </cell>
          <cell r="I171">
            <v>18000</v>
          </cell>
          <cell r="J171">
            <v>0</v>
          </cell>
          <cell r="K171">
            <v>18000</v>
          </cell>
          <cell r="L171">
            <v>3500</v>
          </cell>
        </row>
        <row r="172">
          <cell r="A172">
            <v>46085</v>
          </cell>
          <cell r="B172">
            <v>0.80460648148148151</v>
          </cell>
          <cell r="D172" t="str">
            <v xml:space="preserve"> Chorizo con papa/arepa</v>
          </cell>
          <cell r="G172">
            <v>4</v>
          </cell>
          <cell r="I172">
            <v>32000</v>
          </cell>
          <cell r="J172">
            <v>0</v>
          </cell>
          <cell r="K172">
            <v>32000</v>
          </cell>
          <cell r="L172">
            <v>4340</v>
          </cell>
        </row>
        <row r="173">
          <cell r="A173">
            <v>46085</v>
          </cell>
          <cell r="B173">
            <v>0.81076388888888884</v>
          </cell>
          <cell r="D173" t="str">
            <v xml:space="preserve"> Chorizo con papa/arepa</v>
          </cell>
          <cell r="G173">
            <v>2</v>
          </cell>
          <cell r="I173">
            <v>0</v>
          </cell>
          <cell r="J173">
            <v>16000</v>
          </cell>
          <cell r="K173">
            <v>16000</v>
          </cell>
          <cell r="L173">
            <v>4340</v>
          </cell>
        </row>
        <row r="174">
          <cell r="A174">
            <v>46085</v>
          </cell>
          <cell r="B174">
            <v>0.81076388888888884</v>
          </cell>
          <cell r="D174" t="str">
            <v>BEBIDA - Coca Cola</v>
          </cell>
          <cell r="G174">
            <v>1</v>
          </cell>
          <cell r="I174">
            <v>0</v>
          </cell>
          <cell r="J174">
            <v>3000</v>
          </cell>
          <cell r="K174">
            <v>3000</v>
          </cell>
          <cell r="L174">
            <v>1200</v>
          </cell>
        </row>
        <row r="175">
          <cell r="A175">
            <v>46085</v>
          </cell>
          <cell r="B175">
            <v>0.8313194444444445</v>
          </cell>
          <cell r="D175" t="str">
            <v xml:space="preserve"> Chorizo con papa/arepa</v>
          </cell>
          <cell r="G175">
            <v>5</v>
          </cell>
          <cell r="I175">
            <v>40000</v>
          </cell>
          <cell r="J175">
            <v>0</v>
          </cell>
          <cell r="K175">
            <v>40000</v>
          </cell>
          <cell r="L175">
            <v>4340</v>
          </cell>
        </row>
        <row r="176">
          <cell r="A176">
            <v>46085</v>
          </cell>
          <cell r="B176">
            <v>0.8313194444444445</v>
          </cell>
          <cell r="D176" t="str">
            <v>BEBIDA - Coca Cola</v>
          </cell>
          <cell r="G176">
            <v>2</v>
          </cell>
          <cell r="I176">
            <v>6000</v>
          </cell>
          <cell r="J176">
            <v>0</v>
          </cell>
          <cell r="K176">
            <v>6000</v>
          </cell>
          <cell r="L176">
            <v>1200</v>
          </cell>
        </row>
        <row r="177">
          <cell r="A177">
            <v>46085</v>
          </cell>
          <cell r="B177">
            <v>0.8313194444444445</v>
          </cell>
          <cell r="D177" t="str">
            <v>BEBIDA - Postobón</v>
          </cell>
          <cell r="G177">
            <v>3</v>
          </cell>
          <cell r="I177">
            <v>9000</v>
          </cell>
          <cell r="J177">
            <v>0</v>
          </cell>
          <cell r="K177">
            <v>9000</v>
          </cell>
          <cell r="L177">
            <v>1133.33</v>
          </cell>
        </row>
        <row r="178">
          <cell r="A178">
            <v>46085</v>
          </cell>
          <cell r="B178">
            <v>0.8313194444444445</v>
          </cell>
          <cell r="D178" t="str">
            <v>CARNES - Costillas BBQ  - 50</v>
          </cell>
          <cell r="G178">
            <v>1</v>
          </cell>
          <cell r="I178">
            <v>50000</v>
          </cell>
          <cell r="J178">
            <v>0</v>
          </cell>
          <cell r="K178">
            <v>50000</v>
          </cell>
          <cell r="L178">
            <v>1000000</v>
          </cell>
        </row>
        <row r="179">
          <cell r="A179">
            <v>46086</v>
          </cell>
          <cell r="B179">
            <v>0.58488425925925924</v>
          </cell>
          <cell r="D179" t="str">
            <v>Bandeja Choriboni - 30</v>
          </cell>
          <cell r="G179">
            <v>1</v>
          </cell>
          <cell r="I179">
            <v>0</v>
          </cell>
          <cell r="J179">
            <v>30000</v>
          </cell>
          <cell r="K179">
            <v>30000</v>
          </cell>
          <cell r="L179">
            <v>3500</v>
          </cell>
        </row>
        <row r="180">
          <cell r="A180">
            <v>46086</v>
          </cell>
          <cell r="B180">
            <v>0.58488425925925924</v>
          </cell>
          <cell r="D180" t="str">
            <v>Propina - Gustavo</v>
          </cell>
          <cell r="G180">
            <v>1</v>
          </cell>
          <cell r="I180">
            <v>0</v>
          </cell>
          <cell r="J180">
            <v>5000</v>
          </cell>
          <cell r="K180">
            <v>5000</v>
          </cell>
          <cell r="L180">
            <v>1000000</v>
          </cell>
        </row>
        <row r="181">
          <cell r="A181">
            <v>46086</v>
          </cell>
          <cell r="B181">
            <v>0.627349537037037</v>
          </cell>
          <cell r="D181" t="str">
            <v xml:space="preserve"> Chorizo con papa/arepa</v>
          </cell>
          <cell r="G181">
            <v>2</v>
          </cell>
          <cell r="I181">
            <v>16000</v>
          </cell>
          <cell r="J181">
            <v>0</v>
          </cell>
          <cell r="K181">
            <v>16000</v>
          </cell>
          <cell r="L181">
            <v>4340</v>
          </cell>
        </row>
        <row r="182">
          <cell r="A182">
            <v>46086</v>
          </cell>
          <cell r="B182">
            <v>0.627349537037037</v>
          </cell>
          <cell r="D182" t="str">
            <v>BEBIDA - Coca Cola</v>
          </cell>
          <cell r="G182">
            <v>2</v>
          </cell>
          <cell r="I182">
            <v>6000</v>
          </cell>
          <cell r="J182">
            <v>0</v>
          </cell>
          <cell r="K182">
            <v>6000</v>
          </cell>
          <cell r="L182">
            <v>1200</v>
          </cell>
        </row>
        <row r="183">
          <cell r="A183">
            <v>46086</v>
          </cell>
          <cell r="B183">
            <v>0.63901620370370371</v>
          </cell>
          <cell r="D183" t="str">
            <v xml:space="preserve"> Chorizo con papa/arepa</v>
          </cell>
          <cell r="G183">
            <v>4</v>
          </cell>
          <cell r="I183">
            <v>32000</v>
          </cell>
          <cell r="J183">
            <v>0</v>
          </cell>
          <cell r="K183">
            <v>32000</v>
          </cell>
          <cell r="L183">
            <v>4340</v>
          </cell>
        </row>
        <row r="184">
          <cell r="A184">
            <v>46086</v>
          </cell>
          <cell r="B184">
            <v>0.63901620370370371</v>
          </cell>
          <cell r="D184" t="str">
            <v>BEBIDA - Jugo Hit</v>
          </cell>
          <cell r="G184">
            <v>1</v>
          </cell>
          <cell r="I184">
            <v>4500</v>
          </cell>
          <cell r="J184">
            <v>0</v>
          </cell>
          <cell r="K184">
            <v>4500</v>
          </cell>
          <cell r="L184">
            <v>2416.67</v>
          </cell>
        </row>
        <row r="185">
          <cell r="A185">
            <v>46086</v>
          </cell>
          <cell r="B185">
            <v>0.64901620370370372</v>
          </cell>
          <cell r="D185" t="str">
            <v>BEBIDA - Jugo Hit</v>
          </cell>
          <cell r="G185">
            <v>1</v>
          </cell>
          <cell r="I185">
            <v>0</v>
          </cell>
          <cell r="J185">
            <v>4500</v>
          </cell>
          <cell r="K185">
            <v>4500</v>
          </cell>
          <cell r="L185">
            <v>2416.67</v>
          </cell>
        </row>
        <row r="186">
          <cell r="A186">
            <v>46086</v>
          </cell>
          <cell r="B186">
            <v>0.64901620370370372</v>
          </cell>
          <cell r="D186" t="str">
            <v>Parrillada de 35</v>
          </cell>
          <cell r="G186">
            <v>1</v>
          </cell>
          <cell r="I186">
            <v>0</v>
          </cell>
          <cell r="J186">
            <v>35000</v>
          </cell>
          <cell r="K186">
            <v>35000</v>
          </cell>
          <cell r="L186">
            <v>1000000</v>
          </cell>
        </row>
        <row r="187">
          <cell r="A187">
            <v>46086</v>
          </cell>
          <cell r="B187">
            <v>0.65855324074074073</v>
          </cell>
          <cell r="D187" t="str">
            <v>Parrillada de 35</v>
          </cell>
          <cell r="G187">
            <v>1</v>
          </cell>
          <cell r="I187">
            <v>35000</v>
          </cell>
          <cell r="J187">
            <v>0</v>
          </cell>
          <cell r="K187">
            <v>35000</v>
          </cell>
          <cell r="L187">
            <v>1000000</v>
          </cell>
        </row>
        <row r="188">
          <cell r="A188">
            <v>46086</v>
          </cell>
          <cell r="B188">
            <v>0.71677083333333336</v>
          </cell>
          <cell r="D188" t="str">
            <v xml:space="preserve"> Chorizo con papa/arepa</v>
          </cell>
          <cell r="G188">
            <v>1</v>
          </cell>
          <cell r="I188">
            <v>8000</v>
          </cell>
          <cell r="J188">
            <v>0</v>
          </cell>
          <cell r="K188">
            <v>8000</v>
          </cell>
          <cell r="L188">
            <v>4340</v>
          </cell>
        </row>
        <row r="189">
          <cell r="A189">
            <v>46086</v>
          </cell>
          <cell r="B189">
            <v>0.72050925925925924</v>
          </cell>
          <cell r="D189" t="str">
            <v xml:space="preserve"> Chorizo con papa/arepa</v>
          </cell>
          <cell r="G189">
            <v>1</v>
          </cell>
          <cell r="I189">
            <v>8000</v>
          </cell>
          <cell r="J189">
            <v>0</v>
          </cell>
          <cell r="K189">
            <v>8000</v>
          </cell>
          <cell r="L189">
            <v>4340</v>
          </cell>
        </row>
        <row r="190">
          <cell r="A190">
            <v>46086</v>
          </cell>
          <cell r="B190">
            <v>0.73907407407407411</v>
          </cell>
          <cell r="D190" t="str">
            <v xml:space="preserve"> Chorizo con papa/arepa</v>
          </cell>
          <cell r="G190">
            <v>1</v>
          </cell>
          <cell r="I190">
            <v>8000</v>
          </cell>
          <cell r="J190">
            <v>0</v>
          </cell>
          <cell r="K190">
            <v>8000</v>
          </cell>
          <cell r="L190">
            <v>4340</v>
          </cell>
        </row>
        <row r="191">
          <cell r="A191">
            <v>46086</v>
          </cell>
          <cell r="B191">
            <v>0.7546180555555555</v>
          </cell>
          <cell r="D191" t="str">
            <v xml:space="preserve"> Chorizo con papa/arepa</v>
          </cell>
          <cell r="G191">
            <v>1</v>
          </cell>
          <cell r="I191">
            <v>8000</v>
          </cell>
          <cell r="J191">
            <v>0</v>
          </cell>
          <cell r="K191">
            <v>8000</v>
          </cell>
          <cell r="L191">
            <v>4340</v>
          </cell>
        </row>
        <row r="192">
          <cell r="A192">
            <v>46086</v>
          </cell>
          <cell r="B192">
            <v>0.77195601851851847</v>
          </cell>
          <cell r="D192" t="str">
            <v xml:space="preserve"> Chorizo con papa/arepa</v>
          </cell>
          <cell r="G192">
            <v>1</v>
          </cell>
          <cell r="I192">
            <v>8000</v>
          </cell>
          <cell r="J192">
            <v>0</v>
          </cell>
          <cell r="K192">
            <v>8000</v>
          </cell>
          <cell r="L192">
            <v>4340</v>
          </cell>
        </row>
        <row r="193">
          <cell r="A193">
            <v>46086</v>
          </cell>
          <cell r="B193">
            <v>0.78481481481481485</v>
          </cell>
          <cell r="D193" t="str">
            <v xml:space="preserve"> Chorizo con papa/arepa</v>
          </cell>
          <cell r="G193">
            <v>1</v>
          </cell>
          <cell r="I193">
            <v>0</v>
          </cell>
          <cell r="J193">
            <v>8000</v>
          </cell>
          <cell r="K193">
            <v>8000</v>
          </cell>
          <cell r="L193">
            <v>4340</v>
          </cell>
        </row>
        <row r="194">
          <cell r="A194">
            <v>46086</v>
          </cell>
          <cell r="B194">
            <v>0.78481481481481485</v>
          </cell>
          <cell r="D194" t="str">
            <v>BEBIDA - Postobón</v>
          </cell>
          <cell r="G194">
            <v>1</v>
          </cell>
          <cell r="I194">
            <v>0</v>
          </cell>
          <cell r="J194">
            <v>3000</v>
          </cell>
          <cell r="K194">
            <v>3000</v>
          </cell>
          <cell r="L194">
            <v>1133.33</v>
          </cell>
        </row>
        <row r="195">
          <cell r="A195">
            <v>46086</v>
          </cell>
          <cell r="B195">
            <v>0.802337962962963</v>
          </cell>
          <cell r="D195" t="str">
            <v xml:space="preserve"> Chorizo con papa/arepa</v>
          </cell>
          <cell r="G195">
            <v>3</v>
          </cell>
          <cell r="I195">
            <v>0</v>
          </cell>
          <cell r="J195">
            <v>24000</v>
          </cell>
          <cell r="K195">
            <v>24000</v>
          </cell>
          <cell r="L195">
            <v>4340</v>
          </cell>
        </row>
        <row r="196">
          <cell r="A196">
            <v>46086</v>
          </cell>
          <cell r="B196">
            <v>0.802337962962963</v>
          </cell>
          <cell r="D196" t="str">
            <v>BEBIDA - Postobón</v>
          </cell>
          <cell r="G196">
            <v>2</v>
          </cell>
          <cell r="I196">
            <v>0</v>
          </cell>
          <cell r="J196">
            <v>6000</v>
          </cell>
          <cell r="K196">
            <v>6000</v>
          </cell>
          <cell r="L196">
            <v>1133.33</v>
          </cell>
        </row>
        <row r="197">
          <cell r="A197">
            <v>46086</v>
          </cell>
          <cell r="B197">
            <v>0.84318287037037032</v>
          </cell>
          <cell r="D197" t="str">
            <v xml:space="preserve"> Chorizo con papa/arepa</v>
          </cell>
          <cell r="G197">
            <v>1</v>
          </cell>
          <cell r="I197">
            <v>8000</v>
          </cell>
          <cell r="J197">
            <v>0</v>
          </cell>
          <cell r="K197">
            <v>8000</v>
          </cell>
          <cell r="L197">
            <v>4340</v>
          </cell>
        </row>
        <row r="198">
          <cell r="A198">
            <v>46086</v>
          </cell>
          <cell r="B198">
            <v>0.84318287037037032</v>
          </cell>
          <cell r="D198" t="str">
            <v>Tinto</v>
          </cell>
          <cell r="G198">
            <v>1</v>
          </cell>
          <cell r="I198">
            <v>2000</v>
          </cell>
          <cell r="J198">
            <v>0</v>
          </cell>
          <cell r="K198">
            <v>2000</v>
          </cell>
          <cell r="L198">
            <v>1000000</v>
          </cell>
        </row>
        <row r="199">
          <cell r="A199">
            <v>46088</v>
          </cell>
          <cell r="B199">
            <v>0.95762731481481478</v>
          </cell>
          <cell r="D199" t="str">
            <v xml:space="preserve"> Chorizo con papa/arepa</v>
          </cell>
          <cell r="G199">
            <v>2</v>
          </cell>
          <cell r="I199">
            <v>16000</v>
          </cell>
          <cell r="J199">
            <v>0</v>
          </cell>
          <cell r="K199">
            <v>16000</v>
          </cell>
          <cell r="L199">
            <v>4340</v>
          </cell>
        </row>
        <row r="200">
          <cell r="A200">
            <v>46088</v>
          </cell>
          <cell r="B200">
            <v>0.95777777777777773</v>
          </cell>
          <cell r="D200" t="str">
            <v xml:space="preserve"> Chorizo con papa/arepa</v>
          </cell>
          <cell r="G200">
            <v>2</v>
          </cell>
          <cell r="I200">
            <v>16000</v>
          </cell>
          <cell r="J200">
            <v>0</v>
          </cell>
          <cell r="K200">
            <v>16000</v>
          </cell>
          <cell r="L200">
            <v>4340</v>
          </cell>
        </row>
        <row r="201">
          <cell r="A201">
            <v>46088</v>
          </cell>
          <cell r="B201">
            <v>0.95832175925925922</v>
          </cell>
          <cell r="D201" t="str">
            <v xml:space="preserve"> Chorizo con papa/arepa</v>
          </cell>
          <cell r="G201">
            <v>4</v>
          </cell>
          <cell r="I201">
            <v>32000</v>
          </cell>
          <cell r="J201">
            <v>0</v>
          </cell>
          <cell r="K201">
            <v>32000</v>
          </cell>
          <cell r="L201">
            <v>4340</v>
          </cell>
        </row>
        <row r="202">
          <cell r="A202">
            <v>46088</v>
          </cell>
          <cell r="B202">
            <v>0.95832175925925922</v>
          </cell>
          <cell r="D202" t="str">
            <v>BEBIDA - Coca Cola</v>
          </cell>
          <cell r="G202">
            <v>2</v>
          </cell>
          <cell r="I202">
            <v>6000</v>
          </cell>
          <cell r="J202">
            <v>0</v>
          </cell>
          <cell r="K202">
            <v>6000</v>
          </cell>
          <cell r="L202">
            <v>1200</v>
          </cell>
        </row>
        <row r="203">
          <cell r="A203">
            <v>46088</v>
          </cell>
          <cell r="B203">
            <v>0.95892361111111113</v>
          </cell>
          <cell r="D203" t="str">
            <v xml:space="preserve"> Chorizo con papa/arepa</v>
          </cell>
          <cell r="G203">
            <v>1</v>
          </cell>
          <cell r="I203">
            <v>8000</v>
          </cell>
          <cell r="J203">
            <v>0</v>
          </cell>
          <cell r="K203">
            <v>8000</v>
          </cell>
          <cell r="L203">
            <v>4340</v>
          </cell>
        </row>
        <row r="204">
          <cell r="A204">
            <v>46088</v>
          </cell>
          <cell r="B204">
            <v>0.95892361111111113</v>
          </cell>
          <cell r="D204" t="str">
            <v>BEBIDA - Coca Cola</v>
          </cell>
          <cell r="G204">
            <v>1</v>
          </cell>
          <cell r="I204">
            <v>3000</v>
          </cell>
          <cell r="J204">
            <v>0</v>
          </cell>
          <cell r="K204">
            <v>3000</v>
          </cell>
          <cell r="L204">
            <v>1200</v>
          </cell>
        </row>
        <row r="205">
          <cell r="A205">
            <v>46088</v>
          </cell>
          <cell r="B205">
            <v>0.95915509259259257</v>
          </cell>
          <cell r="D205" t="str">
            <v xml:space="preserve"> Chorizo con papa/arepa</v>
          </cell>
          <cell r="G205">
            <v>2</v>
          </cell>
          <cell r="I205">
            <v>16000</v>
          </cell>
          <cell r="J205">
            <v>0</v>
          </cell>
          <cell r="K205">
            <v>16000</v>
          </cell>
          <cell r="L205">
            <v>4340</v>
          </cell>
        </row>
        <row r="206">
          <cell r="A206">
            <v>46088</v>
          </cell>
          <cell r="B206">
            <v>0.95915509259259257</v>
          </cell>
          <cell r="D206" t="str">
            <v>BEBIDA - Coca Cola</v>
          </cell>
          <cell r="G206">
            <v>2</v>
          </cell>
          <cell r="I206">
            <v>6000</v>
          </cell>
          <cell r="J206">
            <v>0</v>
          </cell>
          <cell r="K206">
            <v>6000</v>
          </cell>
          <cell r="L206">
            <v>1200</v>
          </cell>
        </row>
        <row r="207">
          <cell r="A207">
            <v>46088</v>
          </cell>
          <cell r="B207">
            <v>0.96042824074074074</v>
          </cell>
          <cell r="D207" t="str">
            <v xml:space="preserve"> Chorizo con papa/arepa</v>
          </cell>
          <cell r="G207">
            <v>2</v>
          </cell>
          <cell r="I207">
            <v>0</v>
          </cell>
          <cell r="J207">
            <v>16000</v>
          </cell>
          <cell r="K207">
            <v>16000</v>
          </cell>
          <cell r="L207">
            <v>4340</v>
          </cell>
        </row>
        <row r="208">
          <cell r="A208">
            <v>46088</v>
          </cell>
          <cell r="B208">
            <v>0.96141203703703704</v>
          </cell>
          <cell r="D208" t="str">
            <v xml:space="preserve"> Chorizo con papa/arepa</v>
          </cell>
          <cell r="G208">
            <v>3</v>
          </cell>
          <cell r="I208">
            <v>0</v>
          </cell>
          <cell r="J208">
            <v>24000</v>
          </cell>
          <cell r="K208">
            <v>24000</v>
          </cell>
          <cell r="L208">
            <v>4340</v>
          </cell>
        </row>
        <row r="209">
          <cell r="A209">
            <v>46088</v>
          </cell>
          <cell r="B209">
            <v>0.96141203703703704</v>
          </cell>
          <cell r="D209" t="str">
            <v>BEBIDA - Jugo Hit</v>
          </cell>
          <cell r="G209">
            <v>1</v>
          </cell>
          <cell r="I209">
            <v>0</v>
          </cell>
          <cell r="J209">
            <v>4500</v>
          </cell>
          <cell r="K209">
            <v>4500</v>
          </cell>
          <cell r="L209">
            <v>2416.67</v>
          </cell>
        </row>
        <row r="210">
          <cell r="A210">
            <v>46088</v>
          </cell>
          <cell r="B210">
            <v>0.96318287037037043</v>
          </cell>
          <cell r="D210" t="str">
            <v>PROMO: promo vecino de jenesano</v>
          </cell>
          <cell r="G210">
            <v>1</v>
          </cell>
          <cell r="I210">
            <v>15000</v>
          </cell>
          <cell r="J210">
            <v>0</v>
          </cell>
          <cell r="K210">
            <v>15000</v>
          </cell>
          <cell r="L210">
            <v>1000000</v>
          </cell>
        </row>
        <row r="211">
          <cell r="A211">
            <v>46088</v>
          </cell>
          <cell r="B211">
            <v>0.96481481481481479</v>
          </cell>
          <cell r="D211" t="str">
            <v>Parrillada de 60</v>
          </cell>
          <cell r="G211">
            <v>1</v>
          </cell>
          <cell r="I211">
            <v>60000</v>
          </cell>
          <cell r="J211">
            <v>0</v>
          </cell>
          <cell r="K211">
            <v>60000</v>
          </cell>
          <cell r="L211">
            <v>1000000</v>
          </cell>
        </row>
        <row r="212">
          <cell r="A212">
            <v>46088</v>
          </cell>
          <cell r="B212">
            <v>0.96510416666666665</v>
          </cell>
          <cell r="D212" t="str">
            <v xml:space="preserve"> Chorizo con papa/arepa</v>
          </cell>
          <cell r="G212">
            <v>1</v>
          </cell>
          <cell r="I212">
            <v>8000</v>
          </cell>
          <cell r="J212">
            <v>0</v>
          </cell>
          <cell r="K212">
            <v>8000</v>
          </cell>
          <cell r="L212">
            <v>4340</v>
          </cell>
        </row>
        <row r="213">
          <cell r="A213">
            <v>46088</v>
          </cell>
          <cell r="B213">
            <v>0.96510416666666665</v>
          </cell>
          <cell r="D213" t="str">
            <v>BEBIDA - Jugo Hit</v>
          </cell>
          <cell r="G213">
            <v>1</v>
          </cell>
          <cell r="I213">
            <v>4500</v>
          </cell>
          <cell r="J213">
            <v>0</v>
          </cell>
          <cell r="K213">
            <v>4500</v>
          </cell>
          <cell r="L213">
            <v>2416.67</v>
          </cell>
        </row>
        <row r="214">
          <cell r="A214">
            <v>46088</v>
          </cell>
          <cell r="B214">
            <v>0.96643518518518523</v>
          </cell>
          <cell r="D214" t="str">
            <v>BEBIDA - Coca Cola</v>
          </cell>
          <cell r="G214">
            <v>1</v>
          </cell>
          <cell r="I214">
            <v>0</v>
          </cell>
          <cell r="J214">
            <v>3000</v>
          </cell>
          <cell r="K214">
            <v>3000</v>
          </cell>
          <cell r="L214">
            <v>1200</v>
          </cell>
        </row>
        <row r="215">
          <cell r="A215">
            <v>46088</v>
          </cell>
          <cell r="B215">
            <v>0.96643518518518523</v>
          </cell>
          <cell r="D215" t="str">
            <v>CARNES - Carne Asada de 40</v>
          </cell>
          <cell r="G215">
            <v>1</v>
          </cell>
          <cell r="I215">
            <v>0</v>
          </cell>
          <cell r="J215">
            <v>40000</v>
          </cell>
          <cell r="K215">
            <v>40000</v>
          </cell>
          <cell r="L215">
            <v>1000000</v>
          </cell>
        </row>
        <row r="216">
          <cell r="A216">
            <v>46088</v>
          </cell>
          <cell r="B216">
            <v>0.96680555555555558</v>
          </cell>
          <cell r="D216" t="str">
            <v xml:space="preserve"> Chorizo con papa/arepa</v>
          </cell>
          <cell r="G216">
            <v>2</v>
          </cell>
          <cell r="I216">
            <v>16000</v>
          </cell>
          <cell r="J216">
            <v>0</v>
          </cell>
          <cell r="K216">
            <v>16000</v>
          </cell>
          <cell r="L216">
            <v>4340</v>
          </cell>
        </row>
        <row r="217">
          <cell r="A217">
            <v>46088</v>
          </cell>
          <cell r="B217">
            <v>0.96680555555555558</v>
          </cell>
          <cell r="D217" t="str">
            <v>BEBIDA - Jugo Hit</v>
          </cell>
          <cell r="G217">
            <v>1</v>
          </cell>
          <cell r="I217">
            <v>4500</v>
          </cell>
          <cell r="J217">
            <v>0</v>
          </cell>
          <cell r="K217">
            <v>4500</v>
          </cell>
          <cell r="L217">
            <v>2416.67</v>
          </cell>
        </row>
        <row r="218">
          <cell r="A218">
            <v>46089</v>
          </cell>
          <cell r="B218">
            <v>0.59064814814814814</v>
          </cell>
          <cell r="D218" t="str">
            <v xml:space="preserve"> Chorizo con papa/arepa</v>
          </cell>
          <cell r="G218">
            <v>3</v>
          </cell>
          <cell r="I218">
            <v>0</v>
          </cell>
          <cell r="J218">
            <v>24000</v>
          </cell>
          <cell r="K218">
            <v>24000</v>
          </cell>
          <cell r="L218">
            <v>4340</v>
          </cell>
        </row>
        <row r="219">
          <cell r="A219">
            <v>46089</v>
          </cell>
          <cell r="B219">
            <v>0.59064814814814814</v>
          </cell>
          <cell r="D219" t="str">
            <v>BEBIDA - Coca Cola</v>
          </cell>
          <cell r="G219">
            <v>2</v>
          </cell>
          <cell r="I219">
            <v>0</v>
          </cell>
          <cell r="J219">
            <v>6000</v>
          </cell>
          <cell r="K219">
            <v>6000</v>
          </cell>
          <cell r="L219">
            <v>1200</v>
          </cell>
        </row>
        <row r="220">
          <cell r="A220">
            <v>46089</v>
          </cell>
          <cell r="B220">
            <v>0.59089120370370374</v>
          </cell>
          <cell r="D220" t="str">
            <v xml:space="preserve"> Chorizo con papa/arepa</v>
          </cell>
          <cell r="G220">
            <v>1</v>
          </cell>
          <cell r="I220">
            <v>8000</v>
          </cell>
          <cell r="J220">
            <v>0</v>
          </cell>
          <cell r="K220">
            <v>8000</v>
          </cell>
          <cell r="L220">
            <v>4340</v>
          </cell>
        </row>
        <row r="221">
          <cell r="A221">
            <v>46089</v>
          </cell>
          <cell r="B221">
            <v>0.59089120370370374</v>
          </cell>
          <cell r="D221" t="str">
            <v>BEBIDA - Postobón</v>
          </cell>
          <cell r="G221">
            <v>1</v>
          </cell>
          <cell r="I221">
            <v>3000</v>
          </cell>
          <cell r="J221">
            <v>0</v>
          </cell>
          <cell r="K221">
            <v>3000</v>
          </cell>
          <cell r="L221">
            <v>1133.33</v>
          </cell>
        </row>
        <row r="222">
          <cell r="A222">
            <v>46089</v>
          </cell>
          <cell r="B222">
            <v>0.59761574074074075</v>
          </cell>
          <cell r="D222" t="str">
            <v xml:space="preserve"> Chorizo con papa/arepa</v>
          </cell>
          <cell r="G222">
            <v>3</v>
          </cell>
          <cell r="I222">
            <v>0</v>
          </cell>
          <cell r="J222">
            <v>24000</v>
          </cell>
          <cell r="K222">
            <v>24000</v>
          </cell>
          <cell r="L222">
            <v>4340</v>
          </cell>
        </row>
        <row r="223">
          <cell r="A223">
            <v>46089</v>
          </cell>
          <cell r="B223">
            <v>0.59761574074074075</v>
          </cell>
          <cell r="D223" t="str">
            <v>Bandeja Choriboni - 30</v>
          </cell>
          <cell r="G223">
            <v>1</v>
          </cell>
          <cell r="I223">
            <v>0</v>
          </cell>
          <cell r="J223">
            <v>30000</v>
          </cell>
          <cell r="K223">
            <v>30000</v>
          </cell>
          <cell r="L223">
            <v>3500</v>
          </cell>
        </row>
        <row r="224">
          <cell r="A224">
            <v>46089</v>
          </cell>
          <cell r="B224">
            <v>0.62121527777777774</v>
          </cell>
          <cell r="D224" t="str">
            <v xml:space="preserve"> Chorizo con papa/arepa</v>
          </cell>
          <cell r="G224">
            <v>1</v>
          </cell>
          <cell r="I224">
            <v>8000</v>
          </cell>
          <cell r="J224">
            <v>0</v>
          </cell>
          <cell r="K224">
            <v>8000</v>
          </cell>
          <cell r="L224">
            <v>4340</v>
          </cell>
        </row>
        <row r="225">
          <cell r="A225">
            <v>46089</v>
          </cell>
          <cell r="B225">
            <v>0.62121527777777774</v>
          </cell>
          <cell r="D225" t="str">
            <v>BEBIDA - Coca Cola</v>
          </cell>
          <cell r="G225">
            <v>1</v>
          </cell>
          <cell r="I225">
            <v>3000</v>
          </cell>
          <cell r="J225">
            <v>0</v>
          </cell>
          <cell r="K225">
            <v>3000</v>
          </cell>
          <cell r="L225">
            <v>1200</v>
          </cell>
        </row>
        <row r="226">
          <cell r="A226">
            <v>46089</v>
          </cell>
          <cell r="B226">
            <v>0.63009259259259254</v>
          </cell>
          <cell r="D226" t="str">
            <v>Bandeja Choriboni - 35</v>
          </cell>
          <cell r="G226">
            <v>1</v>
          </cell>
          <cell r="I226">
            <v>35000</v>
          </cell>
          <cell r="J226">
            <v>0</v>
          </cell>
          <cell r="K226">
            <v>35000</v>
          </cell>
          <cell r="L226">
            <v>3500</v>
          </cell>
        </row>
        <row r="227">
          <cell r="A227">
            <v>46089</v>
          </cell>
          <cell r="B227">
            <v>0.63009259259259254</v>
          </cell>
          <cell r="D227" t="str">
            <v>BEBIDA - Coca Cola</v>
          </cell>
          <cell r="G227">
            <v>1</v>
          </cell>
          <cell r="I227">
            <v>3000</v>
          </cell>
          <cell r="J227">
            <v>0</v>
          </cell>
          <cell r="K227">
            <v>3000</v>
          </cell>
          <cell r="L227">
            <v>1200</v>
          </cell>
        </row>
        <row r="228">
          <cell r="A228">
            <v>46089</v>
          </cell>
          <cell r="B228">
            <v>0.63009259259259254</v>
          </cell>
          <cell r="D228" t="str">
            <v>BEBIDA - Jugo Hit</v>
          </cell>
          <cell r="G228">
            <v>1</v>
          </cell>
          <cell r="I228">
            <v>4500</v>
          </cell>
          <cell r="J228">
            <v>0</v>
          </cell>
          <cell r="K228">
            <v>4500</v>
          </cell>
          <cell r="L228">
            <v>2416.67</v>
          </cell>
        </row>
        <row r="229">
          <cell r="A229">
            <v>46089</v>
          </cell>
          <cell r="B229">
            <v>0.63078703703703709</v>
          </cell>
          <cell r="D229" t="str">
            <v xml:space="preserve"> Chorizo con papa/arepa</v>
          </cell>
          <cell r="G229">
            <v>1</v>
          </cell>
          <cell r="I229">
            <v>8000</v>
          </cell>
          <cell r="J229">
            <v>0</v>
          </cell>
          <cell r="K229">
            <v>8000</v>
          </cell>
          <cell r="L229">
            <v>4340</v>
          </cell>
        </row>
        <row r="230">
          <cell r="A230">
            <v>46089</v>
          </cell>
          <cell r="B230">
            <v>0.63078703703703709</v>
          </cell>
          <cell r="D230" t="str">
            <v>Bandeja Choriboni - 35</v>
          </cell>
          <cell r="G230">
            <v>1</v>
          </cell>
          <cell r="I230">
            <v>35000</v>
          </cell>
          <cell r="J230">
            <v>0</v>
          </cell>
          <cell r="K230">
            <v>35000</v>
          </cell>
          <cell r="L230">
            <v>3500</v>
          </cell>
        </row>
        <row r="231">
          <cell r="A231">
            <v>46089</v>
          </cell>
          <cell r="B231">
            <v>0.63078703703703709</v>
          </cell>
          <cell r="D231" t="str">
            <v>BEBIDA - Botella de Agua</v>
          </cell>
          <cell r="G231">
            <v>1</v>
          </cell>
          <cell r="I231">
            <v>3500</v>
          </cell>
          <cell r="J231">
            <v>0</v>
          </cell>
          <cell r="K231">
            <v>3500</v>
          </cell>
          <cell r="L231">
            <v>1416.67</v>
          </cell>
        </row>
        <row r="232">
          <cell r="A232">
            <v>46089</v>
          </cell>
          <cell r="B232">
            <v>0.63078703703703709</v>
          </cell>
          <cell r="D232" t="str">
            <v>BEBIDA - Coca Cola</v>
          </cell>
          <cell r="G232">
            <v>1</v>
          </cell>
          <cell r="I232">
            <v>3000</v>
          </cell>
          <cell r="J232">
            <v>0</v>
          </cell>
          <cell r="K232">
            <v>3000</v>
          </cell>
          <cell r="L232">
            <v>1200</v>
          </cell>
        </row>
        <row r="233">
          <cell r="A233">
            <v>46089</v>
          </cell>
          <cell r="B233">
            <v>0.72372685185185182</v>
          </cell>
          <cell r="D233" t="str">
            <v xml:space="preserve"> Chorizo con papa/arepa</v>
          </cell>
          <cell r="G233">
            <v>1</v>
          </cell>
          <cell r="I233">
            <v>0</v>
          </cell>
          <cell r="J233">
            <v>8000</v>
          </cell>
          <cell r="K233">
            <v>8000</v>
          </cell>
          <cell r="L233">
            <v>4340</v>
          </cell>
        </row>
        <row r="234">
          <cell r="A234">
            <v>46089</v>
          </cell>
          <cell r="B234">
            <v>0.72736111111111112</v>
          </cell>
          <cell r="D234" t="str">
            <v>BEBIDA - Botella de Agua</v>
          </cell>
          <cell r="G234">
            <v>1</v>
          </cell>
          <cell r="I234">
            <v>0</v>
          </cell>
          <cell r="J234">
            <v>3500</v>
          </cell>
          <cell r="K234">
            <v>3500</v>
          </cell>
          <cell r="L234">
            <v>1416.67</v>
          </cell>
        </row>
        <row r="235">
          <cell r="A235">
            <v>46089</v>
          </cell>
          <cell r="B235">
            <v>0.75215277777777778</v>
          </cell>
          <cell r="D235" t="str">
            <v xml:space="preserve"> Chorizo con papa/arepa</v>
          </cell>
          <cell r="G235">
            <v>1</v>
          </cell>
          <cell r="I235">
            <v>8000</v>
          </cell>
          <cell r="J235">
            <v>0</v>
          </cell>
          <cell r="K235">
            <v>8000</v>
          </cell>
          <cell r="L235">
            <v>4340</v>
          </cell>
        </row>
        <row r="236">
          <cell r="A236">
            <v>46089</v>
          </cell>
          <cell r="B236">
            <v>0.75215277777777778</v>
          </cell>
          <cell r="D236" t="str">
            <v>PROMO pedazo de carne</v>
          </cell>
          <cell r="G236">
            <v>1</v>
          </cell>
          <cell r="I236">
            <v>2000</v>
          </cell>
          <cell r="J236">
            <v>0</v>
          </cell>
          <cell r="K236">
            <v>2000</v>
          </cell>
          <cell r="L236">
            <v>1000000</v>
          </cell>
        </row>
        <row r="237">
          <cell r="A237">
            <v>46090</v>
          </cell>
          <cell r="B237">
            <v>0.66708333333333336</v>
          </cell>
          <cell r="D237" t="str">
            <v>Bandeja Choriboni - 35</v>
          </cell>
          <cell r="G237">
            <v>1</v>
          </cell>
          <cell r="I237">
            <v>35000</v>
          </cell>
          <cell r="J237">
            <v>0</v>
          </cell>
          <cell r="K237">
            <v>35000</v>
          </cell>
          <cell r="L237">
            <v>3500</v>
          </cell>
        </row>
        <row r="238">
          <cell r="A238">
            <v>46090</v>
          </cell>
          <cell r="B238">
            <v>0.66708333333333336</v>
          </cell>
          <cell r="D238" t="str">
            <v>BEBIDA - Coca Cola</v>
          </cell>
          <cell r="G238">
            <v>2</v>
          </cell>
          <cell r="I238">
            <v>6000</v>
          </cell>
          <cell r="J238">
            <v>0</v>
          </cell>
          <cell r="K238">
            <v>6000</v>
          </cell>
          <cell r="L238">
            <v>1200</v>
          </cell>
        </row>
        <row r="239">
          <cell r="A239">
            <v>46090</v>
          </cell>
          <cell r="B239">
            <v>0.66991898148148143</v>
          </cell>
          <cell r="D239" t="str">
            <v xml:space="preserve"> Chorizo con papa/arepa</v>
          </cell>
          <cell r="G239">
            <v>1</v>
          </cell>
          <cell r="I239">
            <v>8000</v>
          </cell>
          <cell r="J239">
            <v>0</v>
          </cell>
          <cell r="K239">
            <v>8000</v>
          </cell>
          <cell r="L239">
            <v>4340</v>
          </cell>
        </row>
        <row r="240">
          <cell r="A240">
            <v>46090</v>
          </cell>
          <cell r="B240">
            <v>0.67082175925925924</v>
          </cell>
          <cell r="D240" t="str">
            <v xml:space="preserve"> Chorizo con papa/arepa</v>
          </cell>
          <cell r="G240">
            <v>2</v>
          </cell>
          <cell r="I240">
            <v>16000</v>
          </cell>
          <cell r="J240">
            <v>0</v>
          </cell>
          <cell r="K240">
            <v>16000</v>
          </cell>
          <cell r="L240">
            <v>4340</v>
          </cell>
        </row>
        <row r="241">
          <cell r="A241">
            <v>46090</v>
          </cell>
          <cell r="B241">
            <v>0.67082175925925924</v>
          </cell>
          <cell r="D241" t="str">
            <v>BEBIDA - Jugo Hit</v>
          </cell>
          <cell r="G241">
            <v>1</v>
          </cell>
          <cell r="I241">
            <v>4500</v>
          </cell>
          <cell r="J241">
            <v>0</v>
          </cell>
          <cell r="K241">
            <v>4500</v>
          </cell>
          <cell r="L241">
            <v>2416.67</v>
          </cell>
        </row>
        <row r="242">
          <cell r="A242">
            <v>46090</v>
          </cell>
          <cell r="B242">
            <v>0.67082175925925924</v>
          </cell>
          <cell r="D242" t="str">
            <v>BEBIDA - Postobón</v>
          </cell>
          <cell r="G242">
            <v>1</v>
          </cell>
          <cell r="I242">
            <v>3000</v>
          </cell>
          <cell r="J242">
            <v>0</v>
          </cell>
          <cell r="K242">
            <v>3000</v>
          </cell>
          <cell r="L242">
            <v>1133.33</v>
          </cell>
        </row>
        <row r="243">
          <cell r="A243">
            <v>46090</v>
          </cell>
          <cell r="B243">
            <v>0.68744212962962958</v>
          </cell>
          <cell r="D243" t="str">
            <v>Bandeja Choriboni - 35</v>
          </cell>
          <cell r="G243">
            <v>2</v>
          </cell>
          <cell r="I243">
            <v>70000</v>
          </cell>
          <cell r="J243">
            <v>0</v>
          </cell>
          <cell r="K243">
            <v>70000</v>
          </cell>
          <cell r="L243">
            <v>3500</v>
          </cell>
        </row>
        <row r="244">
          <cell r="A244">
            <v>46090</v>
          </cell>
          <cell r="B244">
            <v>0.68744212962962958</v>
          </cell>
          <cell r="D244" t="str">
            <v>BEBIDA - Coca Cola</v>
          </cell>
          <cell r="G244">
            <v>1</v>
          </cell>
          <cell r="I244">
            <v>3000</v>
          </cell>
          <cell r="J244">
            <v>0</v>
          </cell>
          <cell r="K244">
            <v>3000</v>
          </cell>
          <cell r="L244">
            <v>1200</v>
          </cell>
        </row>
        <row r="245">
          <cell r="A245">
            <v>46090</v>
          </cell>
          <cell r="B245">
            <v>0.72614583333333338</v>
          </cell>
          <cell r="D245" t="str">
            <v xml:space="preserve"> Chorizo con papa/arepa</v>
          </cell>
          <cell r="G245">
            <v>2</v>
          </cell>
          <cell r="I245">
            <v>16000</v>
          </cell>
          <cell r="J245">
            <v>0</v>
          </cell>
          <cell r="K245">
            <v>16000</v>
          </cell>
          <cell r="L245">
            <v>4340</v>
          </cell>
        </row>
        <row r="246">
          <cell r="A246">
            <v>46090</v>
          </cell>
          <cell r="B246">
            <v>0.74246527777777782</v>
          </cell>
          <cell r="D246" t="str">
            <v>Bandeja Choriboni - 35</v>
          </cell>
          <cell r="G246">
            <v>2</v>
          </cell>
          <cell r="I246">
            <v>0</v>
          </cell>
          <cell r="J246">
            <v>70000</v>
          </cell>
          <cell r="K246">
            <v>70000</v>
          </cell>
          <cell r="L246">
            <v>3500</v>
          </cell>
        </row>
        <row r="247">
          <cell r="A247">
            <v>46090</v>
          </cell>
          <cell r="B247">
            <v>0.74246527777777782</v>
          </cell>
          <cell r="D247" t="str">
            <v>BEBIDA - Coca Cola</v>
          </cell>
          <cell r="G247">
            <v>2</v>
          </cell>
          <cell r="I247">
            <v>0</v>
          </cell>
          <cell r="J247">
            <v>6000</v>
          </cell>
          <cell r="K247">
            <v>6000</v>
          </cell>
          <cell r="L247">
            <v>1200</v>
          </cell>
        </row>
        <row r="248">
          <cell r="A248">
            <v>46090</v>
          </cell>
          <cell r="B248">
            <v>0.78331018518518514</v>
          </cell>
          <cell r="D248" t="str">
            <v xml:space="preserve"> Chorizo con papa/arepa</v>
          </cell>
          <cell r="G248">
            <v>1</v>
          </cell>
          <cell r="I248">
            <v>8000</v>
          </cell>
          <cell r="J248">
            <v>0</v>
          </cell>
          <cell r="K248">
            <v>8000</v>
          </cell>
          <cell r="L248">
            <v>4340</v>
          </cell>
        </row>
        <row r="249">
          <cell r="A249">
            <v>46090</v>
          </cell>
          <cell r="B249">
            <v>0.78331018518518514</v>
          </cell>
          <cell r="D249" t="str">
            <v>BEBIDA - Coca Cola</v>
          </cell>
          <cell r="G249">
            <v>1</v>
          </cell>
          <cell r="I249">
            <v>3000</v>
          </cell>
          <cell r="J249">
            <v>0</v>
          </cell>
          <cell r="K249">
            <v>3000</v>
          </cell>
          <cell r="L249">
            <v>1200</v>
          </cell>
        </row>
        <row r="250">
          <cell r="A250">
            <v>46091</v>
          </cell>
          <cell r="B250">
            <v>0.72864583333333333</v>
          </cell>
          <cell r="D250" t="str">
            <v xml:space="preserve"> Chorizo con papa/arepa</v>
          </cell>
          <cell r="G250">
            <v>1</v>
          </cell>
          <cell r="I250">
            <v>0</v>
          </cell>
          <cell r="J250">
            <v>8000</v>
          </cell>
          <cell r="K250">
            <v>8000</v>
          </cell>
          <cell r="L250">
            <v>4340</v>
          </cell>
        </row>
        <row r="251">
          <cell r="A251">
            <v>46091</v>
          </cell>
          <cell r="B251">
            <v>0.72864583333333333</v>
          </cell>
          <cell r="D251" t="str">
            <v>BEBIDA - Coca Cola</v>
          </cell>
          <cell r="G251">
            <v>1</v>
          </cell>
          <cell r="I251">
            <v>0</v>
          </cell>
          <cell r="J251">
            <v>3000</v>
          </cell>
          <cell r="K251">
            <v>3000</v>
          </cell>
          <cell r="L251">
            <v>1200</v>
          </cell>
        </row>
        <row r="252">
          <cell r="A252">
            <v>46091</v>
          </cell>
          <cell r="B252">
            <v>0.72964120370370367</v>
          </cell>
          <cell r="D252" t="str">
            <v xml:space="preserve"> Chorizo con papa/arepa</v>
          </cell>
          <cell r="G252">
            <v>5</v>
          </cell>
          <cell r="I252">
            <v>40000</v>
          </cell>
          <cell r="J252">
            <v>0</v>
          </cell>
          <cell r="K252">
            <v>40000</v>
          </cell>
          <cell r="L252">
            <v>4340</v>
          </cell>
        </row>
        <row r="253">
          <cell r="A253">
            <v>46091</v>
          </cell>
          <cell r="B253">
            <v>0.73003472222222221</v>
          </cell>
          <cell r="D253" t="str">
            <v xml:space="preserve"> Chorizo con papa/arepa</v>
          </cell>
          <cell r="G253">
            <v>1</v>
          </cell>
          <cell r="I253">
            <v>8000</v>
          </cell>
          <cell r="J253">
            <v>0</v>
          </cell>
          <cell r="K253">
            <v>8000</v>
          </cell>
          <cell r="L253">
            <v>4340</v>
          </cell>
        </row>
        <row r="254">
          <cell r="A254">
            <v>46091</v>
          </cell>
          <cell r="B254">
            <v>0.73003472222222221</v>
          </cell>
          <cell r="D254" t="str">
            <v>BEBIDA - Coca Cola</v>
          </cell>
          <cell r="G254">
            <v>1</v>
          </cell>
          <cell r="I254">
            <v>3000</v>
          </cell>
          <cell r="J254">
            <v>0</v>
          </cell>
          <cell r="K254">
            <v>3000</v>
          </cell>
          <cell r="L254">
            <v>1200</v>
          </cell>
        </row>
        <row r="255">
          <cell r="A255">
            <v>46091</v>
          </cell>
          <cell r="B255">
            <v>0.82571759259259259</v>
          </cell>
          <cell r="D255" t="str">
            <v xml:space="preserve"> Chorizo con papa/arepa</v>
          </cell>
          <cell r="G255">
            <v>4</v>
          </cell>
          <cell r="I255">
            <v>0</v>
          </cell>
          <cell r="J255">
            <v>32000</v>
          </cell>
          <cell r="K255">
            <v>32000</v>
          </cell>
          <cell r="L255">
            <v>4340</v>
          </cell>
        </row>
        <row r="256">
          <cell r="A256">
            <v>46092</v>
          </cell>
          <cell r="B256">
            <v>0.6121064814814815</v>
          </cell>
          <cell r="D256" t="str">
            <v>Parrillada de 35</v>
          </cell>
          <cell r="G256">
            <v>2</v>
          </cell>
          <cell r="I256">
            <v>70000</v>
          </cell>
          <cell r="J256">
            <v>0</v>
          </cell>
          <cell r="K256">
            <v>70000</v>
          </cell>
          <cell r="L256">
            <v>1000000</v>
          </cell>
        </row>
        <row r="257">
          <cell r="A257">
            <v>46092</v>
          </cell>
          <cell r="B257">
            <v>0.61641203703703706</v>
          </cell>
          <cell r="D257" t="str">
            <v>BEBIDA - Coca Cola</v>
          </cell>
          <cell r="G257">
            <v>3</v>
          </cell>
          <cell r="I257">
            <v>9000</v>
          </cell>
          <cell r="J257">
            <v>0</v>
          </cell>
          <cell r="K257">
            <v>9000</v>
          </cell>
          <cell r="L257">
            <v>1200</v>
          </cell>
        </row>
        <row r="258">
          <cell r="A258">
            <v>46092</v>
          </cell>
          <cell r="B258">
            <v>0.61641203703703706</v>
          </cell>
          <cell r="D258" t="str">
            <v>Parrillada de 30</v>
          </cell>
          <cell r="G258">
            <v>1</v>
          </cell>
          <cell r="I258">
            <v>30000</v>
          </cell>
          <cell r="J258">
            <v>0</v>
          </cell>
          <cell r="K258">
            <v>30000</v>
          </cell>
          <cell r="L258">
            <v>1000000</v>
          </cell>
        </row>
        <row r="259">
          <cell r="A259">
            <v>46092</v>
          </cell>
          <cell r="B259">
            <v>0.61656250000000001</v>
          </cell>
          <cell r="D259" t="str">
            <v xml:space="preserve"> Chorizo con papa/arepa</v>
          </cell>
          <cell r="G259">
            <v>1</v>
          </cell>
          <cell r="I259">
            <v>8000</v>
          </cell>
          <cell r="J259">
            <v>0</v>
          </cell>
          <cell r="K259">
            <v>8000</v>
          </cell>
          <cell r="L259">
            <v>4340</v>
          </cell>
        </row>
        <row r="260">
          <cell r="A260">
            <v>46092</v>
          </cell>
          <cell r="B260">
            <v>0.68093749999999997</v>
          </cell>
          <cell r="D260" t="str">
            <v xml:space="preserve"> Chorizo con papa/arepa</v>
          </cell>
          <cell r="G260">
            <v>3</v>
          </cell>
          <cell r="I260">
            <v>24000</v>
          </cell>
          <cell r="J260">
            <v>0</v>
          </cell>
          <cell r="K260">
            <v>24000</v>
          </cell>
          <cell r="L260">
            <v>4340</v>
          </cell>
        </row>
        <row r="261">
          <cell r="A261">
            <v>46092</v>
          </cell>
          <cell r="B261">
            <v>0.68093749999999997</v>
          </cell>
          <cell r="D261" t="str">
            <v>BEBIDA - Coca Cola</v>
          </cell>
          <cell r="G261">
            <v>2</v>
          </cell>
          <cell r="I261">
            <v>6000</v>
          </cell>
          <cell r="J261">
            <v>0</v>
          </cell>
          <cell r="K261">
            <v>6000</v>
          </cell>
          <cell r="L261">
            <v>1200</v>
          </cell>
        </row>
        <row r="262">
          <cell r="A262">
            <v>46092</v>
          </cell>
          <cell r="B262">
            <v>0.69489583333333338</v>
          </cell>
          <cell r="D262" t="str">
            <v xml:space="preserve"> Chorizo con papa/arepa</v>
          </cell>
          <cell r="G262">
            <v>2</v>
          </cell>
          <cell r="I262">
            <v>0</v>
          </cell>
          <cell r="J262">
            <v>16000</v>
          </cell>
          <cell r="K262">
            <v>16000</v>
          </cell>
          <cell r="L262">
            <v>4340</v>
          </cell>
        </row>
        <row r="263">
          <cell r="A263">
            <v>46092</v>
          </cell>
          <cell r="B263">
            <v>0.69489583333333338</v>
          </cell>
          <cell r="D263" t="str">
            <v>BEBIDA - Coca Cola</v>
          </cell>
          <cell r="G263">
            <v>2</v>
          </cell>
          <cell r="I263">
            <v>0</v>
          </cell>
          <cell r="J263">
            <v>6000</v>
          </cell>
          <cell r="K263">
            <v>6000</v>
          </cell>
          <cell r="L263">
            <v>1200</v>
          </cell>
        </row>
        <row r="264">
          <cell r="A264">
            <v>46092</v>
          </cell>
          <cell r="B264">
            <v>0.70828703703703699</v>
          </cell>
          <cell r="D264" t="str">
            <v xml:space="preserve"> Chorizo con papa/arepa</v>
          </cell>
          <cell r="G264">
            <v>3</v>
          </cell>
          <cell r="I264">
            <v>24000</v>
          </cell>
          <cell r="J264">
            <v>0</v>
          </cell>
          <cell r="K264">
            <v>24000</v>
          </cell>
          <cell r="L264">
            <v>4340</v>
          </cell>
        </row>
        <row r="265">
          <cell r="A265">
            <v>46092</v>
          </cell>
          <cell r="B265">
            <v>0.70859953703703704</v>
          </cell>
          <cell r="D265" t="str">
            <v xml:space="preserve"> Chorizo con papa/arepa</v>
          </cell>
          <cell r="G265">
            <v>1</v>
          </cell>
          <cell r="I265">
            <v>8000</v>
          </cell>
          <cell r="J265">
            <v>0</v>
          </cell>
          <cell r="K265">
            <v>8000</v>
          </cell>
          <cell r="L265">
            <v>4340</v>
          </cell>
        </row>
        <row r="266">
          <cell r="A266">
            <v>46092</v>
          </cell>
          <cell r="B266">
            <v>0.70859953703703704</v>
          </cell>
          <cell r="D266" t="str">
            <v>BEBIDA - Coca Cola</v>
          </cell>
          <cell r="G266">
            <v>1</v>
          </cell>
          <cell r="I266">
            <v>3000</v>
          </cell>
          <cell r="J266">
            <v>0</v>
          </cell>
          <cell r="K266">
            <v>3000</v>
          </cell>
          <cell r="L266">
            <v>1200</v>
          </cell>
        </row>
        <row r="267">
          <cell r="A267">
            <v>46092</v>
          </cell>
          <cell r="B267">
            <v>0.7418865740740741</v>
          </cell>
          <cell r="D267" t="str">
            <v xml:space="preserve"> Chorizo con papa/arepa</v>
          </cell>
          <cell r="G267">
            <v>2</v>
          </cell>
          <cell r="I267">
            <v>0</v>
          </cell>
          <cell r="J267">
            <v>16000</v>
          </cell>
          <cell r="K267">
            <v>16000</v>
          </cell>
          <cell r="L267">
            <v>4340</v>
          </cell>
        </row>
        <row r="268">
          <cell r="A268">
            <v>46092</v>
          </cell>
          <cell r="B268">
            <v>0.7418865740740741</v>
          </cell>
          <cell r="D268" t="str">
            <v>BEBIDA - Coca Cola</v>
          </cell>
          <cell r="G268">
            <v>2</v>
          </cell>
          <cell r="I268">
            <v>0</v>
          </cell>
          <cell r="J268">
            <v>6000</v>
          </cell>
          <cell r="K268">
            <v>6000</v>
          </cell>
          <cell r="L268">
            <v>1200</v>
          </cell>
        </row>
        <row r="269">
          <cell r="A269">
            <v>46092</v>
          </cell>
          <cell r="B269">
            <v>0.7462037037037037</v>
          </cell>
          <cell r="D269" t="str">
            <v xml:space="preserve"> Chorizo con papa/arepa</v>
          </cell>
          <cell r="G269">
            <v>1</v>
          </cell>
          <cell r="I269">
            <v>0</v>
          </cell>
          <cell r="J269">
            <v>8000</v>
          </cell>
          <cell r="K269">
            <v>8000</v>
          </cell>
          <cell r="L269">
            <v>4340</v>
          </cell>
        </row>
        <row r="270">
          <cell r="A270">
            <v>46092</v>
          </cell>
          <cell r="B270">
            <v>0.75146990740740738</v>
          </cell>
          <cell r="D270" t="str">
            <v xml:space="preserve"> Chorizo con papa/arepa</v>
          </cell>
          <cell r="G270">
            <v>1</v>
          </cell>
          <cell r="I270">
            <v>8000</v>
          </cell>
          <cell r="J270">
            <v>0</v>
          </cell>
          <cell r="K270">
            <v>8000</v>
          </cell>
          <cell r="L270">
            <v>4340</v>
          </cell>
        </row>
        <row r="271">
          <cell r="A271">
            <v>46092</v>
          </cell>
          <cell r="B271">
            <v>0.75146990740740738</v>
          </cell>
          <cell r="D271" t="str">
            <v>z. MP -  Chorizo CRUDO</v>
          </cell>
          <cell r="G271">
            <v>3</v>
          </cell>
          <cell r="I271">
            <v>13500</v>
          </cell>
          <cell r="J271">
            <v>0</v>
          </cell>
          <cell r="K271">
            <v>13500</v>
          </cell>
          <cell r="L271">
            <v>3500</v>
          </cell>
        </row>
        <row r="272">
          <cell r="A272">
            <v>46092</v>
          </cell>
          <cell r="B272">
            <v>0.75800925925925922</v>
          </cell>
          <cell r="D272" t="str">
            <v xml:space="preserve"> Chorizo con papa/arepa</v>
          </cell>
          <cell r="G272">
            <v>2</v>
          </cell>
          <cell r="I272">
            <v>16000</v>
          </cell>
          <cell r="J272">
            <v>0</v>
          </cell>
          <cell r="K272">
            <v>16000</v>
          </cell>
          <cell r="L272">
            <v>4340</v>
          </cell>
        </row>
        <row r="273">
          <cell r="A273">
            <v>46092</v>
          </cell>
          <cell r="B273">
            <v>0.75800925925925922</v>
          </cell>
          <cell r="D273" t="str">
            <v>BEBIDA - Coca Cola</v>
          </cell>
          <cell r="G273">
            <v>1</v>
          </cell>
          <cell r="I273">
            <v>3000</v>
          </cell>
          <cell r="J273">
            <v>0</v>
          </cell>
          <cell r="K273">
            <v>3000</v>
          </cell>
          <cell r="L273">
            <v>1200</v>
          </cell>
        </row>
        <row r="274">
          <cell r="A274">
            <v>46092</v>
          </cell>
          <cell r="B274">
            <v>0.76033564814814814</v>
          </cell>
          <cell r="D274" t="str">
            <v xml:space="preserve"> Chorizo con papa/arepa</v>
          </cell>
          <cell r="G274">
            <v>4</v>
          </cell>
          <cell r="I274">
            <v>0</v>
          </cell>
          <cell r="J274">
            <v>32000</v>
          </cell>
          <cell r="K274">
            <v>32000</v>
          </cell>
          <cell r="L274">
            <v>4340</v>
          </cell>
        </row>
        <row r="275">
          <cell r="A275">
            <v>46092</v>
          </cell>
          <cell r="B275">
            <v>0.76641203703703709</v>
          </cell>
          <cell r="D275" t="str">
            <v xml:space="preserve"> Chorizo con papa/arepa</v>
          </cell>
          <cell r="G275">
            <v>3</v>
          </cell>
          <cell r="I275">
            <v>0</v>
          </cell>
          <cell r="J275">
            <v>24000</v>
          </cell>
          <cell r="K275">
            <v>24000</v>
          </cell>
          <cell r="L275">
            <v>4340</v>
          </cell>
        </row>
        <row r="276">
          <cell r="A276">
            <v>46092</v>
          </cell>
          <cell r="B276">
            <v>0.76652777777777781</v>
          </cell>
          <cell r="D276" t="str">
            <v xml:space="preserve"> Chorizo con papa/arepa</v>
          </cell>
          <cell r="G276">
            <v>1</v>
          </cell>
          <cell r="I276">
            <v>8000</v>
          </cell>
          <cell r="J276">
            <v>0</v>
          </cell>
          <cell r="K276">
            <v>8000</v>
          </cell>
          <cell r="L276">
            <v>4340</v>
          </cell>
        </row>
        <row r="277">
          <cell r="A277">
            <v>46092</v>
          </cell>
          <cell r="B277">
            <v>0.76664351851851853</v>
          </cell>
          <cell r="D277" t="str">
            <v xml:space="preserve"> Chorizo con papa/arepa</v>
          </cell>
          <cell r="G277">
            <v>1</v>
          </cell>
          <cell r="I277">
            <v>0</v>
          </cell>
          <cell r="J277">
            <v>8000</v>
          </cell>
          <cell r="K277">
            <v>8000</v>
          </cell>
          <cell r="L277">
            <v>4340</v>
          </cell>
        </row>
        <row r="278">
          <cell r="A278">
            <v>46092</v>
          </cell>
          <cell r="B278">
            <v>0.7713888888888889</v>
          </cell>
          <cell r="D278" t="str">
            <v xml:space="preserve"> Chorizo con papa/arepa</v>
          </cell>
          <cell r="G278">
            <v>4</v>
          </cell>
          <cell r="I278">
            <v>32000</v>
          </cell>
          <cell r="J278">
            <v>0</v>
          </cell>
          <cell r="K278">
            <v>32000</v>
          </cell>
          <cell r="L278">
            <v>4340</v>
          </cell>
        </row>
        <row r="279">
          <cell r="A279">
            <v>46092</v>
          </cell>
          <cell r="B279">
            <v>0.77219907407407407</v>
          </cell>
          <cell r="D279" t="str">
            <v xml:space="preserve"> Chorizo con papa/arepa</v>
          </cell>
          <cell r="G279">
            <v>1</v>
          </cell>
          <cell r="I279">
            <v>0</v>
          </cell>
          <cell r="J279">
            <v>8000</v>
          </cell>
          <cell r="K279">
            <v>8000</v>
          </cell>
          <cell r="L279">
            <v>4340</v>
          </cell>
        </row>
        <row r="280">
          <cell r="A280">
            <v>46092</v>
          </cell>
          <cell r="B280">
            <v>0.77287037037037032</v>
          </cell>
          <cell r="D280" t="str">
            <v xml:space="preserve"> Chorizo con papa/arepa</v>
          </cell>
          <cell r="G280">
            <v>1</v>
          </cell>
          <cell r="I280">
            <v>8000</v>
          </cell>
          <cell r="J280">
            <v>0</v>
          </cell>
          <cell r="K280">
            <v>8000</v>
          </cell>
          <cell r="L280">
            <v>4340</v>
          </cell>
        </row>
        <row r="281">
          <cell r="A281">
            <v>46092</v>
          </cell>
          <cell r="B281">
            <v>0.77287037037037032</v>
          </cell>
          <cell r="D281" t="str">
            <v>BEBIDA - Coca Cola</v>
          </cell>
          <cell r="G281">
            <v>1</v>
          </cell>
          <cell r="I281">
            <v>3000</v>
          </cell>
          <cell r="J281">
            <v>0</v>
          </cell>
          <cell r="K281">
            <v>3000</v>
          </cell>
          <cell r="L281">
            <v>1200</v>
          </cell>
        </row>
        <row r="282">
          <cell r="A282">
            <v>46092</v>
          </cell>
          <cell r="B282">
            <v>0.7971759259259259</v>
          </cell>
          <cell r="D282" t="str">
            <v xml:space="preserve"> Chorizo con papa/arepa</v>
          </cell>
          <cell r="G282">
            <v>1</v>
          </cell>
          <cell r="I282">
            <v>8000</v>
          </cell>
          <cell r="J282">
            <v>0</v>
          </cell>
          <cell r="K282">
            <v>8000</v>
          </cell>
          <cell r="L282">
            <v>4340</v>
          </cell>
        </row>
        <row r="283">
          <cell r="A283">
            <v>46092</v>
          </cell>
          <cell r="B283">
            <v>0.80481481481481476</v>
          </cell>
          <cell r="D283" t="str">
            <v xml:space="preserve"> Chorizo con papa/arepa</v>
          </cell>
          <cell r="G283">
            <v>1</v>
          </cell>
          <cell r="I283">
            <v>8000</v>
          </cell>
          <cell r="J283">
            <v>0</v>
          </cell>
          <cell r="K283">
            <v>8000</v>
          </cell>
          <cell r="L283">
            <v>4340</v>
          </cell>
        </row>
        <row r="284">
          <cell r="A284">
            <v>46092</v>
          </cell>
          <cell r="B284">
            <v>0.81021990740740746</v>
          </cell>
          <cell r="D284" t="str">
            <v xml:space="preserve"> Chorizo con papa/arepa</v>
          </cell>
          <cell r="G284">
            <v>1</v>
          </cell>
          <cell r="I284">
            <v>8000</v>
          </cell>
          <cell r="J284">
            <v>0</v>
          </cell>
          <cell r="K284">
            <v>8000</v>
          </cell>
          <cell r="L284">
            <v>4340</v>
          </cell>
        </row>
        <row r="285">
          <cell r="A285">
            <v>46092</v>
          </cell>
          <cell r="B285">
            <v>0.81021990740740746</v>
          </cell>
          <cell r="D285" t="str">
            <v>BEBIDA - Coca Cola</v>
          </cell>
          <cell r="G285">
            <v>1</v>
          </cell>
          <cell r="I285">
            <v>3000</v>
          </cell>
          <cell r="J285">
            <v>0</v>
          </cell>
          <cell r="K285">
            <v>3000</v>
          </cell>
          <cell r="L285">
            <v>1200</v>
          </cell>
        </row>
        <row r="286">
          <cell r="A286">
            <v>46092</v>
          </cell>
          <cell r="B286">
            <v>0.8158333333333333</v>
          </cell>
          <cell r="D286" t="str">
            <v xml:space="preserve"> Chorizo con papa/arepa</v>
          </cell>
          <cell r="G286">
            <v>2</v>
          </cell>
          <cell r="I286">
            <v>16000</v>
          </cell>
          <cell r="J286">
            <v>0</v>
          </cell>
          <cell r="K286">
            <v>16000</v>
          </cell>
          <cell r="L286">
            <v>4340</v>
          </cell>
        </row>
        <row r="287">
          <cell r="A287">
            <v>46092</v>
          </cell>
          <cell r="B287">
            <v>0.8158333333333333</v>
          </cell>
          <cell r="D287" t="str">
            <v>BEBIDA - Postobón</v>
          </cell>
          <cell r="G287">
            <v>2</v>
          </cell>
          <cell r="I287">
            <v>6000</v>
          </cell>
          <cell r="J287">
            <v>0</v>
          </cell>
          <cell r="K287">
            <v>6000</v>
          </cell>
          <cell r="L287">
            <v>1133.33</v>
          </cell>
        </row>
        <row r="288">
          <cell r="A288">
            <v>46092</v>
          </cell>
          <cell r="B288">
            <v>0.81793981481481481</v>
          </cell>
          <cell r="D288" t="str">
            <v xml:space="preserve"> Chorizo con papa/arepa</v>
          </cell>
          <cell r="G288">
            <v>1</v>
          </cell>
          <cell r="I288">
            <v>8000</v>
          </cell>
          <cell r="J288">
            <v>0</v>
          </cell>
          <cell r="K288">
            <v>8000</v>
          </cell>
          <cell r="L288">
            <v>4340</v>
          </cell>
        </row>
        <row r="289">
          <cell r="A289">
            <v>46092</v>
          </cell>
          <cell r="B289">
            <v>0.82393518518518516</v>
          </cell>
          <cell r="D289" t="str">
            <v xml:space="preserve"> Chorizo con papa/arepa</v>
          </cell>
          <cell r="G289">
            <v>1</v>
          </cell>
          <cell r="I289">
            <v>0</v>
          </cell>
          <cell r="J289">
            <v>8000</v>
          </cell>
          <cell r="K289">
            <v>8000</v>
          </cell>
          <cell r="L289">
            <v>4340</v>
          </cell>
        </row>
        <row r="290">
          <cell r="A290">
            <v>46092</v>
          </cell>
          <cell r="B290">
            <v>0.82393518518518516</v>
          </cell>
          <cell r="D290" t="str">
            <v>BEBIDA - Coca Cola</v>
          </cell>
          <cell r="G290">
            <v>1</v>
          </cell>
          <cell r="I290">
            <v>0</v>
          </cell>
          <cell r="J290">
            <v>3000</v>
          </cell>
          <cell r="K290">
            <v>3000</v>
          </cell>
          <cell r="L290">
            <v>1200</v>
          </cell>
        </row>
        <row r="291">
          <cell r="A291">
            <v>46092</v>
          </cell>
          <cell r="B291">
            <v>0.84908564814814813</v>
          </cell>
          <cell r="D291" t="str">
            <v xml:space="preserve"> Chorizo con papa/arepa</v>
          </cell>
          <cell r="G291">
            <v>1</v>
          </cell>
          <cell r="I291">
            <v>8000</v>
          </cell>
          <cell r="J291">
            <v>0</v>
          </cell>
          <cell r="K291">
            <v>8000</v>
          </cell>
          <cell r="L291">
            <v>4340</v>
          </cell>
        </row>
        <row r="292">
          <cell r="A292">
            <v>46093</v>
          </cell>
          <cell r="B292">
            <v>0.61758101851851854</v>
          </cell>
          <cell r="D292" t="str">
            <v xml:space="preserve"> Chorizo con papa/arepa</v>
          </cell>
          <cell r="G292">
            <v>1</v>
          </cell>
          <cell r="I292">
            <v>0</v>
          </cell>
          <cell r="J292">
            <v>8000</v>
          </cell>
          <cell r="K292">
            <v>8000</v>
          </cell>
          <cell r="L292">
            <v>4340</v>
          </cell>
        </row>
        <row r="293">
          <cell r="A293">
            <v>46093</v>
          </cell>
          <cell r="B293">
            <v>0.61758101851851854</v>
          </cell>
          <cell r="D293" t="str">
            <v>Bandeja Choriboni - 35</v>
          </cell>
          <cell r="G293">
            <v>1</v>
          </cell>
          <cell r="I293">
            <v>0</v>
          </cell>
          <cell r="J293">
            <v>35000</v>
          </cell>
          <cell r="K293">
            <v>35000</v>
          </cell>
          <cell r="L293">
            <v>3500</v>
          </cell>
        </row>
        <row r="294">
          <cell r="A294">
            <v>46093</v>
          </cell>
          <cell r="B294">
            <v>0.61758101851851854</v>
          </cell>
          <cell r="D294" t="str">
            <v>BEBIDA - Coca Cola</v>
          </cell>
          <cell r="G294">
            <v>1</v>
          </cell>
          <cell r="I294">
            <v>0</v>
          </cell>
          <cell r="J294">
            <v>3000</v>
          </cell>
          <cell r="K294">
            <v>3000</v>
          </cell>
          <cell r="L294">
            <v>1200</v>
          </cell>
        </row>
        <row r="295">
          <cell r="A295">
            <v>46093</v>
          </cell>
          <cell r="B295">
            <v>0.61758101851851854</v>
          </cell>
          <cell r="D295" t="str">
            <v>BEBIDA - Postobón</v>
          </cell>
          <cell r="G295">
            <v>3</v>
          </cell>
          <cell r="I295">
            <v>0</v>
          </cell>
          <cell r="J295">
            <v>9000</v>
          </cell>
          <cell r="K295">
            <v>9000</v>
          </cell>
          <cell r="L295">
            <v>1133.33</v>
          </cell>
        </row>
        <row r="296">
          <cell r="A296">
            <v>46093</v>
          </cell>
          <cell r="B296">
            <v>0.61758101851851854</v>
          </cell>
          <cell r="D296" t="str">
            <v>Ham. Doble combo - ELIMINAR</v>
          </cell>
          <cell r="G296">
            <v>1</v>
          </cell>
          <cell r="I296">
            <v>0</v>
          </cell>
          <cell r="J296">
            <v>27000</v>
          </cell>
          <cell r="K296">
            <v>27000</v>
          </cell>
          <cell r="L296">
            <v>1000000</v>
          </cell>
        </row>
        <row r="297">
          <cell r="A297">
            <v>46093</v>
          </cell>
          <cell r="B297">
            <v>0.68311342592592594</v>
          </cell>
          <cell r="D297" t="str">
            <v xml:space="preserve"> Chorizo con papa/arepa</v>
          </cell>
          <cell r="G297">
            <v>3</v>
          </cell>
          <cell r="I297">
            <v>0</v>
          </cell>
          <cell r="J297">
            <v>24000</v>
          </cell>
          <cell r="K297">
            <v>24000</v>
          </cell>
          <cell r="L297">
            <v>4340</v>
          </cell>
        </row>
        <row r="298">
          <cell r="A298">
            <v>46093</v>
          </cell>
          <cell r="B298">
            <v>0.73273148148148148</v>
          </cell>
          <cell r="D298" t="str">
            <v xml:space="preserve"> Chorizo con papa/arepa</v>
          </cell>
          <cell r="G298">
            <v>1</v>
          </cell>
          <cell r="I298">
            <v>8000</v>
          </cell>
          <cell r="J298">
            <v>0</v>
          </cell>
          <cell r="K298">
            <v>8000</v>
          </cell>
          <cell r="L298">
            <v>4340</v>
          </cell>
        </row>
        <row r="299">
          <cell r="A299">
            <v>46093</v>
          </cell>
          <cell r="B299">
            <v>0.73388888888888892</v>
          </cell>
          <cell r="D299" t="str">
            <v xml:space="preserve"> Chorizo con papa/arepa</v>
          </cell>
          <cell r="G299">
            <v>1</v>
          </cell>
          <cell r="I299">
            <v>0</v>
          </cell>
          <cell r="J299">
            <v>8000</v>
          </cell>
          <cell r="K299">
            <v>8000</v>
          </cell>
          <cell r="L299">
            <v>4340</v>
          </cell>
        </row>
        <row r="300">
          <cell r="A300">
            <v>46093</v>
          </cell>
          <cell r="B300">
            <v>0.73388888888888892</v>
          </cell>
          <cell r="D300" t="str">
            <v>BEBIDA - Coca Cola</v>
          </cell>
          <cell r="G300">
            <v>1</v>
          </cell>
          <cell r="I300">
            <v>0</v>
          </cell>
          <cell r="J300">
            <v>3000</v>
          </cell>
          <cell r="K300">
            <v>3000</v>
          </cell>
          <cell r="L300">
            <v>1200</v>
          </cell>
        </row>
        <row r="301">
          <cell r="A301">
            <v>46093</v>
          </cell>
          <cell r="B301">
            <v>0.73430555555555554</v>
          </cell>
          <cell r="D301" t="str">
            <v xml:space="preserve"> Chorizo con papa/arepa</v>
          </cell>
          <cell r="G301">
            <v>3</v>
          </cell>
          <cell r="I301">
            <v>24000</v>
          </cell>
          <cell r="J301">
            <v>0</v>
          </cell>
          <cell r="K301">
            <v>24000</v>
          </cell>
          <cell r="L301">
            <v>4340</v>
          </cell>
        </row>
        <row r="302">
          <cell r="A302">
            <v>46093</v>
          </cell>
          <cell r="B302">
            <v>0.74609953703703702</v>
          </cell>
          <cell r="D302" t="str">
            <v xml:space="preserve"> Chorizo con papa/arepa</v>
          </cell>
          <cell r="G302">
            <v>3</v>
          </cell>
          <cell r="I302">
            <v>24000</v>
          </cell>
          <cell r="J302">
            <v>0</v>
          </cell>
          <cell r="K302">
            <v>24000</v>
          </cell>
          <cell r="L302">
            <v>4340</v>
          </cell>
        </row>
        <row r="303">
          <cell r="A303">
            <v>46093</v>
          </cell>
          <cell r="B303">
            <v>0.74609953703703702</v>
          </cell>
          <cell r="D303" t="str">
            <v>BEBIDA - Coca Cola</v>
          </cell>
          <cell r="G303">
            <v>1</v>
          </cell>
          <cell r="I303">
            <v>3000</v>
          </cell>
          <cell r="J303">
            <v>0</v>
          </cell>
          <cell r="K303">
            <v>3000</v>
          </cell>
          <cell r="L303">
            <v>1200</v>
          </cell>
        </row>
        <row r="304">
          <cell r="A304">
            <v>46093</v>
          </cell>
          <cell r="B304">
            <v>0.75689814814814815</v>
          </cell>
          <cell r="D304" t="str">
            <v xml:space="preserve"> Chorizo con papa/arepa</v>
          </cell>
          <cell r="G304">
            <v>1</v>
          </cell>
          <cell r="I304">
            <v>8000</v>
          </cell>
          <cell r="J304">
            <v>0</v>
          </cell>
          <cell r="K304">
            <v>8000</v>
          </cell>
          <cell r="L304">
            <v>4340</v>
          </cell>
        </row>
        <row r="305">
          <cell r="A305">
            <v>46093</v>
          </cell>
          <cell r="B305">
            <v>0.78898148148148151</v>
          </cell>
          <cell r="D305" t="str">
            <v xml:space="preserve"> Chorizo con papa/arepa</v>
          </cell>
          <cell r="G305">
            <v>3</v>
          </cell>
          <cell r="I305">
            <v>0</v>
          </cell>
          <cell r="J305">
            <v>24000</v>
          </cell>
          <cell r="K305">
            <v>24000</v>
          </cell>
          <cell r="L305">
            <v>4340</v>
          </cell>
        </row>
        <row r="306">
          <cell r="A306">
            <v>46093</v>
          </cell>
          <cell r="B306">
            <v>0.80218750000000005</v>
          </cell>
          <cell r="D306" t="str">
            <v xml:space="preserve"> Chorizo con papa/arepa</v>
          </cell>
          <cell r="G306">
            <v>1</v>
          </cell>
          <cell r="I306">
            <v>0</v>
          </cell>
          <cell r="J306">
            <v>8000</v>
          </cell>
          <cell r="K306">
            <v>8000</v>
          </cell>
          <cell r="L306">
            <v>4340</v>
          </cell>
        </row>
        <row r="307">
          <cell r="A307">
            <v>46093</v>
          </cell>
          <cell r="B307">
            <v>0.80218750000000005</v>
          </cell>
          <cell r="D307" t="str">
            <v>BEBIDA - Coca Cola</v>
          </cell>
          <cell r="G307">
            <v>1</v>
          </cell>
          <cell r="I307">
            <v>0</v>
          </cell>
          <cell r="J307">
            <v>3000</v>
          </cell>
          <cell r="K307">
            <v>3000</v>
          </cell>
          <cell r="L307">
            <v>1200</v>
          </cell>
        </row>
        <row r="308">
          <cell r="A308">
            <v>46093</v>
          </cell>
          <cell r="B308">
            <v>0.81907407407407407</v>
          </cell>
          <cell r="D308" t="str">
            <v xml:space="preserve"> Chorizo con papa/arepa</v>
          </cell>
          <cell r="G308">
            <v>3</v>
          </cell>
          <cell r="I308">
            <v>0</v>
          </cell>
          <cell r="J308">
            <v>24000</v>
          </cell>
          <cell r="K308">
            <v>24000</v>
          </cell>
          <cell r="L308">
            <v>4340</v>
          </cell>
        </row>
        <row r="309">
          <cell r="A309">
            <v>46094</v>
          </cell>
          <cell r="B309">
            <v>0.96432870370370372</v>
          </cell>
          <cell r="D309" t="str">
            <v xml:space="preserve"> Chorizo con papa/arepa</v>
          </cell>
          <cell r="G309">
            <v>1</v>
          </cell>
          <cell r="I309">
            <v>8000</v>
          </cell>
          <cell r="J309">
            <v>0</v>
          </cell>
          <cell r="K309">
            <v>8000</v>
          </cell>
          <cell r="L309">
            <v>4340</v>
          </cell>
        </row>
        <row r="310">
          <cell r="A310">
            <v>46094</v>
          </cell>
          <cell r="B310">
            <v>0.96482638888888894</v>
          </cell>
          <cell r="D310" t="str">
            <v xml:space="preserve"> Chorizo con papa/arepa</v>
          </cell>
          <cell r="G310">
            <v>2</v>
          </cell>
          <cell r="I310">
            <v>16000</v>
          </cell>
          <cell r="J310">
            <v>0</v>
          </cell>
          <cell r="K310">
            <v>16000</v>
          </cell>
          <cell r="L310">
            <v>4340</v>
          </cell>
        </row>
        <row r="311">
          <cell r="A311">
            <v>46094</v>
          </cell>
          <cell r="B311">
            <v>0.96482638888888894</v>
          </cell>
          <cell r="D311" t="str">
            <v>BEBIDA - Coca Cola</v>
          </cell>
          <cell r="G311">
            <v>2</v>
          </cell>
          <cell r="I311">
            <v>6000</v>
          </cell>
          <cell r="J311">
            <v>0</v>
          </cell>
          <cell r="K311">
            <v>6000</v>
          </cell>
          <cell r="L311">
            <v>1200</v>
          </cell>
        </row>
        <row r="312">
          <cell r="A312">
            <v>46094</v>
          </cell>
          <cell r="B312">
            <v>0.96505787037037039</v>
          </cell>
          <cell r="D312" t="str">
            <v>z. MP -  Chorizo CRUDO</v>
          </cell>
          <cell r="G312">
            <v>3</v>
          </cell>
          <cell r="I312">
            <v>13500</v>
          </cell>
          <cell r="J312">
            <v>0</v>
          </cell>
          <cell r="K312">
            <v>13500</v>
          </cell>
          <cell r="L312">
            <v>3500</v>
          </cell>
        </row>
        <row r="313">
          <cell r="A313">
            <v>46094</v>
          </cell>
          <cell r="B313">
            <v>0.96568287037037037</v>
          </cell>
          <cell r="D313" t="str">
            <v xml:space="preserve"> Chorizo con papa/arepa</v>
          </cell>
          <cell r="G313">
            <v>3</v>
          </cell>
          <cell r="I313">
            <v>24000</v>
          </cell>
          <cell r="J313">
            <v>0</v>
          </cell>
          <cell r="K313">
            <v>24000</v>
          </cell>
          <cell r="L313">
            <v>4340</v>
          </cell>
        </row>
        <row r="314">
          <cell r="A314">
            <v>46094</v>
          </cell>
          <cell r="B314">
            <v>0.96568287037037037</v>
          </cell>
          <cell r="D314" t="str">
            <v>BEBIDA - Coca Cola</v>
          </cell>
          <cell r="G314">
            <v>3</v>
          </cell>
          <cell r="I314">
            <v>9000</v>
          </cell>
          <cell r="J314">
            <v>0</v>
          </cell>
          <cell r="K314">
            <v>9000</v>
          </cell>
          <cell r="L314">
            <v>1200</v>
          </cell>
        </row>
        <row r="315">
          <cell r="A315">
            <v>46094</v>
          </cell>
          <cell r="B315">
            <v>0.96591435185185182</v>
          </cell>
          <cell r="D315" t="str">
            <v>z. MP -  Chorizo CRUDO</v>
          </cell>
          <cell r="G315">
            <v>4</v>
          </cell>
          <cell r="I315">
            <v>18000</v>
          </cell>
          <cell r="J315">
            <v>0</v>
          </cell>
          <cell r="K315">
            <v>18000</v>
          </cell>
          <cell r="L315">
            <v>3500</v>
          </cell>
        </row>
        <row r="316">
          <cell r="A316">
            <v>46094</v>
          </cell>
          <cell r="B316">
            <v>0.96614583333333337</v>
          </cell>
          <cell r="D316" t="str">
            <v xml:space="preserve"> Chorizo con papa/arepa</v>
          </cell>
          <cell r="G316">
            <v>1</v>
          </cell>
          <cell r="I316">
            <v>8000</v>
          </cell>
          <cell r="J316">
            <v>0</v>
          </cell>
          <cell r="K316">
            <v>8000</v>
          </cell>
          <cell r="L316">
            <v>4340</v>
          </cell>
        </row>
        <row r="317">
          <cell r="A317">
            <v>46094</v>
          </cell>
          <cell r="B317">
            <v>0.96630787037037036</v>
          </cell>
          <cell r="D317" t="str">
            <v>Parrillada de 30</v>
          </cell>
          <cell r="G317">
            <v>1</v>
          </cell>
          <cell r="I317">
            <v>30000</v>
          </cell>
          <cell r="J317">
            <v>0</v>
          </cell>
          <cell r="K317">
            <v>30000</v>
          </cell>
          <cell r="L317">
            <v>1000000</v>
          </cell>
        </row>
        <row r="318">
          <cell r="A318">
            <v>46095</v>
          </cell>
          <cell r="B318">
            <v>0.63886574074074076</v>
          </cell>
          <cell r="D318" t="str">
            <v xml:space="preserve"> Chorizo con papa/arepa</v>
          </cell>
          <cell r="G318">
            <v>2</v>
          </cell>
          <cell r="I318">
            <v>16000</v>
          </cell>
          <cell r="J318">
            <v>0</v>
          </cell>
          <cell r="K318">
            <v>16000</v>
          </cell>
          <cell r="L318">
            <v>4340</v>
          </cell>
        </row>
        <row r="319">
          <cell r="A319">
            <v>46095</v>
          </cell>
          <cell r="B319">
            <v>0.63886574074074076</v>
          </cell>
          <cell r="D319" t="str">
            <v>BEBIDA - Coca Cola</v>
          </cell>
          <cell r="G319">
            <v>2</v>
          </cell>
          <cell r="I319">
            <v>6000</v>
          </cell>
          <cell r="J319">
            <v>0</v>
          </cell>
          <cell r="K319">
            <v>6000</v>
          </cell>
          <cell r="L319">
            <v>1200</v>
          </cell>
        </row>
        <row r="320">
          <cell r="A320">
            <v>46095</v>
          </cell>
          <cell r="B320">
            <v>0.63942129629629629</v>
          </cell>
          <cell r="D320" t="str">
            <v xml:space="preserve"> Chorizo con papa/arepa</v>
          </cell>
          <cell r="G320">
            <v>1</v>
          </cell>
          <cell r="I320">
            <v>8000</v>
          </cell>
          <cell r="J320">
            <v>0</v>
          </cell>
          <cell r="K320">
            <v>8000</v>
          </cell>
          <cell r="L320">
            <v>4340</v>
          </cell>
        </row>
        <row r="321">
          <cell r="A321">
            <v>46095</v>
          </cell>
          <cell r="B321">
            <v>0.63942129629629629</v>
          </cell>
          <cell r="D321" t="str">
            <v>BEBIDA - Coca Cola</v>
          </cell>
          <cell r="G321">
            <v>1</v>
          </cell>
          <cell r="I321">
            <v>3000</v>
          </cell>
          <cell r="J321">
            <v>0</v>
          </cell>
          <cell r="K321">
            <v>3000</v>
          </cell>
          <cell r="L321">
            <v>1200</v>
          </cell>
        </row>
        <row r="322">
          <cell r="A322">
            <v>46095</v>
          </cell>
          <cell r="B322">
            <v>0.64011574074074074</v>
          </cell>
          <cell r="D322" t="str">
            <v>z. MP -  Chorizo CRUDO</v>
          </cell>
          <cell r="G322">
            <v>2</v>
          </cell>
          <cell r="I322">
            <v>9000</v>
          </cell>
          <cell r="J322">
            <v>0</v>
          </cell>
          <cell r="K322">
            <v>9000</v>
          </cell>
          <cell r="L322">
            <v>3500</v>
          </cell>
        </row>
        <row r="323">
          <cell r="A323">
            <v>46095</v>
          </cell>
          <cell r="B323">
            <v>0.64046296296296301</v>
          </cell>
          <cell r="D323" t="str">
            <v xml:space="preserve"> Chorizo con papa/arepa</v>
          </cell>
          <cell r="G323">
            <v>2</v>
          </cell>
          <cell r="I323">
            <v>16000</v>
          </cell>
          <cell r="J323">
            <v>0</v>
          </cell>
          <cell r="K323">
            <v>16000</v>
          </cell>
          <cell r="L323">
            <v>4340</v>
          </cell>
        </row>
        <row r="324">
          <cell r="A324">
            <v>46095</v>
          </cell>
          <cell r="B324">
            <v>0.64046296296296301</v>
          </cell>
          <cell r="D324" t="str">
            <v>BEBIDA - Coca Cola</v>
          </cell>
          <cell r="G324">
            <v>2</v>
          </cell>
          <cell r="I324">
            <v>6000</v>
          </cell>
          <cell r="J324">
            <v>0</v>
          </cell>
          <cell r="K324">
            <v>6000</v>
          </cell>
          <cell r="L324">
            <v>1200</v>
          </cell>
        </row>
        <row r="325">
          <cell r="A325">
            <v>46095</v>
          </cell>
          <cell r="B325">
            <v>0.6466319444444445</v>
          </cell>
          <cell r="D325" t="str">
            <v xml:space="preserve"> Chorizo solo</v>
          </cell>
          <cell r="G325">
            <v>1</v>
          </cell>
          <cell r="I325">
            <v>7000</v>
          </cell>
          <cell r="J325">
            <v>0</v>
          </cell>
          <cell r="K325">
            <v>7000</v>
          </cell>
          <cell r="L325">
            <v>3500</v>
          </cell>
        </row>
        <row r="326">
          <cell r="A326">
            <v>46095</v>
          </cell>
          <cell r="B326">
            <v>0.6466319444444445</v>
          </cell>
          <cell r="D326" t="str">
            <v>Bandeja Choriboni - 30</v>
          </cell>
          <cell r="G326">
            <v>1</v>
          </cell>
          <cell r="I326">
            <v>30000</v>
          </cell>
          <cell r="J326">
            <v>0</v>
          </cell>
          <cell r="K326">
            <v>30000</v>
          </cell>
          <cell r="L326">
            <v>3500</v>
          </cell>
        </row>
        <row r="327">
          <cell r="A327">
            <v>46095</v>
          </cell>
          <cell r="B327">
            <v>0.64921296296296294</v>
          </cell>
          <cell r="D327" t="str">
            <v xml:space="preserve"> Chorizo con papa/arepa</v>
          </cell>
          <cell r="G327">
            <v>3</v>
          </cell>
          <cell r="I327">
            <v>24000</v>
          </cell>
          <cell r="J327">
            <v>0</v>
          </cell>
          <cell r="K327">
            <v>24000</v>
          </cell>
          <cell r="L327">
            <v>4340</v>
          </cell>
        </row>
        <row r="328">
          <cell r="A328">
            <v>46095</v>
          </cell>
          <cell r="B328">
            <v>0.64921296296296294</v>
          </cell>
          <cell r="D328" t="str">
            <v>BEBIDA - Coca Cola</v>
          </cell>
          <cell r="G328">
            <v>1</v>
          </cell>
          <cell r="I328">
            <v>3000</v>
          </cell>
          <cell r="J328">
            <v>0</v>
          </cell>
          <cell r="K328">
            <v>3000</v>
          </cell>
          <cell r="L328">
            <v>1200</v>
          </cell>
        </row>
        <row r="329">
          <cell r="A329">
            <v>46095</v>
          </cell>
          <cell r="B329">
            <v>0.64921296296296294</v>
          </cell>
          <cell r="D329" t="str">
            <v>CARNES - Media carne</v>
          </cell>
          <cell r="G329">
            <v>1</v>
          </cell>
          <cell r="I329">
            <v>15000</v>
          </cell>
          <cell r="J329">
            <v>0</v>
          </cell>
          <cell r="K329">
            <v>15000</v>
          </cell>
          <cell r="L329">
            <v>1000000</v>
          </cell>
        </row>
        <row r="330">
          <cell r="A330">
            <v>46095</v>
          </cell>
          <cell r="B330">
            <v>0.66251157407407413</v>
          </cell>
          <cell r="D330" t="str">
            <v>CARNES - Carne asada 23</v>
          </cell>
          <cell r="G330">
            <v>1</v>
          </cell>
          <cell r="I330">
            <v>0</v>
          </cell>
          <cell r="J330">
            <v>23000</v>
          </cell>
          <cell r="K330">
            <v>23000</v>
          </cell>
          <cell r="L330">
            <v>1000000</v>
          </cell>
        </row>
        <row r="331">
          <cell r="A331">
            <v>46095</v>
          </cell>
          <cell r="B331">
            <v>0.66951388888888885</v>
          </cell>
          <cell r="D331" t="str">
            <v xml:space="preserve"> Chorizo con papa/arepa</v>
          </cell>
          <cell r="G331">
            <v>1</v>
          </cell>
          <cell r="I331">
            <v>0</v>
          </cell>
          <cell r="J331">
            <v>8000</v>
          </cell>
          <cell r="K331">
            <v>8000</v>
          </cell>
          <cell r="L331">
            <v>4340</v>
          </cell>
        </row>
        <row r="332">
          <cell r="A332">
            <v>46095</v>
          </cell>
          <cell r="B332">
            <v>0.66951388888888885</v>
          </cell>
          <cell r="D332" t="str">
            <v>BEBIDA - Coca Cola</v>
          </cell>
          <cell r="G332">
            <v>1</v>
          </cell>
          <cell r="I332">
            <v>0</v>
          </cell>
          <cell r="J332">
            <v>3000</v>
          </cell>
          <cell r="K332">
            <v>3000</v>
          </cell>
          <cell r="L332">
            <v>1200</v>
          </cell>
        </row>
        <row r="333">
          <cell r="A333">
            <v>46095</v>
          </cell>
          <cell r="B333">
            <v>0.67760416666666667</v>
          </cell>
          <cell r="D333" t="str">
            <v>CARNES  - Carne asada  - 20</v>
          </cell>
          <cell r="G333">
            <v>1</v>
          </cell>
          <cell r="I333">
            <v>20000</v>
          </cell>
          <cell r="J333">
            <v>0</v>
          </cell>
          <cell r="K333">
            <v>20000</v>
          </cell>
          <cell r="L333">
            <v>1000000</v>
          </cell>
        </row>
        <row r="334">
          <cell r="A334">
            <v>46095</v>
          </cell>
          <cell r="B334">
            <v>0.68554398148148143</v>
          </cell>
          <cell r="D334" t="str">
            <v xml:space="preserve"> Chorizo con papa/arepa</v>
          </cell>
          <cell r="G334">
            <v>3</v>
          </cell>
          <cell r="I334">
            <v>24000</v>
          </cell>
          <cell r="J334">
            <v>0</v>
          </cell>
          <cell r="K334">
            <v>24000</v>
          </cell>
          <cell r="L334">
            <v>4340</v>
          </cell>
        </row>
        <row r="335">
          <cell r="A335">
            <v>46095</v>
          </cell>
          <cell r="B335">
            <v>0.68554398148148143</v>
          </cell>
          <cell r="D335" t="str">
            <v xml:space="preserve"> Chorizo solo</v>
          </cell>
          <cell r="G335">
            <v>1</v>
          </cell>
          <cell r="I335">
            <v>7000</v>
          </cell>
          <cell r="J335">
            <v>0</v>
          </cell>
          <cell r="K335">
            <v>7000</v>
          </cell>
          <cell r="L335">
            <v>3500</v>
          </cell>
        </row>
        <row r="336">
          <cell r="A336">
            <v>46095</v>
          </cell>
          <cell r="B336">
            <v>0.68554398148148143</v>
          </cell>
          <cell r="D336" t="str">
            <v>BEBIDA - Coca Cola</v>
          </cell>
          <cell r="G336">
            <v>3</v>
          </cell>
          <cell r="I336">
            <v>9000</v>
          </cell>
          <cell r="J336">
            <v>0</v>
          </cell>
          <cell r="K336">
            <v>9000</v>
          </cell>
          <cell r="L336">
            <v>1200</v>
          </cell>
        </row>
        <row r="337">
          <cell r="A337">
            <v>46095</v>
          </cell>
          <cell r="B337">
            <v>0.68554398148148143</v>
          </cell>
          <cell r="D337" t="str">
            <v>Parrillada de 60</v>
          </cell>
          <cell r="G337">
            <v>1</v>
          </cell>
          <cell r="I337">
            <v>60000</v>
          </cell>
          <cell r="J337">
            <v>0</v>
          </cell>
          <cell r="K337">
            <v>60000</v>
          </cell>
          <cell r="L337">
            <v>1000000</v>
          </cell>
        </row>
        <row r="338">
          <cell r="A338">
            <v>46095</v>
          </cell>
          <cell r="B338">
            <v>0.70613425925925921</v>
          </cell>
          <cell r="D338" t="str">
            <v>BEBIDA - Botella de Agua</v>
          </cell>
          <cell r="G338">
            <v>1</v>
          </cell>
          <cell r="I338">
            <v>0</v>
          </cell>
          <cell r="J338">
            <v>3500</v>
          </cell>
          <cell r="K338">
            <v>3500</v>
          </cell>
          <cell r="L338">
            <v>1416.67</v>
          </cell>
        </row>
        <row r="339">
          <cell r="A339">
            <v>46095</v>
          </cell>
          <cell r="B339">
            <v>0.70613425925925921</v>
          </cell>
          <cell r="D339" t="str">
            <v>BEBIDA - Coca Cola</v>
          </cell>
          <cell r="G339">
            <v>1</v>
          </cell>
          <cell r="I339">
            <v>0</v>
          </cell>
          <cell r="J339">
            <v>3000</v>
          </cell>
          <cell r="K339">
            <v>3000</v>
          </cell>
          <cell r="L339">
            <v>1200</v>
          </cell>
        </row>
        <row r="340">
          <cell r="A340">
            <v>46095</v>
          </cell>
          <cell r="B340">
            <v>0.70613425925925921</v>
          </cell>
          <cell r="D340" t="str">
            <v>BEBIDA - Jugo Hit</v>
          </cell>
          <cell r="G340">
            <v>1</v>
          </cell>
          <cell r="I340">
            <v>0</v>
          </cell>
          <cell r="J340">
            <v>4500</v>
          </cell>
          <cell r="K340">
            <v>4500</v>
          </cell>
          <cell r="L340">
            <v>2416.67</v>
          </cell>
        </row>
        <row r="341">
          <cell r="A341">
            <v>46095</v>
          </cell>
          <cell r="B341">
            <v>0.70613425925925921</v>
          </cell>
          <cell r="D341" t="str">
            <v>Ham. sencilla</v>
          </cell>
          <cell r="G341">
            <v>1</v>
          </cell>
          <cell r="I341">
            <v>0</v>
          </cell>
          <cell r="J341">
            <v>17000</v>
          </cell>
          <cell r="K341">
            <v>17000</v>
          </cell>
          <cell r="L341">
            <v>5000</v>
          </cell>
        </row>
        <row r="342">
          <cell r="A342">
            <v>46095</v>
          </cell>
          <cell r="B342">
            <v>0.70613425925925921</v>
          </cell>
          <cell r="D342" t="str">
            <v>Parrillada de 35</v>
          </cell>
          <cell r="G342">
            <v>1</v>
          </cell>
          <cell r="I342">
            <v>0</v>
          </cell>
          <cell r="J342">
            <v>35000</v>
          </cell>
          <cell r="K342">
            <v>35000</v>
          </cell>
          <cell r="L342">
            <v>1000000</v>
          </cell>
        </row>
        <row r="343">
          <cell r="A343">
            <v>46095</v>
          </cell>
          <cell r="B343">
            <v>0.70646990740740745</v>
          </cell>
          <cell r="D343" t="str">
            <v xml:space="preserve"> Chorizo con papa/arepa</v>
          </cell>
          <cell r="G343">
            <v>1</v>
          </cell>
          <cell r="I343">
            <v>0</v>
          </cell>
          <cell r="J343">
            <v>8000</v>
          </cell>
          <cell r="K343">
            <v>8000</v>
          </cell>
          <cell r="L343">
            <v>4340</v>
          </cell>
        </row>
        <row r="344">
          <cell r="A344">
            <v>46095</v>
          </cell>
          <cell r="B344">
            <v>0.70646990740740745</v>
          </cell>
          <cell r="D344" t="str">
            <v>BEBIDA - Coca Cola</v>
          </cell>
          <cell r="G344">
            <v>1</v>
          </cell>
          <cell r="I344">
            <v>0</v>
          </cell>
          <cell r="J344">
            <v>3000</v>
          </cell>
          <cell r="K344">
            <v>3000</v>
          </cell>
          <cell r="L344">
            <v>1200</v>
          </cell>
        </row>
        <row r="345">
          <cell r="A345">
            <v>46095</v>
          </cell>
          <cell r="B345">
            <v>0.82105324074074071</v>
          </cell>
          <cell r="D345" t="str">
            <v>BEBIDA - Aguila</v>
          </cell>
          <cell r="G345">
            <v>3</v>
          </cell>
          <cell r="I345">
            <v>0</v>
          </cell>
          <cell r="J345">
            <v>13500</v>
          </cell>
          <cell r="K345">
            <v>13500</v>
          </cell>
          <cell r="L345">
            <v>1000000</v>
          </cell>
        </row>
        <row r="346">
          <cell r="A346">
            <v>46095</v>
          </cell>
          <cell r="B346">
            <v>0.82371527777777775</v>
          </cell>
          <cell r="D346" t="str">
            <v xml:space="preserve"> Chorizo con papa/arepa</v>
          </cell>
          <cell r="G346">
            <v>1</v>
          </cell>
          <cell r="I346">
            <v>8000</v>
          </cell>
          <cell r="J346">
            <v>0</v>
          </cell>
          <cell r="K346">
            <v>8000</v>
          </cell>
          <cell r="L346">
            <v>4340</v>
          </cell>
        </row>
        <row r="347">
          <cell r="A347">
            <v>46096</v>
          </cell>
          <cell r="B347">
            <v>0.57894675925925931</v>
          </cell>
          <cell r="D347" t="str">
            <v xml:space="preserve"> Chorizo con papa/arepa</v>
          </cell>
          <cell r="G347">
            <v>2</v>
          </cell>
          <cell r="I347">
            <v>16000</v>
          </cell>
          <cell r="J347">
            <v>0</v>
          </cell>
          <cell r="K347">
            <v>16000</v>
          </cell>
          <cell r="L347">
            <v>4340</v>
          </cell>
        </row>
        <row r="348">
          <cell r="A348">
            <v>46096</v>
          </cell>
          <cell r="B348">
            <v>0.59741898148148154</v>
          </cell>
          <cell r="D348" t="str">
            <v xml:space="preserve"> Chorizo con papa/arepa</v>
          </cell>
          <cell r="G348">
            <v>1</v>
          </cell>
          <cell r="I348">
            <v>8000</v>
          </cell>
          <cell r="J348">
            <v>0</v>
          </cell>
          <cell r="K348">
            <v>8000</v>
          </cell>
          <cell r="L348">
            <v>4340</v>
          </cell>
        </row>
        <row r="349">
          <cell r="A349">
            <v>46096</v>
          </cell>
          <cell r="B349">
            <v>0.59741898148148154</v>
          </cell>
          <cell r="D349" t="str">
            <v>BEBIDA - Coca Cola</v>
          </cell>
          <cell r="G349">
            <v>1</v>
          </cell>
          <cell r="I349">
            <v>3000</v>
          </cell>
          <cell r="J349">
            <v>0</v>
          </cell>
          <cell r="K349">
            <v>3000</v>
          </cell>
          <cell r="L349">
            <v>1200</v>
          </cell>
        </row>
        <row r="350">
          <cell r="A350">
            <v>46096</v>
          </cell>
          <cell r="B350">
            <v>0.61869212962962961</v>
          </cell>
          <cell r="D350" t="str">
            <v>BEBIDA - Aguila</v>
          </cell>
          <cell r="G350">
            <v>2</v>
          </cell>
          <cell r="I350">
            <v>9000</v>
          </cell>
          <cell r="J350">
            <v>0</v>
          </cell>
          <cell r="K350">
            <v>9000</v>
          </cell>
          <cell r="L350">
            <v>1000000</v>
          </cell>
        </row>
        <row r="351">
          <cell r="A351">
            <v>46096</v>
          </cell>
          <cell r="B351">
            <v>0.64789351851851851</v>
          </cell>
          <cell r="D351" t="str">
            <v xml:space="preserve"> Chorizo con papa/arepa</v>
          </cell>
          <cell r="G351">
            <v>1</v>
          </cell>
          <cell r="I351">
            <v>8000</v>
          </cell>
          <cell r="J351">
            <v>0</v>
          </cell>
          <cell r="K351">
            <v>8000</v>
          </cell>
          <cell r="L351">
            <v>4340</v>
          </cell>
        </row>
        <row r="352">
          <cell r="A352">
            <v>46096</v>
          </cell>
          <cell r="B352">
            <v>0.64789351851851851</v>
          </cell>
          <cell r="D352" t="str">
            <v>BEBIDA - Coca Cola</v>
          </cell>
          <cell r="G352">
            <v>1</v>
          </cell>
          <cell r="I352">
            <v>3000</v>
          </cell>
          <cell r="J352">
            <v>0</v>
          </cell>
          <cell r="K352">
            <v>3000</v>
          </cell>
          <cell r="L352">
            <v>1200</v>
          </cell>
        </row>
        <row r="353">
          <cell r="A353">
            <v>46096</v>
          </cell>
          <cell r="B353">
            <v>0.64811342592592591</v>
          </cell>
          <cell r="D353" t="str">
            <v xml:space="preserve"> Chorizo con papa/arepa</v>
          </cell>
          <cell r="G353">
            <v>2</v>
          </cell>
          <cell r="I353">
            <v>0</v>
          </cell>
          <cell r="J353">
            <v>16000</v>
          </cell>
          <cell r="K353">
            <v>16000</v>
          </cell>
          <cell r="L353">
            <v>4340</v>
          </cell>
        </row>
        <row r="354">
          <cell r="A354">
            <v>46096</v>
          </cell>
          <cell r="B354">
            <v>0.64811342592592591</v>
          </cell>
          <cell r="D354" t="str">
            <v>BEBIDA - Coca Cola</v>
          </cell>
          <cell r="G354">
            <v>1</v>
          </cell>
          <cell r="I354">
            <v>0</v>
          </cell>
          <cell r="J354">
            <v>3000</v>
          </cell>
          <cell r="K354">
            <v>3000</v>
          </cell>
          <cell r="L354">
            <v>1200</v>
          </cell>
        </row>
        <row r="355">
          <cell r="A355">
            <v>46096</v>
          </cell>
          <cell r="B355">
            <v>0.65579861111111115</v>
          </cell>
          <cell r="D355" t="str">
            <v xml:space="preserve"> Chorizo con papa/arepa</v>
          </cell>
          <cell r="G355">
            <v>2</v>
          </cell>
          <cell r="I355">
            <v>16000</v>
          </cell>
          <cell r="J355">
            <v>0</v>
          </cell>
          <cell r="K355">
            <v>16000</v>
          </cell>
          <cell r="L355">
            <v>4340</v>
          </cell>
        </row>
        <row r="356">
          <cell r="A356">
            <v>46096</v>
          </cell>
          <cell r="B356">
            <v>0.65579861111111115</v>
          </cell>
          <cell r="D356" t="str">
            <v>BEBIDA - Coca Cola</v>
          </cell>
          <cell r="G356">
            <v>1</v>
          </cell>
          <cell r="I356">
            <v>3000</v>
          </cell>
          <cell r="J356">
            <v>0</v>
          </cell>
          <cell r="K356">
            <v>3000</v>
          </cell>
          <cell r="L356">
            <v>1200</v>
          </cell>
        </row>
        <row r="357">
          <cell r="A357">
            <v>46096</v>
          </cell>
          <cell r="B357">
            <v>0.72108796296296296</v>
          </cell>
          <cell r="D357" t="str">
            <v>BEBIDA - Coca Cola</v>
          </cell>
          <cell r="G357">
            <v>1</v>
          </cell>
          <cell r="I357">
            <v>3000</v>
          </cell>
          <cell r="J357">
            <v>0</v>
          </cell>
          <cell r="K357">
            <v>3000</v>
          </cell>
          <cell r="L357">
            <v>1200</v>
          </cell>
        </row>
        <row r="358">
          <cell r="A358">
            <v>46096</v>
          </cell>
          <cell r="B358">
            <v>0.72108796296296296</v>
          </cell>
          <cell r="D358" t="str">
            <v>CARNES - Mojarra</v>
          </cell>
          <cell r="G358">
            <v>1</v>
          </cell>
          <cell r="I358">
            <v>30000</v>
          </cell>
          <cell r="J358">
            <v>0</v>
          </cell>
          <cell r="K358">
            <v>30000</v>
          </cell>
          <cell r="L358">
            <v>1000000</v>
          </cell>
        </row>
        <row r="359">
          <cell r="A359">
            <v>46096</v>
          </cell>
          <cell r="B359">
            <v>0.78940972222222228</v>
          </cell>
          <cell r="D359" t="str">
            <v>BEBIDA - Coca Cola</v>
          </cell>
          <cell r="G359">
            <v>2</v>
          </cell>
          <cell r="I359">
            <v>0</v>
          </cell>
          <cell r="J359">
            <v>6000</v>
          </cell>
          <cell r="K359">
            <v>6000</v>
          </cell>
          <cell r="L359">
            <v>1200</v>
          </cell>
        </row>
        <row r="360">
          <cell r="A360">
            <v>46096</v>
          </cell>
          <cell r="B360">
            <v>0.78940972222222228</v>
          </cell>
          <cell r="D360" t="str">
            <v>Parrillada de 30</v>
          </cell>
          <cell r="G360">
            <v>1</v>
          </cell>
          <cell r="I360">
            <v>0</v>
          </cell>
          <cell r="J360">
            <v>30000</v>
          </cell>
          <cell r="K360">
            <v>30000</v>
          </cell>
          <cell r="L360">
            <v>1000000</v>
          </cell>
        </row>
        <row r="361">
          <cell r="A361">
            <v>46097</v>
          </cell>
          <cell r="B361">
            <v>0.66733796296296299</v>
          </cell>
          <cell r="D361" t="str">
            <v xml:space="preserve"> Chorizo con papa/arepa</v>
          </cell>
          <cell r="G361">
            <v>3</v>
          </cell>
          <cell r="I361">
            <v>24000</v>
          </cell>
          <cell r="J361">
            <v>0</v>
          </cell>
          <cell r="K361">
            <v>24000</v>
          </cell>
          <cell r="L361">
            <v>4340</v>
          </cell>
        </row>
        <row r="362">
          <cell r="A362">
            <v>46097</v>
          </cell>
          <cell r="B362">
            <v>0.6839467592592593</v>
          </cell>
          <cell r="D362" t="str">
            <v xml:space="preserve"> Chorizo con papa/arepa</v>
          </cell>
          <cell r="G362">
            <v>1</v>
          </cell>
          <cell r="I362">
            <v>8000</v>
          </cell>
          <cell r="J362">
            <v>0</v>
          </cell>
          <cell r="K362">
            <v>8000</v>
          </cell>
          <cell r="L362">
            <v>4340</v>
          </cell>
        </row>
        <row r="363">
          <cell r="A363">
            <v>46097</v>
          </cell>
          <cell r="B363">
            <v>0.6839467592592593</v>
          </cell>
          <cell r="D363" t="str">
            <v>BEBIDA - Coca Cola</v>
          </cell>
          <cell r="G363">
            <v>1</v>
          </cell>
          <cell r="I363">
            <v>3000</v>
          </cell>
          <cell r="J363">
            <v>0</v>
          </cell>
          <cell r="K363">
            <v>3000</v>
          </cell>
          <cell r="L363">
            <v>1200</v>
          </cell>
        </row>
        <row r="364">
          <cell r="A364">
            <v>46097</v>
          </cell>
          <cell r="B364">
            <v>0.68489583333333337</v>
          </cell>
          <cell r="D364" t="str">
            <v xml:space="preserve"> Chorizo con papa/arepa</v>
          </cell>
          <cell r="G364">
            <v>1</v>
          </cell>
          <cell r="I364">
            <v>0</v>
          </cell>
          <cell r="J364">
            <v>8000</v>
          </cell>
          <cell r="K364">
            <v>8000</v>
          </cell>
          <cell r="L364">
            <v>4340</v>
          </cell>
        </row>
        <row r="365">
          <cell r="A365">
            <v>46097</v>
          </cell>
          <cell r="B365">
            <v>0.68489583333333337</v>
          </cell>
          <cell r="D365" t="str">
            <v>BEBIDA - Coca Cola</v>
          </cell>
          <cell r="G365">
            <v>1</v>
          </cell>
          <cell r="I365">
            <v>0</v>
          </cell>
          <cell r="J365">
            <v>3000</v>
          </cell>
          <cell r="K365">
            <v>3000</v>
          </cell>
          <cell r="L365">
            <v>1200</v>
          </cell>
        </row>
        <row r="366">
          <cell r="A366">
            <v>46097</v>
          </cell>
          <cell r="B366">
            <v>0.72692129629629632</v>
          </cell>
          <cell r="D366" t="str">
            <v xml:space="preserve"> Chorizo con papa/arepa</v>
          </cell>
          <cell r="G366">
            <v>1</v>
          </cell>
          <cell r="I366">
            <v>8000</v>
          </cell>
          <cell r="J366">
            <v>0</v>
          </cell>
          <cell r="K366">
            <v>8000</v>
          </cell>
          <cell r="L366">
            <v>4340</v>
          </cell>
        </row>
        <row r="367">
          <cell r="A367">
            <v>46097</v>
          </cell>
          <cell r="B367">
            <v>0.72692129629629632</v>
          </cell>
          <cell r="D367" t="str">
            <v>BEBIDA - Coca Cola</v>
          </cell>
          <cell r="G367">
            <v>1</v>
          </cell>
          <cell r="I367">
            <v>3000</v>
          </cell>
          <cell r="J367">
            <v>0</v>
          </cell>
          <cell r="K367">
            <v>3000</v>
          </cell>
          <cell r="L367">
            <v>1200</v>
          </cell>
        </row>
        <row r="368">
          <cell r="A368">
            <v>46097</v>
          </cell>
          <cell r="B368">
            <v>0.7690393518518519</v>
          </cell>
          <cell r="D368" t="str">
            <v xml:space="preserve"> Chorizo con papa/arepa</v>
          </cell>
          <cell r="G368">
            <v>6</v>
          </cell>
          <cell r="I368">
            <v>48000</v>
          </cell>
          <cell r="J368">
            <v>0</v>
          </cell>
          <cell r="K368">
            <v>48000</v>
          </cell>
          <cell r="L368">
            <v>4340</v>
          </cell>
        </row>
        <row r="369">
          <cell r="A369">
            <v>46097</v>
          </cell>
          <cell r="B369">
            <v>0.7690393518518519</v>
          </cell>
          <cell r="D369" t="str">
            <v>BEBIDA - Coca Cola</v>
          </cell>
          <cell r="G369">
            <v>3</v>
          </cell>
          <cell r="I369">
            <v>9000</v>
          </cell>
          <cell r="J369">
            <v>0</v>
          </cell>
          <cell r="K369">
            <v>9000</v>
          </cell>
          <cell r="L369">
            <v>1200</v>
          </cell>
        </row>
        <row r="370">
          <cell r="A370">
            <v>46097</v>
          </cell>
          <cell r="B370">
            <v>0.77001157407407406</v>
          </cell>
          <cell r="D370" t="str">
            <v xml:space="preserve"> Chorizo solo</v>
          </cell>
          <cell r="G370">
            <v>1</v>
          </cell>
          <cell r="I370">
            <v>0</v>
          </cell>
          <cell r="J370">
            <v>7000</v>
          </cell>
          <cell r="K370">
            <v>7000</v>
          </cell>
          <cell r="L370">
            <v>3500</v>
          </cell>
        </row>
        <row r="371">
          <cell r="A371">
            <v>46097</v>
          </cell>
          <cell r="B371">
            <v>0.77001157407407406</v>
          </cell>
          <cell r="D371" t="str">
            <v>BEBIDA - Coca Cola</v>
          </cell>
          <cell r="G371">
            <v>1</v>
          </cell>
          <cell r="I371">
            <v>0</v>
          </cell>
          <cell r="J371">
            <v>3000</v>
          </cell>
          <cell r="K371">
            <v>3000</v>
          </cell>
          <cell r="L371">
            <v>1200</v>
          </cell>
        </row>
        <row r="372">
          <cell r="A372">
            <v>46098</v>
          </cell>
          <cell r="B372">
            <v>0.44481481481481483</v>
          </cell>
          <cell r="D372" t="str">
            <v xml:space="preserve"> Chorizo con papa/arepa</v>
          </cell>
          <cell r="G372">
            <v>4</v>
          </cell>
          <cell r="I372">
            <v>0</v>
          </cell>
          <cell r="J372">
            <v>32000</v>
          </cell>
          <cell r="K372">
            <v>32000</v>
          </cell>
          <cell r="L372">
            <v>4340</v>
          </cell>
        </row>
        <row r="373">
          <cell r="A373">
            <v>46098</v>
          </cell>
          <cell r="B373">
            <v>0.61690972222222218</v>
          </cell>
          <cell r="D373" t="str">
            <v xml:space="preserve"> Chorizo con papa/arepa</v>
          </cell>
          <cell r="G373">
            <v>3</v>
          </cell>
          <cell r="I373">
            <v>24000</v>
          </cell>
          <cell r="J373">
            <v>0</v>
          </cell>
          <cell r="K373">
            <v>24000</v>
          </cell>
          <cell r="L373">
            <v>4340</v>
          </cell>
        </row>
        <row r="374">
          <cell r="A374">
            <v>46098</v>
          </cell>
          <cell r="B374">
            <v>0.61690972222222218</v>
          </cell>
          <cell r="D374" t="str">
            <v>BEBIDA - Postobón</v>
          </cell>
          <cell r="G374">
            <v>1</v>
          </cell>
          <cell r="I374">
            <v>3000</v>
          </cell>
          <cell r="J374">
            <v>0</v>
          </cell>
          <cell r="K374">
            <v>3000</v>
          </cell>
          <cell r="L374">
            <v>1133.33</v>
          </cell>
        </row>
        <row r="375">
          <cell r="A375">
            <v>46098</v>
          </cell>
          <cell r="B375">
            <v>0.61690972222222218</v>
          </cell>
          <cell r="D375" t="str">
            <v>z. MP -  Chorizo CRUDO</v>
          </cell>
          <cell r="G375">
            <v>3</v>
          </cell>
          <cell r="I375">
            <v>13500</v>
          </cell>
          <cell r="J375">
            <v>0</v>
          </cell>
          <cell r="K375">
            <v>13500</v>
          </cell>
          <cell r="L375">
            <v>3500</v>
          </cell>
        </row>
        <row r="376">
          <cell r="A376">
            <v>46098</v>
          </cell>
          <cell r="B376">
            <v>0.62935185185185183</v>
          </cell>
          <cell r="D376" t="str">
            <v xml:space="preserve"> Chorizo con papa/arepa</v>
          </cell>
          <cell r="G376">
            <v>2</v>
          </cell>
          <cell r="I376">
            <v>16000</v>
          </cell>
          <cell r="J376">
            <v>0</v>
          </cell>
          <cell r="K376">
            <v>16000</v>
          </cell>
          <cell r="L376">
            <v>4340</v>
          </cell>
        </row>
        <row r="377">
          <cell r="A377">
            <v>46098</v>
          </cell>
          <cell r="B377">
            <v>0.65011574074074074</v>
          </cell>
          <cell r="D377" t="str">
            <v xml:space="preserve"> Chorizo con papa/arepa</v>
          </cell>
          <cell r="G377">
            <v>1</v>
          </cell>
          <cell r="I377">
            <v>0</v>
          </cell>
          <cell r="J377">
            <v>8000</v>
          </cell>
          <cell r="K377">
            <v>8000</v>
          </cell>
          <cell r="L377">
            <v>4340</v>
          </cell>
        </row>
        <row r="378">
          <cell r="A378">
            <v>46098</v>
          </cell>
          <cell r="B378">
            <v>0.65011574074074074</v>
          </cell>
          <cell r="D378" t="str">
            <v>BEBIDA - Coca Cola</v>
          </cell>
          <cell r="G378">
            <v>1</v>
          </cell>
          <cell r="I378">
            <v>0</v>
          </cell>
          <cell r="J378">
            <v>3000</v>
          </cell>
          <cell r="K378">
            <v>3000</v>
          </cell>
          <cell r="L378">
            <v>1200</v>
          </cell>
        </row>
        <row r="379">
          <cell r="A379">
            <v>46098</v>
          </cell>
          <cell r="B379">
            <v>0.65011574074074074</v>
          </cell>
          <cell r="D379" t="str">
            <v>BEBIDA - Jugo Hit</v>
          </cell>
          <cell r="G379">
            <v>1</v>
          </cell>
          <cell r="I379">
            <v>0</v>
          </cell>
          <cell r="J379">
            <v>4500</v>
          </cell>
          <cell r="K379">
            <v>4500</v>
          </cell>
          <cell r="L379">
            <v>2416.67</v>
          </cell>
        </row>
        <row r="380">
          <cell r="A380">
            <v>46098</v>
          </cell>
          <cell r="B380">
            <v>0.65350694444444446</v>
          </cell>
          <cell r="D380" t="str">
            <v>z. MP -  Chorizo CRUDO</v>
          </cell>
          <cell r="G380">
            <v>2</v>
          </cell>
          <cell r="I380">
            <v>9000</v>
          </cell>
          <cell r="J380">
            <v>0</v>
          </cell>
          <cell r="K380">
            <v>9000</v>
          </cell>
          <cell r="L380">
            <v>3500</v>
          </cell>
        </row>
        <row r="381">
          <cell r="A381">
            <v>46098</v>
          </cell>
          <cell r="B381">
            <v>0.68811342592592595</v>
          </cell>
          <cell r="D381" t="str">
            <v xml:space="preserve"> Chorizo con papa/arepa</v>
          </cell>
          <cell r="G381">
            <v>2</v>
          </cell>
          <cell r="I381">
            <v>16000</v>
          </cell>
          <cell r="J381">
            <v>0</v>
          </cell>
          <cell r="K381">
            <v>16000</v>
          </cell>
          <cell r="L381">
            <v>4340</v>
          </cell>
        </row>
        <row r="382">
          <cell r="A382">
            <v>46098</v>
          </cell>
          <cell r="B382">
            <v>0.72674768518518518</v>
          </cell>
          <cell r="D382" t="str">
            <v xml:space="preserve"> Chorizo con papa/arepa</v>
          </cell>
          <cell r="G382">
            <v>1</v>
          </cell>
          <cell r="I382">
            <v>0</v>
          </cell>
          <cell r="J382">
            <v>8000</v>
          </cell>
          <cell r="K382">
            <v>8000</v>
          </cell>
          <cell r="L382">
            <v>4340</v>
          </cell>
        </row>
        <row r="383">
          <cell r="A383">
            <v>46098</v>
          </cell>
          <cell r="B383">
            <v>0.72674768518518518</v>
          </cell>
          <cell r="D383" t="str">
            <v>BEBIDA - Coca Cola</v>
          </cell>
          <cell r="G383">
            <v>1</v>
          </cell>
          <cell r="I383">
            <v>0</v>
          </cell>
          <cell r="J383">
            <v>3000</v>
          </cell>
          <cell r="K383">
            <v>3000</v>
          </cell>
          <cell r="L383">
            <v>1200</v>
          </cell>
        </row>
        <row r="384">
          <cell r="A384">
            <v>46098</v>
          </cell>
          <cell r="B384">
            <v>0.73148148148148151</v>
          </cell>
          <cell r="D384" t="str">
            <v xml:space="preserve"> Chorizo con papa/arepa</v>
          </cell>
          <cell r="G384">
            <v>2</v>
          </cell>
          <cell r="I384">
            <v>16000</v>
          </cell>
          <cell r="J384">
            <v>0</v>
          </cell>
          <cell r="K384">
            <v>16000</v>
          </cell>
          <cell r="L384">
            <v>4340</v>
          </cell>
        </row>
        <row r="385">
          <cell r="A385">
            <v>46098</v>
          </cell>
          <cell r="B385">
            <v>0.73148148148148151</v>
          </cell>
          <cell r="D385" t="str">
            <v>BEBIDA - Postobón</v>
          </cell>
          <cell r="G385">
            <v>2</v>
          </cell>
          <cell r="I385">
            <v>6000</v>
          </cell>
          <cell r="J385">
            <v>0</v>
          </cell>
          <cell r="K385">
            <v>6000</v>
          </cell>
          <cell r="L385">
            <v>1133.33</v>
          </cell>
        </row>
        <row r="386">
          <cell r="A386">
            <v>46098</v>
          </cell>
          <cell r="B386">
            <v>0.74342592592592593</v>
          </cell>
          <cell r="D386" t="str">
            <v>z. MP -  Chorizo CRUDO</v>
          </cell>
          <cell r="G386">
            <v>12</v>
          </cell>
          <cell r="I386">
            <v>0</v>
          </cell>
          <cell r="J386">
            <v>54000</v>
          </cell>
          <cell r="K386">
            <v>54000</v>
          </cell>
          <cell r="L386">
            <v>3500</v>
          </cell>
        </row>
        <row r="387">
          <cell r="A387">
            <v>46098</v>
          </cell>
          <cell r="B387">
            <v>0.74424768518518514</v>
          </cell>
          <cell r="D387" t="str">
            <v xml:space="preserve"> Chorizo con papa/arepa</v>
          </cell>
          <cell r="G387">
            <v>1</v>
          </cell>
          <cell r="I387">
            <v>0</v>
          </cell>
          <cell r="J387">
            <v>8000</v>
          </cell>
          <cell r="K387">
            <v>8000</v>
          </cell>
          <cell r="L387">
            <v>4340</v>
          </cell>
        </row>
        <row r="388">
          <cell r="A388">
            <v>46098</v>
          </cell>
          <cell r="B388">
            <v>0.74930555555555556</v>
          </cell>
          <cell r="D388" t="str">
            <v xml:space="preserve"> Chorizo con papa/arepa</v>
          </cell>
          <cell r="G388">
            <v>1</v>
          </cell>
          <cell r="I388">
            <v>8000</v>
          </cell>
          <cell r="J388">
            <v>0</v>
          </cell>
          <cell r="K388">
            <v>8000</v>
          </cell>
          <cell r="L388">
            <v>4340</v>
          </cell>
        </row>
        <row r="389">
          <cell r="A389">
            <v>46098</v>
          </cell>
          <cell r="B389">
            <v>0.74944444444444447</v>
          </cell>
          <cell r="D389" t="str">
            <v xml:space="preserve"> Chorizo con papa/arepa</v>
          </cell>
          <cell r="G389">
            <v>1</v>
          </cell>
          <cell r="I389">
            <v>8000</v>
          </cell>
          <cell r="J389">
            <v>0</v>
          </cell>
          <cell r="K389">
            <v>8000</v>
          </cell>
          <cell r="L389">
            <v>4340</v>
          </cell>
        </row>
        <row r="390">
          <cell r="A390">
            <v>46098</v>
          </cell>
          <cell r="B390">
            <v>0.74972222222222218</v>
          </cell>
          <cell r="D390" t="str">
            <v xml:space="preserve"> Chorizo con papa/arepa</v>
          </cell>
          <cell r="G390">
            <v>1</v>
          </cell>
          <cell r="I390">
            <v>0</v>
          </cell>
          <cell r="J390">
            <v>8000</v>
          </cell>
          <cell r="K390">
            <v>8000</v>
          </cell>
          <cell r="L390">
            <v>4340</v>
          </cell>
        </row>
        <row r="391">
          <cell r="A391">
            <v>46098</v>
          </cell>
          <cell r="B391">
            <v>0.75292824074074072</v>
          </cell>
          <cell r="D391" t="str">
            <v xml:space="preserve"> Chorizo solo</v>
          </cell>
          <cell r="G391">
            <v>2</v>
          </cell>
          <cell r="I391">
            <v>14000</v>
          </cell>
          <cell r="J391">
            <v>0</v>
          </cell>
          <cell r="K391">
            <v>14000</v>
          </cell>
          <cell r="L391">
            <v>3500</v>
          </cell>
        </row>
        <row r="392">
          <cell r="A392">
            <v>46098</v>
          </cell>
          <cell r="B392">
            <v>0.76597222222222228</v>
          </cell>
          <cell r="D392" t="str">
            <v xml:space="preserve"> Chorizo con papa/arepa</v>
          </cell>
          <cell r="G392">
            <v>1</v>
          </cell>
          <cell r="I392">
            <v>8000</v>
          </cell>
          <cell r="J392">
            <v>0</v>
          </cell>
          <cell r="K392">
            <v>8000</v>
          </cell>
          <cell r="L392">
            <v>4340</v>
          </cell>
        </row>
        <row r="393">
          <cell r="A393">
            <v>46098</v>
          </cell>
          <cell r="B393">
            <v>0.76597222222222228</v>
          </cell>
          <cell r="D393" t="str">
            <v>BEBIDA - Coca Cola</v>
          </cell>
          <cell r="G393">
            <v>1</v>
          </cell>
          <cell r="I393">
            <v>3000</v>
          </cell>
          <cell r="J393">
            <v>0</v>
          </cell>
          <cell r="K393">
            <v>3000</v>
          </cell>
          <cell r="L393">
            <v>1200</v>
          </cell>
        </row>
        <row r="394">
          <cell r="A394">
            <v>46098</v>
          </cell>
          <cell r="B394">
            <v>0.76649305555555558</v>
          </cell>
          <cell r="D394" t="str">
            <v xml:space="preserve"> Chorizo con papa/arepa</v>
          </cell>
          <cell r="G394">
            <v>2</v>
          </cell>
          <cell r="I394">
            <v>16000</v>
          </cell>
          <cell r="J394">
            <v>0</v>
          </cell>
          <cell r="K394">
            <v>16000</v>
          </cell>
          <cell r="L394">
            <v>4340</v>
          </cell>
        </row>
        <row r="395">
          <cell r="A395">
            <v>46098</v>
          </cell>
          <cell r="B395">
            <v>0.76755787037037038</v>
          </cell>
          <cell r="D395" t="str">
            <v>z. MP -  Chorizo CRUDO</v>
          </cell>
          <cell r="G395">
            <v>2</v>
          </cell>
          <cell r="I395">
            <v>0</v>
          </cell>
          <cell r="J395">
            <v>9000</v>
          </cell>
          <cell r="K395">
            <v>9000</v>
          </cell>
          <cell r="L395">
            <v>3500</v>
          </cell>
        </row>
        <row r="396">
          <cell r="A396">
            <v>46098</v>
          </cell>
          <cell r="B396">
            <v>0.80873842592592593</v>
          </cell>
          <cell r="D396" t="str">
            <v xml:space="preserve"> Chorizo con papa/arepa</v>
          </cell>
          <cell r="G396">
            <v>2</v>
          </cell>
          <cell r="I396">
            <v>16000</v>
          </cell>
          <cell r="J396">
            <v>0</v>
          </cell>
          <cell r="K396">
            <v>16000</v>
          </cell>
          <cell r="L396">
            <v>4340</v>
          </cell>
        </row>
        <row r="397">
          <cell r="A397">
            <v>46099</v>
          </cell>
          <cell r="B397">
            <v>0.69084490740740745</v>
          </cell>
          <cell r="D397" t="str">
            <v xml:space="preserve"> Chorizo con papa/arepa</v>
          </cell>
          <cell r="G397">
            <v>4</v>
          </cell>
          <cell r="I397">
            <v>0</v>
          </cell>
          <cell r="J397">
            <v>32000</v>
          </cell>
          <cell r="K397">
            <v>32000</v>
          </cell>
          <cell r="L397">
            <v>4340</v>
          </cell>
        </row>
        <row r="398">
          <cell r="A398">
            <v>46099</v>
          </cell>
          <cell r="B398">
            <v>0.69084490740740745</v>
          </cell>
          <cell r="D398" t="str">
            <v>BEBIDA - Coca Cola</v>
          </cell>
          <cell r="G398">
            <v>2</v>
          </cell>
          <cell r="I398">
            <v>0</v>
          </cell>
          <cell r="J398">
            <v>6000</v>
          </cell>
          <cell r="K398">
            <v>6000</v>
          </cell>
          <cell r="L398">
            <v>1200</v>
          </cell>
        </row>
        <row r="399">
          <cell r="A399">
            <v>46099</v>
          </cell>
          <cell r="B399">
            <v>0.69677083333333334</v>
          </cell>
          <cell r="D399" t="str">
            <v xml:space="preserve"> Chorizo con papa/arepa</v>
          </cell>
          <cell r="G399">
            <v>2</v>
          </cell>
          <cell r="I399">
            <v>16000</v>
          </cell>
          <cell r="J399">
            <v>0</v>
          </cell>
          <cell r="K399">
            <v>16000</v>
          </cell>
          <cell r="L399">
            <v>4340</v>
          </cell>
        </row>
        <row r="400">
          <cell r="A400">
            <v>46099</v>
          </cell>
          <cell r="B400">
            <v>0.72040509259259256</v>
          </cell>
          <cell r="D400" t="str">
            <v xml:space="preserve"> Chorizo con papa/arepa</v>
          </cell>
          <cell r="G400">
            <v>2</v>
          </cell>
          <cell r="I400">
            <v>0</v>
          </cell>
          <cell r="J400">
            <v>16000</v>
          </cell>
          <cell r="K400">
            <v>16000</v>
          </cell>
          <cell r="L400">
            <v>4340</v>
          </cell>
        </row>
        <row r="401">
          <cell r="A401">
            <v>46099</v>
          </cell>
          <cell r="B401">
            <v>0.73092592592592598</v>
          </cell>
          <cell r="D401" t="str">
            <v xml:space="preserve"> Chorizo con papa/arepa</v>
          </cell>
          <cell r="G401">
            <v>1</v>
          </cell>
          <cell r="I401">
            <v>0</v>
          </cell>
          <cell r="J401">
            <v>8000</v>
          </cell>
          <cell r="K401">
            <v>8000</v>
          </cell>
          <cell r="L401">
            <v>4340</v>
          </cell>
        </row>
        <row r="402">
          <cell r="A402">
            <v>46099</v>
          </cell>
          <cell r="B402">
            <v>0.7310416666666667</v>
          </cell>
          <cell r="D402" t="str">
            <v xml:space="preserve"> Chorizo con papa/arepa</v>
          </cell>
          <cell r="G402">
            <v>1</v>
          </cell>
          <cell r="I402">
            <v>8000</v>
          </cell>
          <cell r="J402">
            <v>0</v>
          </cell>
          <cell r="K402">
            <v>8000</v>
          </cell>
          <cell r="L402">
            <v>4340</v>
          </cell>
        </row>
        <row r="403">
          <cell r="A403">
            <v>46099</v>
          </cell>
          <cell r="B403">
            <v>0.74917824074074069</v>
          </cell>
          <cell r="D403" t="str">
            <v xml:space="preserve"> Chorizo con papa/arepa</v>
          </cell>
          <cell r="G403">
            <v>2</v>
          </cell>
          <cell r="I403">
            <v>16000</v>
          </cell>
          <cell r="J403">
            <v>0</v>
          </cell>
          <cell r="K403">
            <v>16000</v>
          </cell>
          <cell r="L403">
            <v>4340</v>
          </cell>
        </row>
        <row r="404">
          <cell r="A404">
            <v>46099</v>
          </cell>
          <cell r="B404">
            <v>0.74917824074074069</v>
          </cell>
          <cell r="D404" t="str">
            <v>BEBIDA - Coca Cola</v>
          </cell>
          <cell r="G404">
            <v>2</v>
          </cell>
          <cell r="I404">
            <v>6000</v>
          </cell>
          <cell r="J404">
            <v>0</v>
          </cell>
          <cell r="K404">
            <v>6000</v>
          </cell>
          <cell r="L404">
            <v>1200</v>
          </cell>
        </row>
        <row r="405">
          <cell r="A405">
            <v>46099</v>
          </cell>
          <cell r="B405">
            <v>0.76780092592592597</v>
          </cell>
          <cell r="D405" t="str">
            <v xml:space="preserve"> Chorizo con papa/arepa</v>
          </cell>
          <cell r="G405">
            <v>1</v>
          </cell>
          <cell r="I405">
            <v>8000</v>
          </cell>
          <cell r="J405">
            <v>0</v>
          </cell>
          <cell r="K405">
            <v>8000</v>
          </cell>
          <cell r="L405">
            <v>4340</v>
          </cell>
        </row>
        <row r="406">
          <cell r="A406">
            <v>46099</v>
          </cell>
          <cell r="B406">
            <v>0.76891203703703703</v>
          </cell>
          <cell r="D406" t="str">
            <v>z. MP -  Chorizo CRUDO</v>
          </cell>
          <cell r="G406">
            <v>2</v>
          </cell>
          <cell r="I406">
            <v>0</v>
          </cell>
          <cell r="J406">
            <v>9000</v>
          </cell>
          <cell r="K406">
            <v>9000</v>
          </cell>
          <cell r="L406">
            <v>3500</v>
          </cell>
        </row>
        <row r="407">
          <cell r="A407">
            <v>46099</v>
          </cell>
          <cell r="B407">
            <v>0.79048611111111111</v>
          </cell>
          <cell r="D407" t="str">
            <v xml:space="preserve"> Chorizo con papa/arepa</v>
          </cell>
          <cell r="G407">
            <v>1</v>
          </cell>
          <cell r="I407">
            <v>8000</v>
          </cell>
          <cell r="J407">
            <v>0</v>
          </cell>
          <cell r="K407">
            <v>8000</v>
          </cell>
          <cell r="L407">
            <v>4340</v>
          </cell>
        </row>
        <row r="408">
          <cell r="A408">
            <v>46099</v>
          </cell>
          <cell r="B408">
            <v>0.79672453703703705</v>
          </cell>
          <cell r="D408" t="str">
            <v xml:space="preserve"> Chorizo con papa/arepa</v>
          </cell>
          <cell r="G408">
            <v>1</v>
          </cell>
          <cell r="I408">
            <v>8000</v>
          </cell>
          <cell r="J408">
            <v>0</v>
          </cell>
          <cell r="K408">
            <v>8000</v>
          </cell>
          <cell r="L408">
            <v>4340</v>
          </cell>
        </row>
        <row r="409">
          <cell r="A409">
            <v>46099</v>
          </cell>
          <cell r="B409">
            <v>0.82532407407407404</v>
          </cell>
          <cell r="D409" t="str">
            <v xml:space="preserve"> Chorizo con papa/arepa</v>
          </cell>
          <cell r="G409">
            <v>1</v>
          </cell>
          <cell r="I409">
            <v>8000</v>
          </cell>
          <cell r="J409">
            <v>0</v>
          </cell>
          <cell r="K409">
            <v>8000</v>
          </cell>
          <cell r="L409">
            <v>4340</v>
          </cell>
        </row>
        <row r="410">
          <cell r="A410">
            <v>46100</v>
          </cell>
          <cell r="B410">
            <v>0.59192129629629631</v>
          </cell>
          <cell r="D410" t="str">
            <v>chorixo solo</v>
          </cell>
          <cell r="G410">
            <v>5</v>
          </cell>
          <cell r="I410">
            <v>17500</v>
          </cell>
          <cell r="J410">
            <v>0</v>
          </cell>
          <cell r="K410">
            <v>17500</v>
          </cell>
          <cell r="L410">
            <v>1000000</v>
          </cell>
        </row>
        <row r="411">
          <cell r="A411">
            <v>46100</v>
          </cell>
          <cell r="B411">
            <v>0.60305555555555557</v>
          </cell>
          <cell r="D411" t="str">
            <v xml:space="preserve"> Chorizo con papa/arepa</v>
          </cell>
          <cell r="G411">
            <v>1</v>
          </cell>
          <cell r="I411">
            <v>0</v>
          </cell>
          <cell r="J411">
            <v>8000</v>
          </cell>
          <cell r="K411">
            <v>8000</v>
          </cell>
          <cell r="L411">
            <v>4340</v>
          </cell>
        </row>
        <row r="412">
          <cell r="A412">
            <v>46100</v>
          </cell>
          <cell r="B412">
            <v>0.65258101851851846</v>
          </cell>
          <cell r="D412" t="str">
            <v>Bandeja Choriboni - 30</v>
          </cell>
          <cell r="G412">
            <v>1</v>
          </cell>
          <cell r="I412">
            <v>30000</v>
          </cell>
          <cell r="J412">
            <v>0</v>
          </cell>
          <cell r="K412">
            <v>30000</v>
          </cell>
          <cell r="L412">
            <v>3500</v>
          </cell>
        </row>
        <row r="413">
          <cell r="A413">
            <v>46100</v>
          </cell>
          <cell r="B413">
            <v>0.65258101851851846</v>
          </cell>
          <cell r="D413" t="str">
            <v>BEBIDA - Postobón</v>
          </cell>
          <cell r="G413">
            <v>1</v>
          </cell>
          <cell r="I413">
            <v>3000</v>
          </cell>
          <cell r="J413">
            <v>0</v>
          </cell>
          <cell r="K413">
            <v>3000</v>
          </cell>
          <cell r="L413">
            <v>1133.33</v>
          </cell>
        </row>
        <row r="414">
          <cell r="A414">
            <v>46100</v>
          </cell>
          <cell r="B414">
            <v>0.67899305555555556</v>
          </cell>
          <cell r="D414" t="str">
            <v xml:space="preserve"> Chorizo con papa/arepa</v>
          </cell>
          <cell r="G414">
            <v>2</v>
          </cell>
          <cell r="I414">
            <v>0</v>
          </cell>
          <cell r="J414">
            <v>16000</v>
          </cell>
          <cell r="K414">
            <v>16000</v>
          </cell>
          <cell r="L414">
            <v>4340</v>
          </cell>
        </row>
        <row r="415">
          <cell r="A415">
            <v>46100</v>
          </cell>
          <cell r="B415">
            <v>0.67899305555555556</v>
          </cell>
          <cell r="D415" t="str">
            <v>BEBIDA - Coca Cola</v>
          </cell>
          <cell r="G415">
            <v>2</v>
          </cell>
          <cell r="I415">
            <v>0</v>
          </cell>
          <cell r="J415">
            <v>6000</v>
          </cell>
          <cell r="K415">
            <v>6000</v>
          </cell>
          <cell r="L415">
            <v>1200</v>
          </cell>
        </row>
        <row r="416">
          <cell r="A416">
            <v>46100</v>
          </cell>
          <cell r="B416">
            <v>0.70303240740740736</v>
          </cell>
          <cell r="D416" t="str">
            <v xml:space="preserve"> Chorizo con papa/arepa</v>
          </cell>
          <cell r="G416">
            <v>3</v>
          </cell>
          <cell r="I416">
            <v>0</v>
          </cell>
          <cell r="J416">
            <v>24000</v>
          </cell>
          <cell r="K416">
            <v>24000</v>
          </cell>
          <cell r="L416">
            <v>4340</v>
          </cell>
        </row>
        <row r="417">
          <cell r="A417">
            <v>46100</v>
          </cell>
          <cell r="B417">
            <v>0.70303240740740736</v>
          </cell>
          <cell r="D417" t="str">
            <v>BEBIDA - Coca Cola</v>
          </cell>
          <cell r="G417">
            <v>2</v>
          </cell>
          <cell r="I417">
            <v>0</v>
          </cell>
          <cell r="J417">
            <v>6000</v>
          </cell>
          <cell r="K417">
            <v>6000</v>
          </cell>
          <cell r="L417">
            <v>1200</v>
          </cell>
        </row>
        <row r="418">
          <cell r="A418">
            <v>46100</v>
          </cell>
          <cell r="B418">
            <v>0.7193518518518518</v>
          </cell>
          <cell r="D418" t="str">
            <v xml:space="preserve"> Chorizo con papa/arepa</v>
          </cell>
          <cell r="G418">
            <v>2</v>
          </cell>
          <cell r="I418">
            <v>0</v>
          </cell>
          <cell r="J418">
            <v>16000</v>
          </cell>
          <cell r="K418">
            <v>16000</v>
          </cell>
          <cell r="L418">
            <v>4340</v>
          </cell>
        </row>
        <row r="419">
          <cell r="A419">
            <v>46100</v>
          </cell>
          <cell r="B419">
            <v>0.7193518518518518</v>
          </cell>
          <cell r="D419" t="str">
            <v>BEBIDA - Coca Cola</v>
          </cell>
          <cell r="G419">
            <v>1</v>
          </cell>
          <cell r="I419">
            <v>0</v>
          </cell>
          <cell r="J419">
            <v>3000</v>
          </cell>
          <cell r="K419">
            <v>3000</v>
          </cell>
          <cell r="L419">
            <v>1200</v>
          </cell>
        </row>
        <row r="420">
          <cell r="A420">
            <v>46100</v>
          </cell>
          <cell r="B420">
            <v>0.73567129629629635</v>
          </cell>
          <cell r="D420" t="str">
            <v xml:space="preserve"> Chorizo con papa/arepa</v>
          </cell>
          <cell r="G420">
            <v>1</v>
          </cell>
          <cell r="I420">
            <v>8000</v>
          </cell>
          <cell r="J420">
            <v>0</v>
          </cell>
          <cell r="K420">
            <v>8000</v>
          </cell>
          <cell r="L420">
            <v>4340</v>
          </cell>
        </row>
        <row r="421">
          <cell r="A421">
            <v>46100</v>
          </cell>
          <cell r="B421">
            <v>0.73567129629629635</v>
          </cell>
          <cell r="D421" t="str">
            <v>BEBIDA - Coca Cola</v>
          </cell>
          <cell r="G421">
            <v>1</v>
          </cell>
          <cell r="I421">
            <v>3000</v>
          </cell>
          <cell r="J421">
            <v>0</v>
          </cell>
          <cell r="K421">
            <v>3000</v>
          </cell>
          <cell r="L421">
            <v>1200</v>
          </cell>
        </row>
        <row r="422">
          <cell r="A422">
            <v>46100</v>
          </cell>
          <cell r="B422">
            <v>0.73567129629629635</v>
          </cell>
          <cell r="D422" t="str">
            <v>z. MP -  Chorizo CRUDO</v>
          </cell>
          <cell r="G422">
            <v>4</v>
          </cell>
          <cell r="I422">
            <v>18000</v>
          </cell>
          <cell r="J422">
            <v>0</v>
          </cell>
          <cell r="K422">
            <v>18000</v>
          </cell>
          <cell r="L422">
            <v>3500</v>
          </cell>
        </row>
        <row r="423">
          <cell r="A423">
            <v>46100</v>
          </cell>
          <cell r="B423">
            <v>0.74875000000000003</v>
          </cell>
          <cell r="D423" t="str">
            <v xml:space="preserve"> Chorizo con papa/arepa</v>
          </cell>
          <cell r="G423">
            <v>2</v>
          </cell>
          <cell r="I423">
            <v>16000</v>
          </cell>
          <cell r="J423">
            <v>0</v>
          </cell>
          <cell r="K423">
            <v>16000</v>
          </cell>
          <cell r="L423">
            <v>4340</v>
          </cell>
        </row>
        <row r="424">
          <cell r="A424">
            <v>46100</v>
          </cell>
          <cell r="B424">
            <v>0.74875000000000003</v>
          </cell>
          <cell r="D424" t="str">
            <v>BEBIDA - Coca Cola ZERO</v>
          </cell>
          <cell r="G424">
            <v>2</v>
          </cell>
          <cell r="I424">
            <v>6400</v>
          </cell>
          <cell r="J424">
            <v>0</v>
          </cell>
          <cell r="K424">
            <v>6400</v>
          </cell>
          <cell r="L424">
            <v>1250</v>
          </cell>
        </row>
        <row r="425">
          <cell r="A425">
            <v>46100</v>
          </cell>
          <cell r="B425">
            <v>0.75240740740740741</v>
          </cell>
          <cell r="D425" t="str">
            <v xml:space="preserve"> Chorizo con papa/arepa</v>
          </cell>
          <cell r="G425">
            <v>1</v>
          </cell>
          <cell r="I425">
            <v>8000</v>
          </cell>
          <cell r="J425">
            <v>0</v>
          </cell>
          <cell r="K425">
            <v>8000</v>
          </cell>
          <cell r="L425">
            <v>4340</v>
          </cell>
        </row>
        <row r="426">
          <cell r="A426">
            <v>46100</v>
          </cell>
          <cell r="B426">
            <v>0.75240740740740741</v>
          </cell>
          <cell r="D426" t="str">
            <v>BEBIDA - Coca Cola</v>
          </cell>
          <cell r="G426">
            <v>1</v>
          </cell>
          <cell r="I426">
            <v>3000</v>
          </cell>
          <cell r="J426">
            <v>0</v>
          </cell>
          <cell r="K426">
            <v>3000</v>
          </cell>
          <cell r="L426">
            <v>1200</v>
          </cell>
        </row>
        <row r="427">
          <cell r="A427">
            <v>46100</v>
          </cell>
          <cell r="B427">
            <v>0.75858796296296294</v>
          </cell>
          <cell r="D427" t="str">
            <v xml:space="preserve"> Chorizo con papa/arepa</v>
          </cell>
          <cell r="G427">
            <v>2</v>
          </cell>
          <cell r="I427">
            <v>16000</v>
          </cell>
          <cell r="J427">
            <v>0</v>
          </cell>
          <cell r="K427">
            <v>16000</v>
          </cell>
          <cell r="L427">
            <v>4340</v>
          </cell>
        </row>
        <row r="428">
          <cell r="A428">
            <v>46100</v>
          </cell>
          <cell r="B428">
            <v>0.75858796296296294</v>
          </cell>
          <cell r="D428" t="str">
            <v>BEBIDA - Coca Cola</v>
          </cell>
          <cell r="G428">
            <v>2</v>
          </cell>
          <cell r="I428">
            <v>6000</v>
          </cell>
          <cell r="J428">
            <v>0</v>
          </cell>
          <cell r="K428">
            <v>6000</v>
          </cell>
          <cell r="L428">
            <v>1200</v>
          </cell>
        </row>
        <row r="429">
          <cell r="A429">
            <v>46100</v>
          </cell>
          <cell r="B429">
            <v>0.75858796296296294</v>
          </cell>
          <cell r="D429" t="str">
            <v>Ham. combo</v>
          </cell>
          <cell r="G429">
            <v>1</v>
          </cell>
          <cell r="I429">
            <v>22000</v>
          </cell>
          <cell r="J429">
            <v>0</v>
          </cell>
          <cell r="K429">
            <v>22000</v>
          </cell>
          <cell r="L429">
            <v>5000</v>
          </cell>
        </row>
        <row r="430">
          <cell r="A430">
            <v>46100</v>
          </cell>
          <cell r="B430">
            <v>0.76615740740740745</v>
          </cell>
          <cell r="D430" t="str">
            <v xml:space="preserve"> Chorizo con papa/arepa</v>
          </cell>
          <cell r="G430">
            <v>1</v>
          </cell>
          <cell r="I430">
            <v>0</v>
          </cell>
          <cell r="J430">
            <v>8000</v>
          </cell>
          <cell r="K430">
            <v>8000</v>
          </cell>
          <cell r="L430">
            <v>4340</v>
          </cell>
        </row>
        <row r="431">
          <cell r="A431">
            <v>46100</v>
          </cell>
          <cell r="B431">
            <v>0.7669097222222222</v>
          </cell>
          <cell r="D431" t="str">
            <v xml:space="preserve"> Chorizo con papa/arepa</v>
          </cell>
          <cell r="G431">
            <v>2</v>
          </cell>
          <cell r="I431">
            <v>16000</v>
          </cell>
          <cell r="J431">
            <v>0</v>
          </cell>
          <cell r="K431">
            <v>16000</v>
          </cell>
          <cell r="L431">
            <v>4340</v>
          </cell>
        </row>
        <row r="432">
          <cell r="A432">
            <v>46100</v>
          </cell>
          <cell r="B432">
            <v>0.77180555555555552</v>
          </cell>
          <cell r="D432" t="str">
            <v xml:space="preserve"> Chorizo con papa/arepa</v>
          </cell>
          <cell r="G432">
            <v>2</v>
          </cell>
          <cell r="I432">
            <v>0</v>
          </cell>
          <cell r="J432">
            <v>16000</v>
          </cell>
          <cell r="K432">
            <v>16000</v>
          </cell>
          <cell r="L432">
            <v>4340</v>
          </cell>
        </row>
        <row r="433">
          <cell r="A433">
            <v>46100</v>
          </cell>
          <cell r="B433">
            <v>0.77531249999999996</v>
          </cell>
          <cell r="D433" t="str">
            <v xml:space="preserve"> Chorizo con papa/arepa</v>
          </cell>
          <cell r="G433">
            <v>2</v>
          </cell>
          <cell r="I433">
            <v>0</v>
          </cell>
          <cell r="J433">
            <v>16000</v>
          </cell>
          <cell r="K433">
            <v>16000</v>
          </cell>
          <cell r="L433">
            <v>4340</v>
          </cell>
        </row>
        <row r="434">
          <cell r="A434">
            <v>46100</v>
          </cell>
          <cell r="B434">
            <v>0.78291666666666671</v>
          </cell>
          <cell r="D434" t="str">
            <v>BEBIDA - Coca Cola</v>
          </cell>
          <cell r="G434">
            <v>1</v>
          </cell>
          <cell r="I434">
            <v>3000</v>
          </cell>
          <cell r="J434">
            <v>0</v>
          </cell>
          <cell r="K434">
            <v>3000</v>
          </cell>
          <cell r="L434">
            <v>1200</v>
          </cell>
        </row>
        <row r="435">
          <cell r="A435">
            <v>46100</v>
          </cell>
          <cell r="B435">
            <v>0.78542824074074069</v>
          </cell>
          <cell r="D435" t="str">
            <v xml:space="preserve"> Chorizo con papa/arepa</v>
          </cell>
          <cell r="G435">
            <v>1</v>
          </cell>
          <cell r="I435">
            <v>8000</v>
          </cell>
          <cell r="J435">
            <v>0</v>
          </cell>
          <cell r="K435">
            <v>8000</v>
          </cell>
          <cell r="L435">
            <v>4340</v>
          </cell>
        </row>
        <row r="436">
          <cell r="A436">
            <v>46100</v>
          </cell>
          <cell r="B436">
            <v>0.78782407407407407</v>
          </cell>
          <cell r="D436" t="str">
            <v xml:space="preserve"> Chorizo con papa/arepa</v>
          </cell>
          <cell r="G436">
            <v>1</v>
          </cell>
          <cell r="I436">
            <v>8000</v>
          </cell>
          <cell r="J436">
            <v>0</v>
          </cell>
          <cell r="K436">
            <v>8000</v>
          </cell>
          <cell r="L436">
            <v>4340</v>
          </cell>
        </row>
        <row r="437">
          <cell r="A437">
            <v>46100</v>
          </cell>
          <cell r="B437">
            <v>0.79299768518518521</v>
          </cell>
          <cell r="D437" t="str">
            <v xml:space="preserve"> Chorizo con papa/arepa</v>
          </cell>
          <cell r="G437">
            <v>1</v>
          </cell>
          <cell r="I437">
            <v>0</v>
          </cell>
          <cell r="J437">
            <v>8000</v>
          </cell>
          <cell r="K437">
            <v>8000</v>
          </cell>
          <cell r="L437">
            <v>4340</v>
          </cell>
        </row>
        <row r="438">
          <cell r="A438">
            <v>46100</v>
          </cell>
          <cell r="B438">
            <v>0.79532407407407413</v>
          </cell>
          <cell r="D438" t="str">
            <v xml:space="preserve"> Chorizo con papa/arepa</v>
          </cell>
          <cell r="G438">
            <v>2</v>
          </cell>
          <cell r="I438">
            <v>16000</v>
          </cell>
          <cell r="J438">
            <v>0</v>
          </cell>
          <cell r="K438">
            <v>16000</v>
          </cell>
          <cell r="L438">
            <v>4340</v>
          </cell>
        </row>
        <row r="439">
          <cell r="A439">
            <v>46100</v>
          </cell>
          <cell r="B439">
            <v>0.79532407407407413</v>
          </cell>
          <cell r="D439" t="str">
            <v>BEBIDA - Coca Cola</v>
          </cell>
          <cell r="G439">
            <v>1</v>
          </cell>
          <cell r="I439">
            <v>3000</v>
          </cell>
          <cell r="J439">
            <v>0</v>
          </cell>
          <cell r="K439">
            <v>3000</v>
          </cell>
          <cell r="L439">
            <v>1200</v>
          </cell>
        </row>
        <row r="440">
          <cell r="A440">
            <v>46100</v>
          </cell>
          <cell r="B440">
            <v>0.81797453703703704</v>
          </cell>
          <cell r="D440" t="str">
            <v xml:space="preserve"> Chorizo con papa/arepa</v>
          </cell>
          <cell r="G440">
            <v>1</v>
          </cell>
          <cell r="I440">
            <v>0</v>
          </cell>
          <cell r="J440">
            <v>8000</v>
          </cell>
          <cell r="K440">
            <v>8000</v>
          </cell>
          <cell r="L440">
            <v>4340</v>
          </cell>
        </row>
        <row r="441">
          <cell r="A441">
            <v>46100</v>
          </cell>
          <cell r="B441">
            <v>0.81797453703703704</v>
          </cell>
          <cell r="D441" t="str">
            <v>BEBIDA - Coca Cola</v>
          </cell>
          <cell r="G441">
            <v>1</v>
          </cell>
          <cell r="I441">
            <v>0</v>
          </cell>
          <cell r="J441">
            <v>3000</v>
          </cell>
          <cell r="K441">
            <v>3000</v>
          </cell>
          <cell r="L441">
            <v>1200</v>
          </cell>
        </row>
        <row r="442">
          <cell r="A442">
            <v>46100</v>
          </cell>
          <cell r="B442">
            <v>0.82131944444444449</v>
          </cell>
          <cell r="D442" t="str">
            <v xml:space="preserve"> Chorizo con papa/arepa</v>
          </cell>
          <cell r="G442">
            <v>5</v>
          </cell>
          <cell r="I442">
            <v>0</v>
          </cell>
          <cell r="J442">
            <v>40000</v>
          </cell>
          <cell r="K442">
            <v>40000</v>
          </cell>
          <cell r="L442">
            <v>4340</v>
          </cell>
        </row>
        <row r="443">
          <cell r="A443">
            <v>46101</v>
          </cell>
          <cell r="B443">
            <v>0.64905092592592595</v>
          </cell>
          <cell r="D443" t="str">
            <v xml:space="preserve"> Chorizo con papa/arepa</v>
          </cell>
          <cell r="G443">
            <v>3</v>
          </cell>
          <cell r="I443">
            <v>24000</v>
          </cell>
          <cell r="J443">
            <v>0</v>
          </cell>
          <cell r="K443">
            <v>24000</v>
          </cell>
          <cell r="L443">
            <v>4340</v>
          </cell>
        </row>
        <row r="444">
          <cell r="A444">
            <v>46101</v>
          </cell>
          <cell r="B444">
            <v>0.64905092592592595</v>
          </cell>
          <cell r="D444" t="str">
            <v>BEBIDA - Coca Cola</v>
          </cell>
          <cell r="G444">
            <v>3</v>
          </cell>
          <cell r="I444">
            <v>9000</v>
          </cell>
          <cell r="J444">
            <v>0</v>
          </cell>
          <cell r="K444">
            <v>9000</v>
          </cell>
          <cell r="L444">
            <v>1200</v>
          </cell>
        </row>
        <row r="445">
          <cell r="A445">
            <v>46101</v>
          </cell>
          <cell r="B445">
            <v>0.64994212962962961</v>
          </cell>
          <cell r="D445" t="str">
            <v xml:space="preserve"> Chorizo con papa/arepa</v>
          </cell>
          <cell r="G445">
            <v>3</v>
          </cell>
          <cell r="I445">
            <v>0</v>
          </cell>
          <cell r="J445">
            <v>24000</v>
          </cell>
          <cell r="K445">
            <v>24000</v>
          </cell>
          <cell r="L445">
            <v>4340</v>
          </cell>
        </row>
        <row r="446">
          <cell r="A446">
            <v>46101</v>
          </cell>
          <cell r="B446">
            <v>0.64994212962962961</v>
          </cell>
          <cell r="D446" t="str">
            <v>BEBIDA - Coca Cola</v>
          </cell>
          <cell r="G446">
            <v>3</v>
          </cell>
          <cell r="I446">
            <v>0</v>
          </cell>
          <cell r="J446">
            <v>9000</v>
          </cell>
          <cell r="K446">
            <v>9000</v>
          </cell>
          <cell r="L446">
            <v>1200</v>
          </cell>
        </row>
        <row r="447">
          <cell r="A447">
            <v>46101</v>
          </cell>
          <cell r="B447">
            <v>0.66108796296296302</v>
          </cell>
          <cell r="D447" t="str">
            <v>BEBIDA - Botella de Agua</v>
          </cell>
          <cell r="G447">
            <v>1</v>
          </cell>
          <cell r="I447">
            <v>3000</v>
          </cell>
          <cell r="J447">
            <v>0</v>
          </cell>
          <cell r="K447">
            <v>3000</v>
          </cell>
          <cell r="L447">
            <v>1416.67</v>
          </cell>
        </row>
        <row r="448">
          <cell r="A448">
            <v>46101</v>
          </cell>
          <cell r="B448">
            <v>0.71699074074074076</v>
          </cell>
          <cell r="D448" t="str">
            <v xml:space="preserve"> Chorizo con papa/arepa</v>
          </cell>
          <cell r="G448">
            <v>2</v>
          </cell>
          <cell r="I448">
            <v>16000</v>
          </cell>
          <cell r="J448">
            <v>0</v>
          </cell>
          <cell r="K448">
            <v>16000</v>
          </cell>
          <cell r="L448">
            <v>4340</v>
          </cell>
        </row>
        <row r="449">
          <cell r="A449">
            <v>46101</v>
          </cell>
          <cell r="B449">
            <v>0.74997685185185181</v>
          </cell>
          <cell r="D449" t="str">
            <v xml:space="preserve"> Chorizo solo</v>
          </cell>
          <cell r="G449">
            <v>2</v>
          </cell>
          <cell r="I449">
            <v>14000</v>
          </cell>
          <cell r="J449">
            <v>0</v>
          </cell>
          <cell r="K449">
            <v>14000</v>
          </cell>
          <cell r="L449">
            <v>3500</v>
          </cell>
        </row>
        <row r="450">
          <cell r="A450">
            <v>46101</v>
          </cell>
          <cell r="B450">
            <v>0.74997685185185181</v>
          </cell>
          <cell r="D450" t="str">
            <v>BEBIDA - Coca Cola</v>
          </cell>
          <cell r="G450">
            <v>2</v>
          </cell>
          <cell r="I450">
            <v>6000</v>
          </cell>
          <cell r="J450">
            <v>0</v>
          </cell>
          <cell r="K450">
            <v>6000</v>
          </cell>
          <cell r="L450">
            <v>1200</v>
          </cell>
        </row>
        <row r="451">
          <cell r="A451">
            <v>46101</v>
          </cell>
          <cell r="B451">
            <v>0.75557870370370372</v>
          </cell>
          <cell r="D451" t="str">
            <v xml:space="preserve"> Chorizo con papa/arepa</v>
          </cell>
          <cell r="G451">
            <v>2</v>
          </cell>
          <cell r="I451">
            <v>16000</v>
          </cell>
          <cell r="J451">
            <v>0</v>
          </cell>
          <cell r="K451">
            <v>16000</v>
          </cell>
          <cell r="L451">
            <v>4340</v>
          </cell>
        </row>
        <row r="452">
          <cell r="A452">
            <v>46101</v>
          </cell>
          <cell r="B452">
            <v>0.76745370370370369</v>
          </cell>
          <cell r="D452" t="str">
            <v xml:space="preserve"> Chorizo con papa/arepa</v>
          </cell>
          <cell r="G452">
            <v>1</v>
          </cell>
          <cell r="I452">
            <v>8000</v>
          </cell>
          <cell r="J452">
            <v>0</v>
          </cell>
          <cell r="K452">
            <v>8000</v>
          </cell>
          <cell r="L452">
            <v>4340</v>
          </cell>
        </row>
        <row r="453">
          <cell r="A453">
            <v>46101</v>
          </cell>
          <cell r="B453">
            <v>0.79473379629629626</v>
          </cell>
          <cell r="D453" t="str">
            <v xml:space="preserve"> Chorizo con papa/arepa</v>
          </cell>
          <cell r="G453">
            <v>2</v>
          </cell>
          <cell r="I453">
            <v>0</v>
          </cell>
          <cell r="J453">
            <v>16000</v>
          </cell>
          <cell r="K453">
            <v>16000</v>
          </cell>
          <cell r="L453">
            <v>4340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win Torres" refreshedDate="44040.519693402777" createdVersion="5" refreshedVersion="6" minRefreshableVersion="3" recordCount="19" xr:uid="{00000000-000A-0000-FFFF-FFFF00000000}">
  <cacheSource type="worksheet">
    <worksheetSource name="Pasivos"/>
  </cacheSource>
  <cacheFields count="18">
    <cacheField name="Nombre proveedor" numFmtId="0">
      <sharedItems containsBlank="1" count="22">
        <s v=" Diego"/>
        <s v=" Martin"/>
        <s v=" Sarmiento"/>
        <s v=" Leornardo"/>
        <s v=" Orlando"/>
        <s v=" Hector"/>
        <s v=" Vecino"/>
        <s v="Nd"/>
        <s v="Arredatario"/>
        <s v="Vitrina, ollas"/>
        <s v=" Saul"/>
        <s v="Gota x Gota"/>
        <s v="Nomina"/>
        <s v="enel - 6451508-5"/>
        <s v="Sandra"/>
        <s v="Ladron de Gas"/>
        <s v="Licuadora"/>
        <m u="1"/>
        <s v="vecino" u="1"/>
        <s v="Stefania" u="1"/>
        <s v="ESP de Tocancipá" u="1"/>
        <s v="Vantì-Cta: 3721477" u="1"/>
      </sharedItems>
    </cacheField>
    <cacheField name="Proveedor" numFmtId="171">
      <sharedItems containsBlank="1" count="21">
        <s v="Carne de cerdo"/>
        <s v="Carne de res"/>
        <s v="Mercado"/>
        <s v="Menudo y prestamo"/>
        <s v="Carne de Pollo"/>
        <s v="PUBLICIDAD"/>
        <s v="Pintura, local"/>
        <s v="ARRIENDO"/>
        <s v="Vitrina, ollas"/>
        <s v="FINANCIERO"/>
        <s v="NOMINA"/>
        <s v="CODENSA"/>
        <s v="Arriendo Apto."/>
        <s v="Contingencia: Gas"/>
        <s v="Contingencia: Licuadora"/>
        <m u="1"/>
        <s v="Servicios, AGUA" u="1"/>
        <s v="Coca Cola" u="1"/>
        <s v="Servicios, LUZ" u="1"/>
        <s v="Pollo" u="1"/>
        <s v="Servicios, GAS" u="1"/>
      </sharedItems>
    </cacheField>
    <cacheField name="Tipo de obligación" numFmtId="171">
      <sharedItems count="5">
        <s v="Pasivo de corto plazo"/>
        <s v="Pasivo de largo plazo"/>
        <s v="Gerardo" u="1"/>
        <s v="Antigua deuda" u="1"/>
        <s v="Nueva obligación" u="1"/>
      </sharedItems>
    </cacheField>
    <cacheField name="Marzo" numFmtId="0">
      <sharedItems containsSemiMixedTypes="0" containsString="0" containsNumber="1" containsInteger="1" minValue="0" maxValue="3000000"/>
    </cacheField>
    <cacheField name="Valor pagado_x000a_Marzo" numFmtId="171">
      <sharedItems containsString="0" containsBlank="1" containsNumber="1" containsInteger="1" minValue="-631210" maxValue="150000"/>
    </cacheField>
    <cacheField name="Abril" numFmtId="171">
      <sharedItems containsSemiMixedTypes="0" containsString="0" containsNumber="1" containsInteger="1" minValue="0" maxValue="3000000"/>
    </cacheField>
    <cacheField name="Valor pagado_x000a_Abril" numFmtId="171">
      <sharedItems containsString="0" containsBlank="1" containsNumber="1" containsInteger="1" minValue="-463290" maxValue="150000"/>
    </cacheField>
    <cacheField name="Mayo" numFmtId="171">
      <sharedItems containsSemiMixedTypes="0" containsString="0" containsNumber="1" containsInteger="1" minValue="0" maxValue="3000000"/>
    </cacheField>
    <cacheField name="Valor pagado_x000a_Mayo" numFmtId="171">
      <sharedItems containsString="0" containsBlank="1" containsNumber="1" containsInteger="1" minValue="0" maxValue="150000"/>
    </cacheField>
    <cacheField name="Junio" numFmtId="171">
      <sharedItems containsSemiMixedTypes="0" containsString="0" containsNumber="1" containsInteger="1" minValue="0" maxValue="3000000"/>
    </cacheField>
    <cacheField name="Valor pagado_x000a_Junio" numFmtId="171">
      <sharedItems containsSemiMixedTypes="0" containsString="0" containsNumber="1" containsInteger="1" minValue="0" maxValue="400000"/>
    </cacheField>
    <cacheField name="Julio" numFmtId="171">
      <sharedItems containsSemiMixedTypes="0" containsString="0" containsNumber="1" containsInteger="1" minValue="0" maxValue="3000000"/>
    </cacheField>
    <cacheField name="Pagos Julio x programar" numFmtId="171">
      <sharedItems containsSemiMixedTypes="0" containsString="0" containsNumber="1" containsInteger="1" minValue="0" maxValue="750000"/>
    </cacheField>
    <cacheField name="Valor pagado_x000a_Julio" numFmtId="171">
      <sharedItems containsString="0" containsBlank="1" containsNumber="1" containsInteger="1" minValue="0" maxValue="150000"/>
    </cacheField>
    <cacheField name="Valor por Pagar" numFmtId="171">
      <sharedItems containsSemiMixedTypes="0" containsString="0" containsNumber="1" containsInteger="1" minValue="0" maxValue="750000"/>
    </cacheField>
    <cacheField name="Estado Tesoreria" numFmtId="0">
      <sharedItems/>
    </cacheField>
    <cacheField name="Origen" numFmtId="171">
      <sharedItems/>
    </cacheField>
    <cacheField name="Saldo nuevo admón" numFmtId="171">
      <sharedItems containsSemiMixedTypes="0" containsString="0" containsNumber="1" minValue="0" maxValue="1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04.511161342591" createdVersion="5" refreshedVersion="8" minRefreshableVersion="3" recordCount="447" xr:uid="{00000000-000A-0000-FFFF-FFFF01000000}">
  <cacheSource type="worksheet">
    <worksheetSource name="sales"/>
  </cacheSource>
  <cacheFields count="11">
    <cacheField name="Fecha" numFmtId="14">
      <sharedItems containsSemiMixedTypes="0" containsNonDate="0" containsDate="1" containsString="0" minDate="2026-02-15T00:00:00" maxDate="2026-03-23T00:00:00" count="35">
        <d v="2026-02-23T00:00:00"/>
        <d v="2026-02-24T00:00:00"/>
        <d v="2026-02-25T00:00:00"/>
        <d v="2026-02-26T00:00:00"/>
        <d v="2026-02-27T00:00:00"/>
        <d v="2026-02-28T00:00:00"/>
        <d v="2026-03-02T00:00:00"/>
        <d v="2026-03-03T00:00:00"/>
        <d v="2026-03-04T00:00:00"/>
        <d v="2026-03-05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2T00:00:00"/>
        <d v="2026-02-15T00:00:00" u="1"/>
        <d v="2026-02-16T00:00:00" u="1"/>
        <d v="2026-02-17T00:00:00" u="1"/>
        <d v="2026-02-18T00:00:00" u="1"/>
        <d v="2026-02-19T00:00:00" u="1"/>
        <d v="2026-02-20T00:00:00" u="1"/>
        <d v="2026-02-21T00:00:00" u="1"/>
        <d v="2026-02-22T00:00:00" u="1"/>
        <d v="2026-03-01T00:00:00" u="1"/>
        <d v="2026-03-06T00:00:00" u="1"/>
      </sharedItems>
    </cacheField>
    <cacheField name="Hora" numFmtId="19">
      <sharedItems containsSemiMixedTypes="0" containsNonDate="0" containsDate="1" containsString="0" minDate="1899-12-30T00:00:02" maxDate="1899-12-30T23:12:12"/>
    </cacheField>
    <cacheField name="Tipo día" numFmtId="14">
      <sharedItems containsBlank="1" count="4">
        <s v="Normal"/>
        <s v="cerrado" u="1"/>
        <m u="1"/>
        <s v="Cuarentena" u="1"/>
      </sharedItems>
    </cacheField>
    <cacheField name="nombre_producto" numFmtId="14">
      <sharedItems/>
    </cacheField>
    <cacheField name="No. Semana de operación" numFmtId="0">
      <sharedItems containsSemiMixedTypes="0" containsString="0" containsNumber="1" containsInteger="1" minValue="0" maxValue="31" count="32">
        <n v="1"/>
        <n v="2"/>
        <n v="3"/>
        <n v="4"/>
        <n v="0" u="1"/>
        <n v="5" u="1"/>
        <n v="6" u="1"/>
        <n v="7" u="1"/>
        <n v="8" u="1"/>
        <n v="9" u="1"/>
        <n v="10" u="1"/>
        <n v="11" u="1"/>
        <n v="12" u="1"/>
        <n v="13" u="1"/>
        <n v="14" u="1"/>
        <n v="15" u="1"/>
        <n v="16" u="1"/>
        <n v="17" u="1"/>
        <n v="18" u="1"/>
        <n v="19" u="1"/>
        <n v="20" u="1"/>
        <n v="21" u="1"/>
        <n v="22" u="1"/>
        <n v="23" u="1"/>
        <n v="24" u="1"/>
        <n v="25" u="1"/>
        <n v="26" u="1"/>
        <n v="27" u="1"/>
        <n v="28" u="1"/>
        <n v="29" u="1"/>
        <n v="30" u="1"/>
        <n v="31" u="1"/>
      </sharedItems>
    </cacheField>
    <cacheField name="Tipo día2" numFmtId="14">
      <sharedItems/>
    </cacheField>
    <cacheField name="Día" numFmtId="14">
      <sharedItems containsBlank="1" count="15">
        <s v="lun"/>
        <s v="mar"/>
        <s v="mié"/>
        <s v="jue"/>
        <s v="vie"/>
        <s v="sáb"/>
        <s v="dom"/>
        <m u="1"/>
        <s v="lunes" u="1"/>
        <s v="miércoles" u="1"/>
        <s v="martes" u="1"/>
        <s v="domingo" u="1"/>
        <s v="viernes" u="1"/>
        <s v="jueves" u="1"/>
        <s v="sábado" u="1"/>
      </sharedItems>
    </cacheField>
    <cacheField name="MG" numFmtId="166">
      <sharedItems containsSemiMixedTypes="0" containsString="0" containsNumber="1" containsInteger="1" minValue="800" maxValue="56000"/>
    </cacheField>
    <cacheField name="Venta" numFmtId="166">
      <sharedItems containsSemiMixedTypes="0" containsString="0" containsNumber="1" containsInteger="1" minValue="2000" maxValue="140000"/>
    </cacheField>
    <cacheField name="Caja" numFmtId="166">
      <sharedItems containsSemiMixedTypes="0" containsString="0" containsNumber="1" containsInteger="1" minValue="0" maxValue="140000"/>
    </cacheField>
    <cacheField name="Bancos" numFmtId="166">
      <sharedItems containsSemiMixedTypes="0" containsString="0" containsNumber="1" containsInteger="1" minValue="0" maxValue="70000"/>
    </cacheField>
  </cacheFields>
  <extLst>
    <ext xmlns:x14="http://schemas.microsoft.com/office/spreadsheetml/2009/9/main" uri="{725AE2AE-9491-48be-B2B4-4EB974FC3084}">
      <x14:pivotCacheDefinition pivotCacheId="18254903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x v="0"/>
    <x v="0"/>
    <n v="1088000"/>
    <n v="0"/>
    <n v="1088000"/>
    <n v="0"/>
    <n v="1088000"/>
    <n v="0"/>
    <n v="1088000"/>
    <n v="0"/>
    <n v="1088000"/>
    <n v="0"/>
    <n v="0"/>
    <n v="0"/>
    <s v="Congelado"/>
    <s v="Papá"/>
    <n v="1088000"/>
  </r>
  <r>
    <x v="1"/>
    <x v="0"/>
    <x v="1"/>
    <n v="300000"/>
    <n v="0"/>
    <n v="300000"/>
    <n v="60000"/>
    <n v="240000"/>
    <n v="0"/>
    <n v="240000"/>
    <n v="0"/>
    <n v="240000"/>
    <n v="0"/>
    <n v="0"/>
    <n v="0"/>
    <s v="Congelado"/>
    <s v="Vigente"/>
    <n v="240000"/>
  </r>
  <r>
    <x v="2"/>
    <x v="0"/>
    <x v="1"/>
    <n v="350000"/>
    <n v="0"/>
    <n v="350000"/>
    <n v="0"/>
    <n v="350000"/>
    <n v="0"/>
    <n v="350000"/>
    <n v="0"/>
    <n v="350000"/>
    <n v="0"/>
    <n v="0"/>
    <n v="0"/>
    <s v="Congelado"/>
    <s v="Papá"/>
    <n v="350000"/>
  </r>
  <r>
    <x v="3"/>
    <x v="1"/>
    <x v="1"/>
    <n v="1350000"/>
    <n v="0"/>
    <n v="1350000"/>
    <n v="0"/>
    <n v="1350000"/>
    <n v="0"/>
    <n v="1350000"/>
    <n v="0"/>
    <n v="1350000"/>
    <n v="0"/>
    <n v="0"/>
    <n v="0"/>
    <s v="Congelado"/>
    <s v="Vigente"/>
    <n v="675000"/>
  </r>
  <r>
    <x v="4"/>
    <x v="2"/>
    <x v="1"/>
    <n v="1599599"/>
    <n v="0"/>
    <n v="1599599"/>
    <n v="0"/>
    <n v="1599599"/>
    <n v="0"/>
    <n v="1599599"/>
    <n v="0"/>
    <n v="1599599"/>
    <n v="0"/>
    <n v="0"/>
    <n v="0"/>
    <s v="Congelado"/>
    <s v="Vigente"/>
    <n v="799799.5"/>
  </r>
  <r>
    <x v="5"/>
    <x v="3"/>
    <x v="1"/>
    <n v="800000"/>
    <n v="0"/>
    <n v="0"/>
    <n v="0"/>
    <n v="0"/>
    <n v="0"/>
    <n v="0"/>
    <n v="0"/>
    <n v="0"/>
    <n v="0"/>
    <n v="0"/>
    <n v="0"/>
    <s v="Pagado"/>
    <s v="Pagado"/>
    <n v="0"/>
  </r>
  <r>
    <x v="6"/>
    <x v="1"/>
    <x v="0"/>
    <n v="480000"/>
    <n v="100000"/>
    <n v="380000"/>
    <n v="0"/>
    <n v="380000"/>
    <n v="0"/>
    <n v="380000"/>
    <n v="0"/>
    <n v="380000"/>
    <n v="0"/>
    <n v="0"/>
    <n v="0"/>
    <s v="Congelado"/>
    <s v="Vigente"/>
    <n v="380000"/>
  </r>
  <r>
    <x v="7"/>
    <x v="4"/>
    <x v="0"/>
    <n v="750000"/>
    <n v="0"/>
    <n v="750000"/>
    <n v="0"/>
    <n v="750000"/>
    <n v="0"/>
    <n v="750000"/>
    <n v="0"/>
    <n v="750000"/>
    <n v="300000"/>
    <m/>
    <n v="750000"/>
    <s v="Pagar Urgente"/>
    <s v="Vigente"/>
    <n v="750000"/>
  </r>
  <r>
    <x v="7"/>
    <x v="5"/>
    <x v="0"/>
    <n v="400000"/>
    <n v="0"/>
    <n v="400000"/>
    <n v="0"/>
    <n v="400000"/>
    <n v="0"/>
    <n v="400000"/>
    <n v="0"/>
    <n v="400000"/>
    <n v="0"/>
    <n v="0"/>
    <n v="0"/>
    <s v="Congelado"/>
    <s v="Papá"/>
    <n v="400000"/>
  </r>
  <r>
    <x v="7"/>
    <x v="6"/>
    <x v="0"/>
    <n v="370000"/>
    <n v="0"/>
    <n v="370000"/>
    <n v="0"/>
    <n v="370000"/>
    <n v="0"/>
    <n v="370000"/>
    <n v="0"/>
    <n v="370000"/>
    <n v="0"/>
    <n v="0"/>
    <n v="0"/>
    <s v="Congelado"/>
    <s v="Papá"/>
    <n v="370000"/>
  </r>
  <r>
    <x v="8"/>
    <x v="7"/>
    <x v="0"/>
    <n v="0"/>
    <n v="0"/>
    <n v="0"/>
    <n v="0"/>
    <n v="240000"/>
    <n v="0"/>
    <n v="0"/>
    <n v="0"/>
    <n v="750000"/>
    <n v="750000"/>
    <n v="0"/>
    <n v="750000"/>
    <s v="Pagar Urgente"/>
    <s v="Vigente"/>
    <n v="750000"/>
  </r>
  <r>
    <x v="9"/>
    <x v="8"/>
    <x v="0"/>
    <n v="180000"/>
    <n v="0"/>
    <n v="180000"/>
    <n v="0"/>
    <n v="180000"/>
    <n v="0"/>
    <n v="120000"/>
    <n v="120000"/>
    <n v="0"/>
    <n v="0"/>
    <n v="0"/>
    <n v="0"/>
    <s v="Pagado"/>
    <s v="Papá"/>
    <n v="0"/>
  </r>
  <r>
    <x v="10"/>
    <x v="9"/>
    <x v="1"/>
    <n v="3000000"/>
    <n v="0"/>
    <n v="3000000"/>
    <n v="150000"/>
    <n v="3000000"/>
    <n v="150000"/>
    <n v="3000000"/>
    <n v="150000"/>
    <n v="3000000"/>
    <n v="150000"/>
    <n v="150000"/>
    <n v="0"/>
    <s v="Financiero"/>
    <s v="Vigente"/>
    <n v="1500000"/>
  </r>
  <r>
    <x v="11"/>
    <x v="9"/>
    <x v="0"/>
    <n v="500000"/>
    <n v="150000"/>
    <n v="350000"/>
    <n v="0"/>
    <n v="260000"/>
    <n v="0"/>
    <n v="150000"/>
    <n v="150000"/>
    <n v="0"/>
    <n v="0"/>
    <n v="0"/>
    <n v="0"/>
    <s v="Pagado"/>
    <s v="Papá"/>
    <n v="0"/>
  </r>
  <r>
    <x v="12"/>
    <x v="10"/>
    <x v="0"/>
    <n v="300000"/>
    <n v="150000"/>
    <n v="150000"/>
    <n v="150000"/>
    <n v="0"/>
    <n v="0"/>
    <n v="100000"/>
    <n v="100000"/>
    <n v="0"/>
    <n v="0"/>
    <n v="0"/>
    <n v="0"/>
    <s v="Pagado"/>
    <s v="Vigente"/>
    <n v="0"/>
  </r>
  <r>
    <x v="13"/>
    <x v="11"/>
    <x v="0"/>
    <n v="429710"/>
    <n v="-631210"/>
    <n v="1060920"/>
    <n v="-463290"/>
    <n v="1524210"/>
    <n v="37000"/>
    <n v="1524210"/>
    <n v="30000"/>
    <n v="734830"/>
    <n v="150000"/>
    <m/>
    <n v="150000"/>
    <s v="Pagar Urgente"/>
    <s v="Vigente"/>
    <n v="734830"/>
  </r>
  <r>
    <x v="14"/>
    <x v="12"/>
    <x v="0"/>
    <n v="0"/>
    <n v="0"/>
    <n v="0"/>
    <n v="0"/>
    <n v="0"/>
    <n v="0"/>
    <n v="400000"/>
    <n v="400000"/>
    <n v="450000"/>
    <n v="450000"/>
    <n v="0"/>
    <n v="450000"/>
    <s v="Pagar Urgente"/>
    <s v="Vigente"/>
    <n v="450000"/>
  </r>
  <r>
    <x v="15"/>
    <x v="13"/>
    <x v="0"/>
    <n v="0"/>
    <m/>
    <n v="0"/>
    <m/>
    <n v="0"/>
    <m/>
    <n v="100000"/>
    <n v="100000"/>
    <n v="0"/>
    <n v="0"/>
    <n v="0"/>
    <n v="0"/>
    <s v="Pagado"/>
    <s v="Pagado"/>
    <n v="0"/>
  </r>
  <r>
    <x v="16"/>
    <x v="14"/>
    <x v="0"/>
    <n v="0"/>
    <m/>
    <n v="0"/>
    <m/>
    <n v="0"/>
    <m/>
    <n v="0"/>
    <n v="20000"/>
    <n v="0"/>
    <n v="0"/>
    <n v="0"/>
    <n v="0"/>
    <s v="Pagado"/>
    <s v="Pagado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7">
  <r>
    <x v="0"/>
    <d v="1899-12-30T16:36:36"/>
    <x v="0"/>
    <s v=" Chorizo con papa/arepa"/>
    <x v="0"/>
    <s v="A) Día hábil"/>
    <x v="0"/>
    <n v="6400"/>
    <n v="16000"/>
    <n v="16000"/>
    <n v="0"/>
  </r>
  <r>
    <x v="0"/>
    <d v="1899-12-30T17:01:56"/>
    <x v="0"/>
    <s v=" Chorizo con papa/arepa"/>
    <x v="0"/>
    <s v="A) Día hábil"/>
    <x v="0"/>
    <n v="3200"/>
    <n v="8000"/>
    <n v="0"/>
    <n v="8000"/>
  </r>
  <r>
    <x v="0"/>
    <d v="1899-12-30T17:13:01"/>
    <x v="0"/>
    <s v=" Chorizo con papa/arepa"/>
    <x v="0"/>
    <s v="A) Día hábil"/>
    <x v="0"/>
    <n v="6400"/>
    <n v="16000"/>
    <n v="16000"/>
    <n v="0"/>
  </r>
  <r>
    <x v="0"/>
    <d v="1899-12-30T17:13:01"/>
    <x v="0"/>
    <s v="BEBIDA - Coca Cola"/>
    <x v="0"/>
    <s v="A) Día hábil"/>
    <x v="0"/>
    <n v="2400"/>
    <n v="6000"/>
    <n v="6000"/>
    <n v="0"/>
  </r>
  <r>
    <x v="0"/>
    <d v="1899-12-30T17:17:29"/>
    <x v="0"/>
    <s v=" Chorizo con papa/arepa"/>
    <x v="0"/>
    <s v="A) Día hábil"/>
    <x v="0"/>
    <n v="9600"/>
    <n v="24000"/>
    <n v="0"/>
    <n v="24000"/>
  </r>
  <r>
    <x v="0"/>
    <d v="1899-12-30T18:00:25"/>
    <x v="0"/>
    <s v=" Chorizo con papa/arepa"/>
    <x v="0"/>
    <s v="A) Día hábil"/>
    <x v="0"/>
    <n v="6400"/>
    <n v="16000"/>
    <n v="16000"/>
    <n v="0"/>
  </r>
  <r>
    <x v="0"/>
    <d v="1899-12-30T18:00:25"/>
    <x v="0"/>
    <s v="BEBIDA - Botella de Agua"/>
    <x v="0"/>
    <s v="A) Día hábil"/>
    <x v="0"/>
    <n v="2800"/>
    <n v="7000"/>
    <n v="7000"/>
    <n v="0"/>
  </r>
  <r>
    <x v="0"/>
    <d v="1899-12-30T18:02:50"/>
    <x v="0"/>
    <s v=" Chorizo con papa/arepa"/>
    <x v="0"/>
    <s v="A) Día hábil"/>
    <x v="0"/>
    <n v="6400"/>
    <n v="16000"/>
    <n v="16000"/>
    <n v="0"/>
  </r>
  <r>
    <x v="0"/>
    <d v="1899-12-30T18:02:50"/>
    <x v="0"/>
    <s v="BEBIDA - Postobón"/>
    <x v="0"/>
    <s v="A) Día hábil"/>
    <x v="0"/>
    <n v="1200"/>
    <n v="3000"/>
    <n v="3000"/>
    <n v="0"/>
  </r>
  <r>
    <x v="0"/>
    <d v="1899-12-30T18:53:36"/>
    <x v="0"/>
    <s v=" Chorizo con papa/arepa"/>
    <x v="0"/>
    <s v="A) Día hábil"/>
    <x v="0"/>
    <n v="3200"/>
    <n v="8000"/>
    <n v="8000"/>
    <n v="0"/>
  </r>
  <r>
    <x v="0"/>
    <d v="1899-12-30T19:05:29"/>
    <x v="0"/>
    <s v=" Chorizo con papa/arepa"/>
    <x v="0"/>
    <s v="A) Día hábil"/>
    <x v="0"/>
    <n v="6400"/>
    <n v="16000"/>
    <n v="16000"/>
    <n v="0"/>
  </r>
  <r>
    <x v="0"/>
    <d v="1899-12-30T19:05:29"/>
    <x v="0"/>
    <s v="BEBIDA - Coca Cola"/>
    <x v="0"/>
    <s v="A) Día hábil"/>
    <x v="0"/>
    <n v="2400"/>
    <n v="6000"/>
    <n v="6000"/>
    <n v="0"/>
  </r>
  <r>
    <x v="0"/>
    <d v="1899-12-30T19:38:20"/>
    <x v="0"/>
    <s v=" Chorizo con papa/arepa"/>
    <x v="0"/>
    <s v="A) Día hábil"/>
    <x v="0"/>
    <n v="9600"/>
    <n v="24000"/>
    <n v="24000"/>
    <n v="0"/>
  </r>
  <r>
    <x v="0"/>
    <d v="1899-12-30T20:11:58"/>
    <x v="0"/>
    <s v=" Chorizo con papa/arepa"/>
    <x v="0"/>
    <s v="A) Día hábil"/>
    <x v="0"/>
    <n v="3200"/>
    <n v="8000"/>
    <n v="8000"/>
    <n v="0"/>
  </r>
  <r>
    <x v="0"/>
    <d v="1899-12-30T20:15:09"/>
    <x v="0"/>
    <s v=" Chorizo con papa/arepa"/>
    <x v="0"/>
    <s v="A) Día hábil"/>
    <x v="0"/>
    <n v="3200"/>
    <n v="8000"/>
    <n v="8000"/>
    <n v="0"/>
  </r>
  <r>
    <x v="0"/>
    <d v="1899-12-30T20:17:45"/>
    <x v="0"/>
    <s v=" Chorizo con papa/arepa"/>
    <x v="0"/>
    <s v="A) Día hábil"/>
    <x v="0"/>
    <n v="3200"/>
    <n v="8000"/>
    <n v="8000"/>
    <n v="0"/>
  </r>
  <r>
    <x v="0"/>
    <d v="1899-12-30T20:17:45"/>
    <x v="0"/>
    <s v="BEBIDA - Postobón"/>
    <x v="0"/>
    <s v="A) Día hábil"/>
    <x v="0"/>
    <n v="1200"/>
    <n v="3000"/>
    <n v="3000"/>
    <n v="0"/>
  </r>
  <r>
    <x v="0"/>
    <d v="1899-12-30T20:24:21"/>
    <x v="0"/>
    <s v=" Chorizo con papa/arepa"/>
    <x v="0"/>
    <s v="A) Día hábil"/>
    <x v="0"/>
    <n v="9600"/>
    <n v="24000"/>
    <n v="24000"/>
    <n v="0"/>
  </r>
  <r>
    <x v="0"/>
    <d v="1899-12-30T20:27:49"/>
    <x v="0"/>
    <s v=" Chorizo con papa/arepa"/>
    <x v="0"/>
    <s v="A) Día hábil"/>
    <x v="0"/>
    <n v="3200"/>
    <n v="8000"/>
    <n v="8000"/>
    <n v="0"/>
  </r>
  <r>
    <x v="1"/>
    <d v="1899-12-30T15:34:06"/>
    <x v="0"/>
    <s v=" Chorizo con papa/arepa"/>
    <x v="0"/>
    <s v="A) Día hábil"/>
    <x v="1"/>
    <n v="16000"/>
    <n v="40000"/>
    <n v="40000"/>
    <n v="0"/>
  </r>
  <r>
    <x v="1"/>
    <d v="1899-12-30T15:35:04"/>
    <x v="0"/>
    <s v=" Chorizo con papa/arepa"/>
    <x v="0"/>
    <s v="A) Día hábil"/>
    <x v="1"/>
    <n v="9600"/>
    <n v="24000"/>
    <n v="24000"/>
    <n v="0"/>
  </r>
  <r>
    <x v="1"/>
    <d v="1899-12-30T17:45:39"/>
    <x v="0"/>
    <s v=" Chorizo con papa/arepa"/>
    <x v="0"/>
    <s v="A) Día hábil"/>
    <x v="1"/>
    <n v="3200"/>
    <n v="8000"/>
    <n v="8000"/>
    <n v="0"/>
  </r>
  <r>
    <x v="1"/>
    <d v="1899-12-30T18:13:50"/>
    <x v="0"/>
    <s v=" Chorizo con papa/arepa"/>
    <x v="0"/>
    <s v="A) Día hábil"/>
    <x v="1"/>
    <n v="3200"/>
    <n v="8000"/>
    <n v="8000"/>
    <n v="0"/>
  </r>
  <r>
    <x v="1"/>
    <d v="1899-12-30T18:34:49"/>
    <x v="0"/>
    <s v=" Chorizo con papa/arepa"/>
    <x v="0"/>
    <s v="A) Día hábil"/>
    <x v="1"/>
    <n v="6400"/>
    <n v="16000"/>
    <n v="16000"/>
    <n v="0"/>
  </r>
  <r>
    <x v="1"/>
    <d v="1899-12-30T18:36:16"/>
    <x v="0"/>
    <s v=" Chorizo con papa/arepa"/>
    <x v="0"/>
    <s v="A) Día hábil"/>
    <x v="1"/>
    <n v="3200"/>
    <n v="8000"/>
    <n v="8000"/>
    <n v="0"/>
  </r>
  <r>
    <x v="1"/>
    <d v="1899-12-30T18:42:31"/>
    <x v="0"/>
    <s v=" Chorizo con papa/arepa"/>
    <x v="0"/>
    <s v="A) Día hábil"/>
    <x v="1"/>
    <n v="3200"/>
    <n v="8000"/>
    <n v="8000"/>
    <n v="0"/>
  </r>
  <r>
    <x v="1"/>
    <d v="1899-12-30T18:42:31"/>
    <x v="0"/>
    <s v="z. MP -  Chorizo CRUDO"/>
    <x v="0"/>
    <s v="A) Día hábil"/>
    <x v="1"/>
    <n v="3600"/>
    <n v="9000"/>
    <n v="9000"/>
    <n v="0"/>
  </r>
  <r>
    <x v="1"/>
    <d v="1899-12-30T19:07:54"/>
    <x v="0"/>
    <s v=" Chorizo con papa/arepa"/>
    <x v="0"/>
    <s v="A) Día hábil"/>
    <x v="1"/>
    <n v="3200"/>
    <n v="8000"/>
    <n v="8000"/>
    <n v="0"/>
  </r>
  <r>
    <x v="1"/>
    <d v="1899-12-30T20:01:31"/>
    <x v="0"/>
    <s v=" Chorizo con papa/arepa"/>
    <x v="0"/>
    <s v="A) Día hábil"/>
    <x v="1"/>
    <n v="3200"/>
    <n v="8000"/>
    <n v="0"/>
    <n v="8000"/>
  </r>
  <r>
    <x v="1"/>
    <d v="1899-12-30T20:05:06"/>
    <x v="0"/>
    <s v=" Chorizo con papa/arepa"/>
    <x v="0"/>
    <s v="A) Día hábil"/>
    <x v="1"/>
    <n v="3200"/>
    <n v="8000"/>
    <n v="8000"/>
    <n v="0"/>
  </r>
  <r>
    <x v="1"/>
    <d v="1899-12-30T20:19:42"/>
    <x v="0"/>
    <s v=" Chorizo con papa/arepa"/>
    <x v="0"/>
    <s v="A) Día hábil"/>
    <x v="1"/>
    <n v="9600"/>
    <n v="24000"/>
    <n v="24000"/>
    <n v="0"/>
  </r>
  <r>
    <x v="1"/>
    <d v="1899-12-30T20:19:42"/>
    <x v="0"/>
    <s v="BEBIDA - Botella de Agua"/>
    <x v="0"/>
    <s v="A) Día hábil"/>
    <x v="1"/>
    <n v="1400"/>
    <n v="3500"/>
    <n v="3500"/>
    <n v="0"/>
  </r>
  <r>
    <x v="1"/>
    <d v="1899-12-30T20:19:42"/>
    <x v="0"/>
    <s v="BEBIDA - Postobón"/>
    <x v="0"/>
    <s v="A) Día hábil"/>
    <x v="1"/>
    <n v="1200"/>
    <n v="3000"/>
    <n v="3000"/>
    <n v="0"/>
  </r>
  <r>
    <x v="1"/>
    <d v="1899-12-30T20:23:49"/>
    <x v="0"/>
    <s v=" Chorizo con papa/arepa"/>
    <x v="0"/>
    <s v="A) Día hábil"/>
    <x v="1"/>
    <n v="12800"/>
    <n v="32000"/>
    <n v="32000"/>
    <n v="0"/>
  </r>
  <r>
    <x v="1"/>
    <d v="1899-12-30T20:23:49"/>
    <x v="0"/>
    <s v="BEBIDA - Coca Cola"/>
    <x v="0"/>
    <s v="A) Día hábil"/>
    <x v="1"/>
    <n v="2400"/>
    <n v="6000"/>
    <n v="6000"/>
    <n v="0"/>
  </r>
  <r>
    <x v="1"/>
    <d v="1899-12-30T20:49:21"/>
    <x v="0"/>
    <s v=" Chorizo con papa/arepa"/>
    <x v="0"/>
    <s v="A) Día hábil"/>
    <x v="1"/>
    <n v="3200"/>
    <n v="8000"/>
    <n v="8000"/>
    <n v="0"/>
  </r>
  <r>
    <x v="2"/>
    <d v="1899-12-30T13:52:23"/>
    <x v="0"/>
    <s v=" Chorizo con papa/arepa"/>
    <x v="0"/>
    <s v="A) Día hábil"/>
    <x v="2"/>
    <n v="3200"/>
    <n v="8000"/>
    <n v="8000"/>
    <n v="0"/>
  </r>
  <r>
    <x v="2"/>
    <d v="1899-12-30T13:55:04"/>
    <x v="0"/>
    <s v=" Chorizo con papa/arepa"/>
    <x v="0"/>
    <s v="A) Día hábil"/>
    <x v="2"/>
    <n v="3200"/>
    <n v="8000"/>
    <n v="8000"/>
    <n v="0"/>
  </r>
  <r>
    <x v="2"/>
    <d v="1899-12-30T14:05:11"/>
    <x v="0"/>
    <s v=" Chorizo con papa/arepa"/>
    <x v="0"/>
    <s v="A) Día hábil"/>
    <x v="2"/>
    <n v="3200"/>
    <n v="8000"/>
    <n v="8000"/>
    <n v="0"/>
  </r>
  <r>
    <x v="2"/>
    <d v="1899-12-30T14:11:36"/>
    <x v="0"/>
    <s v="Parrillada de 35"/>
    <x v="0"/>
    <s v="A) Día hábil"/>
    <x v="2"/>
    <n v="14000"/>
    <n v="35000"/>
    <n v="35000"/>
    <n v="0"/>
  </r>
  <r>
    <x v="2"/>
    <d v="1899-12-30T14:24:55"/>
    <x v="0"/>
    <s v="Parrillada de 35"/>
    <x v="0"/>
    <s v="A) Día hábil"/>
    <x v="2"/>
    <n v="14000"/>
    <n v="35000"/>
    <n v="35000"/>
    <n v="0"/>
  </r>
  <r>
    <x v="2"/>
    <d v="1899-12-30T14:25:49"/>
    <x v="0"/>
    <s v=" Chorizo con papa/arepa"/>
    <x v="0"/>
    <s v="A) Día hábil"/>
    <x v="2"/>
    <n v="6400"/>
    <n v="16000"/>
    <n v="16000"/>
    <n v="0"/>
  </r>
  <r>
    <x v="2"/>
    <d v="1899-12-30T16:40:06"/>
    <x v="0"/>
    <s v=" Chorizo con papa/arepa"/>
    <x v="0"/>
    <s v="A) Día hábil"/>
    <x v="2"/>
    <n v="3200"/>
    <n v="8000"/>
    <n v="8000"/>
    <n v="0"/>
  </r>
  <r>
    <x v="2"/>
    <d v="1899-12-30T16:41:14"/>
    <x v="0"/>
    <s v=" Chorizo con papa/arepa"/>
    <x v="0"/>
    <s v="A) Día hábil"/>
    <x v="2"/>
    <n v="3200"/>
    <n v="8000"/>
    <n v="0"/>
    <n v="8000"/>
  </r>
  <r>
    <x v="2"/>
    <d v="1899-12-30T18:17:29"/>
    <x v="0"/>
    <s v=" Chorizo con papa/arepa"/>
    <x v="0"/>
    <s v="A) Día hábil"/>
    <x v="2"/>
    <n v="3200"/>
    <n v="8000"/>
    <n v="8000"/>
    <n v="0"/>
  </r>
  <r>
    <x v="2"/>
    <d v="1899-12-30T18:20:12"/>
    <x v="0"/>
    <s v=" Chorizo con papa/arepa"/>
    <x v="0"/>
    <s v="A) Día hábil"/>
    <x v="2"/>
    <n v="3200"/>
    <n v="8000"/>
    <n v="8000"/>
    <n v="0"/>
  </r>
  <r>
    <x v="2"/>
    <d v="1899-12-30T18:26:28"/>
    <x v="0"/>
    <s v=" Chorizo con papa/arepa"/>
    <x v="0"/>
    <s v="A) Día hábil"/>
    <x v="2"/>
    <n v="3200"/>
    <n v="8000"/>
    <n v="8000"/>
    <n v="0"/>
  </r>
  <r>
    <x v="2"/>
    <d v="1899-12-30T18:34:12"/>
    <x v="0"/>
    <s v=" Chorizo con papa/arepa"/>
    <x v="0"/>
    <s v="A) Día hábil"/>
    <x v="2"/>
    <n v="16000"/>
    <n v="40000"/>
    <n v="40000"/>
    <n v="0"/>
  </r>
  <r>
    <x v="2"/>
    <d v="1899-12-30T18:34:55"/>
    <x v="0"/>
    <s v="BEBIDA - Coca Cola"/>
    <x v="0"/>
    <s v="A) Día hábil"/>
    <x v="2"/>
    <n v="2400"/>
    <n v="6000"/>
    <n v="6000"/>
    <n v="0"/>
  </r>
  <r>
    <x v="2"/>
    <d v="1899-12-30T18:34:55"/>
    <x v="0"/>
    <s v="BEBIDA - Postobón"/>
    <x v="0"/>
    <s v="A) Día hábil"/>
    <x v="2"/>
    <n v="1200"/>
    <n v="3000"/>
    <n v="3000"/>
    <n v="0"/>
  </r>
  <r>
    <x v="2"/>
    <d v="1899-12-30T18:39:59"/>
    <x v="0"/>
    <s v=" Chorizo con papa/arepa"/>
    <x v="0"/>
    <s v="A) Día hábil"/>
    <x v="2"/>
    <n v="9600"/>
    <n v="24000"/>
    <n v="24000"/>
    <n v="0"/>
  </r>
  <r>
    <x v="2"/>
    <d v="1899-12-30T19:10:35"/>
    <x v="0"/>
    <s v=" Chorizo con papa/arepa"/>
    <x v="0"/>
    <s v="A) Día hábil"/>
    <x v="2"/>
    <n v="3200"/>
    <n v="8000"/>
    <n v="0"/>
    <n v="8000"/>
  </r>
  <r>
    <x v="2"/>
    <d v="1899-12-30T19:12:43"/>
    <x v="0"/>
    <s v=" Chorizo con papa/arepa"/>
    <x v="0"/>
    <s v="A) Día hábil"/>
    <x v="2"/>
    <n v="3200"/>
    <n v="8000"/>
    <n v="8000"/>
    <n v="0"/>
  </r>
  <r>
    <x v="2"/>
    <d v="1899-12-30T19:12:43"/>
    <x v="0"/>
    <s v="BEBIDA - Coca Cola"/>
    <x v="0"/>
    <s v="A) Día hábil"/>
    <x v="2"/>
    <n v="1200"/>
    <n v="3000"/>
    <n v="3000"/>
    <n v="0"/>
  </r>
  <r>
    <x v="2"/>
    <d v="1899-12-30T19:21:54"/>
    <x v="0"/>
    <s v="z. MP -  Chorizo CRUDO"/>
    <x v="0"/>
    <s v="A) Día hábil"/>
    <x v="2"/>
    <n v="9000"/>
    <n v="22500"/>
    <n v="0"/>
    <n v="22500"/>
  </r>
  <r>
    <x v="2"/>
    <d v="1899-12-30T19:39:17"/>
    <x v="0"/>
    <s v="BEBIDA - Postobón"/>
    <x v="0"/>
    <s v="A) Día hábil"/>
    <x v="2"/>
    <n v="1200"/>
    <n v="3000"/>
    <n v="3000"/>
    <n v="0"/>
  </r>
  <r>
    <x v="2"/>
    <d v="1899-12-30T19:39:17"/>
    <x v="0"/>
    <s v="Parrillada de 35"/>
    <x v="0"/>
    <s v="A) Día hábil"/>
    <x v="2"/>
    <n v="14000"/>
    <n v="35000"/>
    <n v="35000"/>
    <n v="0"/>
  </r>
  <r>
    <x v="2"/>
    <d v="1899-12-30T19:40:30"/>
    <x v="0"/>
    <s v=" Chorizo con papa/arepa"/>
    <x v="0"/>
    <s v="A) Día hábil"/>
    <x v="2"/>
    <n v="6400"/>
    <n v="16000"/>
    <n v="16000"/>
    <n v="0"/>
  </r>
  <r>
    <x v="2"/>
    <d v="1899-12-30T19:58:51"/>
    <x v="0"/>
    <s v=" Chorizo con papa/arepa"/>
    <x v="0"/>
    <s v="A) Día hábil"/>
    <x v="2"/>
    <n v="6400"/>
    <n v="16000"/>
    <n v="16000"/>
    <n v="0"/>
  </r>
  <r>
    <x v="2"/>
    <d v="1899-12-30T20:06:51"/>
    <x v="0"/>
    <s v=" Chorizo con papa/arepa"/>
    <x v="0"/>
    <s v="A) Día hábil"/>
    <x v="2"/>
    <n v="12800"/>
    <n v="32000"/>
    <n v="32000"/>
    <n v="0"/>
  </r>
  <r>
    <x v="2"/>
    <d v="1899-12-30T20:12:01"/>
    <x v="0"/>
    <s v=" Chorizo con papa/arepa"/>
    <x v="0"/>
    <s v="A) Día hábil"/>
    <x v="2"/>
    <n v="3200"/>
    <n v="8000"/>
    <n v="0"/>
    <n v="8000"/>
  </r>
  <r>
    <x v="2"/>
    <d v="1899-12-30T20:21:11"/>
    <x v="0"/>
    <s v=" Chorizo con papa/arepa"/>
    <x v="0"/>
    <s v="A) Día hábil"/>
    <x v="2"/>
    <n v="6400"/>
    <n v="16000"/>
    <n v="16000"/>
    <n v="0"/>
  </r>
  <r>
    <x v="3"/>
    <d v="1899-12-30T13:22:07"/>
    <x v="0"/>
    <s v="z. MP -  Chorizo CRUDO"/>
    <x v="0"/>
    <s v="A) Día hábil"/>
    <x v="3"/>
    <n v="3600"/>
    <n v="9000"/>
    <n v="9000"/>
    <n v="0"/>
  </r>
  <r>
    <x v="3"/>
    <d v="1899-12-30T13:27:22"/>
    <x v="0"/>
    <s v=" Chorizo con papa/arepa"/>
    <x v="0"/>
    <s v="A) Día hábil"/>
    <x v="3"/>
    <n v="6400"/>
    <n v="16000"/>
    <n v="16000"/>
    <n v="0"/>
  </r>
  <r>
    <x v="3"/>
    <d v="1899-12-30T15:13:07"/>
    <x v="0"/>
    <s v="Bandeja Choriboni - 25"/>
    <x v="0"/>
    <s v="A) Día hábil"/>
    <x v="3"/>
    <n v="10000"/>
    <n v="25000"/>
    <n v="0"/>
    <n v="25000"/>
  </r>
  <r>
    <x v="3"/>
    <d v="1899-12-30T17:27:41"/>
    <x v="0"/>
    <s v=" Chorizo con papa/arepa"/>
    <x v="0"/>
    <s v="A) Día hábil"/>
    <x v="3"/>
    <n v="16000"/>
    <n v="40000"/>
    <n v="0"/>
    <n v="40000"/>
  </r>
  <r>
    <x v="3"/>
    <d v="1899-12-30T17:27:41"/>
    <x v="0"/>
    <s v="BEBIDA - Postobón"/>
    <x v="0"/>
    <s v="A) Día hábil"/>
    <x v="3"/>
    <n v="3600"/>
    <n v="9000"/>
    <n v="0"/>
    <n v="9000"/>
  </r>
  <r>
    <x v="3"/>
    <d v="1899-12-30T18:04:10"/>
    <x v="0"/>
    <s v=" Chorizo con papa/arepa"/>
    <x v="0"/>
    <s v="A) Día hábil"/>
    <x v="3"/>
    <n v="3200"/>
    <n v="8000"/>
    <n v="8000"/>
    <n v="0"/>
  </r>
  <r>
    <x v="3"/>
    <d v="1899-12-30T18:18:48"/>
    <x v="0"/>
    <s v=" Chorizo con papa/arepa"/>
    <x v="0"/>
    <s v="A) Día hábil"/>
    <x v="3"/>
    <n v="3200"/>
    <n v="8000"/>
    <n v="0"/>
    <n v="8000"/>
  </r>
  <r>
    <x v="3"/>
    <d v="1899-12-30T18:20:14"/>
    <x v="0"/>
    <s v=" Chorizo con papa/arepa"/>
    <x v="0"/>
    <s v="A) Día hábil"/>
    <x v="3"/>
    <n v="3200"/>
    <n v="8000"/>
    <n v="8000"/>
    <n v="0"/>
  </r>
  <r>
    <x v="3"/>
    <d v="1899-12-30T18:33:59"/>
    <x v="0"/>
    <s v=" Chorizo con papa/arepa"/>
    <x v="0"/>
    <s v="A) Día hábil"/>
    <x v="3"/>
    <n v="3200"/>
    <n v="8000"/>
    <n v="0"/>
    <n v="8000"/>
  </r>
  <r>
    <x v="3"/>
    <d v="1899-12-30T19:04:18"/>
    <x v="0"/>
    <s v=" Chorizo con papa/arepa"/>
    <x v="0"/>
    <s v="A) Día hábil"/>
    <x v="3"/>
    <n v="6400"/>
    <n v="16000"/>
    <n v="16000"/>
    <n v="0"/>
  </r>
  <r>
    <x v="3"/>
    <d v="1899-12-30T19:29:53"/>
    <x v="0"/>
    <s v=" Chorizo con papa/arepa"/>
    <x v="0"/>
    <s v="A) Día hábil"/>
    <x v="3"/>
    <n v="6400"/>
    <n v="16000"/>
    <n v="0"/>
    <n v="16000"/>
  </r>
  <r>
    <x v="3"/>
    <d v="1899-12-30T19:29:53"/>
    <x v="0"/>
    <s v="BEBIDA - Coca Cola"/>
    <x v="0"/>
    <s v="A) Día hábil"/>
    <x v="3"/>
    <n v="1200"/>
    <n v="3000"/>
    <n v="0"/>
    <n v="3000"/>
  </r>
  <r>
    <x v="3"/>
    <d v="1899-12-30T19:31:31"/>
    <x v="0"/>
    <s v=" Chorizo con papa/arepa"/>
    <x v="0"/>
    <s v="A) Día hábil"/>
    <x v="3"/>
    <n v="3200"/>
    <n v="8000"/>
    <n v="8000"/>
    <n v="0"/>
  </r>
  <r>
    <x v="3"/>
    <d v="1899-12-30T19:33:12"/>
    <x v="0"/>
    <s v=" Chorizo con papa/arepa"/>
    <x v="0"/>
    <s v="A) Día hábil"/>
    <x v="3"/>
    <n v="3200"/>
    <n v="8000"/>
    <n v="8000"/>
    <n v="0"/>
  </r>
  <r>
    <x v="3"/>
    <d v="1899-12-30T20:15:00"/>
    <x v="0"/>
    <s v=" Chorizo con papa/arepa"/>
    <x v="0"/>
    <s v="A) Día hábil"/>
    <x v="3"/>
    <n v="3200"/>
    <n v="8000"/>
    <n v="8000"/>
    <n v="0"/>
  </r>
  <r>
    <x v="3"/>
    <d v="1899-12-30T20:15:00"/>
    <x v="0"/>
    <s v="BEBIDA - Postobón"/>
    <x v="0"/>
    <s v="A) Día hábil"/>
    <x v="3"/>
    <n v="1200"/>
    <n v="3000"/>
    <n v="3000"/>
    <n v="0"/>
  </r>
  <r>
    <x v="3"/>
    <d v="1899-12-30T20:15:17"/>
    <x v="0"/>
    <s v=" Chorizo con papa/arepa"/>
    <x v="0"/>
    <s v="A) Día hábil"/>
    <x v="3"/>
    <n v="3200"/>
    <n v="8000"/>
    <n v="0"/>
    <n v="8000"/>
  </r>
  <r>
    <x v="3"/>
    <d v="1899-12-30T20:15:31"/>
    <x v="0"/>
    <s v=" Chorizo con papa/arepa"/>
    <x v="0"/>
    <s v="A) Día hábil"/>
    <x v="3"/>
    <n v="3200"/>
    <n v="8000"/>
    <n v="0"/>
    <n v="8000"/>
  </r>
  <r>
    <x v="4"/>
    <d v="1899-12-30T15:07:27"/>
    <x v="0"/>
    <s v=" Chorizo con papa/arepa"/>
    <x v="0"/>
    <s v="B) Viernes"/>
    <x v="4"/>
    <n v="3200"/>
    <n v="8000"/>
    <n v="0"/>
    <n v="8000"/>
  </r>
  <r>
    <x v="4"/>
    <d v="1899-12-30T15:07:27"/>
    <x v="0"/>
    <s v="BEBIDA - Postobón"/>
    <x v="0"/>
    <s v="B) Viernes"/>
    <x v="4"/>
    <n v="1200"/>
    <n v="3000"/>
    <n v="0"/>
    <n v="3000"/>
  </r>
  <r>
    <x v="4"/>
    <d v="1899-12-30T15:09:00"/>
    <x v="0"/>
    <s v=" Chorizo con papa/arepa"/>
    <x v="0"/>
    <s v="B) Viernes"/>
    <x v="4"/>
    <n v="3200"/>
    <n v="8000"/>
    <n v="8000"/>
    <n v="0"/>
  </r>
  <r>
    <x v="4"/>
    <d v="1899-12-30T17:10:45"/>
    <x v="0"/>
    <s v=" Chorizo con papa/arepa"/>
    <x v="0"/>
    <s v="B) Viernes"/>
    <x v="4"/>
    <n v="3200"/>
    <n v="8000"/>
    <n v="8000"/>
    <n v="0"/>
  </r>
  <r>
    <x v="4"/>
    <d v="1899-12-30T17:10:45"/>
    <x v="0"/>
    <s v="Parrillada de 35"/>
    <x v="0"/>
    <s v="B) Viernes"/>
    <x v="4"/>
    <n v="14000"/>
    <n v="35000"/>
    <n v="35000"/>
    <n v="0"/>
  </r>
  <r>
    <x v="4"/>
    <d v="1899-12-30T17:10:45"/>
    <x v="0"/>
    <s v="Tinto"/>
    <x v="0"/>
    <s v="B) Viernes"/>
    <x v="4"/>
    <n v="800"/>
    <n v="2000"/>
    <n v="2000"/>
    <n v="0"/>
  </r>
  <r>
    <x v="4"/>
    <d v="1899-12-30T17:24:37"/>
    <x v="0"/>
    <s v=" Chorizo con papa/arepa"/>
    <x v="0"/>
    <s v="B) Viernes"/>
    <x v="4"/>
    <n v="9600"/>
    <n v="24000"/>
    <n v="24000"/>
    <n v="0"/>
  </r>
  <r>
    <x v="4"/>
    <d v="1899-12-30T17:24:37"/>
    <x v="0"/>
    <s v="BEBIDA - Coca Cola"/>
    <x v="0"/>
    <s v="B) Viernes"/>
    <x v="4"/>
    <n v="2400"/>
    <n v="6000"/>
    <n v="6000"/>
    <n v="0"/>
  </r>
  <r>
    <x v="4"/>
    <d v="1899-12-30T17:24:37"/>
    <x v="0"/>
    <s v="Parrillada de 35"/>
    <x v="0"/>
    <s v="B) Viernes"/>
    <x v="4"/>
    <n v="14000"/>
    <n v="35000"/>
    <n v="35000"/>
    <n v="0"/>
  </r>
  <r>
    <x v="4"/>
    <d v="1899-12-30T17:48:52"/>
    <x v="0"/>
    <s v=" Chorizo con papa/arepa"/>
    <x v="0"/>
    <s v="B) Viernes"/>
    <x v="4"/>
    <n v="6400"/>
    <n v="16000"/>
    <n v="16000"/>
    <n v="0"/>
  </r>
  <r>
    <x v="4"/>
    <d v="1899-12-30T17:48:52"/>
    <x v="0"/>
    <s v="BEBIDA - Coca Cola"/>
    <x v="0"/>
    <s v="B) Viernes"/>
    <x v="4"/>
    <n v="1200"/>
    <n v="3000"/>
    <n v="3000"/>
    <n v="0"/>
  </r>
  <r>
    <x v="4"/>
    <d v="1899-12-30T18:16:26"/>
    <x v="0"/>
    <s v=" Chorizo con papa/arepa"/>
    <x v="0"/>
    <s v="B) Viernes"/>
    <x v="4"/>
    <n v="9600"/>
    <n v="24000"/>
    <n v="0"/>
    <n v="24000"/>
  </r>
  <r>
    <x v="4"/>
    <d v="1899-12-30T19:46:35"/>
    <x v="0"/>
    <s v=" Chorizo con papa/arepa"/>
    <x v="0"/>
    <s v="B) Viernes"/>
    <x v="4"/>
    <n v="3200"/>
    <n v="8000"/>
    <n v="0"/>
    <n v="8000"/>
  </r>
  <r>
    <x v="4"/>
    <d v="1899-12-30T19:46:35"/>
    <x v="0"/>
    <s v="BEBIDA - Botella de Agua"/>
    <x v="0"/>
    <s v="B) Viernes"/>
    <x v="4"/>
    <n v="1400"/>
    <n v="3500"/>
    <n v="0"/>
    <n v="3500"/>
  </r>
  <r>
    <x v="4"/>
    <d v="1899-12-30T20:04:22"/>
    <x v="0"/>
    <s v=" Chorizo con papa/arepa"/>
    <x v="0"/>
    <s v="B) Viernes"/>
    <x v="4"/>
    <n v="6400"/>
    <n v="16000"/>
    <n v="0"/>
    <n v="16000"/>
  </r>
  <r>
    <x v="4"/>
    <d v="1899-12-30T20:05:35"/>
    <x v="0"/>
    <s v=" Chorizo con papa/arepa"/>
    <x v="0"/>
    <s v="B) Viernes"/>
    <x v="4"/>
    <n v="12800"/>
    <n v="32000"/>
    <n v="32000"/>
    <n v="0"/>
  </r>
  <r>
    <x v="4"/>
    <d v="1899-12-30T20:05:35"/>
    <x v="0"/>
    <s v="BEBIDA - Coca Cola"/>
    <x v="0"/>
    <s v="B) Viernes"/>
    <x v="4"/>
    <n v="3600"/>
    <n v="9000"/>
    <n v="9000"/>
    <n v="0"/>
  </r>
  <r>
    <x v="4"/>
    <d v="1899-12-30T20:08:12"/>
    <x v="0"/>
    <s v=" Chorizo con papa/arepa"/>
    <x v="0"/>
    <s v="B) Viernes"/>
    <x v="4"/>
    <n v="3200"/>
    <n v="8000"/>
    <n v="8000"/>
    <n v="0"/>
  </r>
  <r>
    <x v="5"/>
    <d v="1899-12-30T18:57:18"/>
    <x v="0"/>
    <s v="z. MP -  Chorizo CRUDO"/>
    <x v="0"/>
    <s v="C) Sábado"/>
    <x v="5"/>
    <n v="10800"/>
    <n v="27000"/>
    <n v="27000"/>
    <n v="0"/>
  </r>
  <r>
    <x v="5"/>
    <d v="1899-12-30T18:57:56"/>
    <x v="0"/>
    <s v=" Chorizo con papa/arepa"/>
    <x v="0"/>
    <s v="C) Sábado"/>
    <x v="5"/>
    <n v="6400"/>
    <n v="16000"/>
    <n v="0"/>
    <n v="16000"/>
  </r>
  <r>
    <x v="5"/>
    <d v="1899-12-30T18:58:59"/>
    <x v="0"/>
    <s v=" Chorizo con papa/arepa"/>
    <x v="0"/>
    <s v="C) Sábado"/>
    <x v="5"/>
    <n v="3200"/>
    <n v="8000"/>
    <n v="0"/>
    <n v="8000"/>
  </r>
  <r>
    <x v="5"/>
    <d v="1899-12-30T18:58:59"/>
    <x v="0"/>
    <s v="BEBIDA - Botella de Agua"/>
    <x v="0"/>
    <s v="C) Sábado"/>
    <x v="5"/>
    <n v="1400"/>
    <n v="3500"/>
    <n v="0"/>
    <n v="3500"/>
  </r>
  <r>
    <x v="5"/>
    <d v="1899-12-30T18:58:59"/>
    <x v="0"/>
    <s v="Tinto"/>
    <x v="0"/>
    <s v="C) Sábado"/>
    <x v="5"/>
    <n v="800"/>
    <n v="2000"/>
    <n v="0"/>
    <n v="2000"/>
  </r>
  <r>
    <x v="5"/>
    <d v="1899-12-30T19:01:04"/>
    <x v="0"/>
    <s v=" Chorizo con papa/arepa"/>
    <x v="0"/>
    <s v="C) Sábado"/>
    <x v="5"/>
    <n v="6400"/>
    <n v="16000"/>
    <n v="16000"/>
    <n v="0"/>
  </r>
  <r>
    <x v="5"/>
    <d v="1899-12-30T19:01:04"/>
    <x v="0"/>
    <s v="BEBIDA - Coca Cola"/>
    <x v="0"/>
    <s v="C) Sábado"/>
    <x v="5"/>
    <n v="1200"/>
    <n v="3000"/>
    <n v="3000"/>
    <n v="0"/>
  </r>
  <r>
    <x v="5"/>
    <d v="1899-12-30T19:02:13"/>
    <x v="0"/>
    <s v=" Chorizo con papa/arepa"/>
    <x v="0"/>
    <s v="C) Sábado"/>
    <x v="5"/>
    <n v="6400"/>
    <n v="16000"/>
    <n v="16000"/>
    <n v="0"/>
  </r>
  <r>
    <x v="5"/>
    <d v="1899-12-30T19:02:13"/>
    <x v="0"/>
    <s v="BEBIDA - Coca Cola"/>
    <x v="0"/>
    <s v="C) Sábado"/>
    <x v="5"/>
    <n v="1200"/>
    <n v="3000"/>
    <n v="3000"/>
    <n v="0"/>
  </r>
  <r>
    <x v="5"/>
    <d v="1899-12-30T19:03:10"/>
    <x v="0"/>
    <s v=" Chorizo con papa/arepa"/>
    <x v="0"/>
    <s v="C) Sábado"/>
    <x v="5"/>
    <n v="3200"/>
    <n v="8000"/>
    <n v="8000"/>
    <n v="0"/>
  </r>
  <r>
    <x v="5"/>
    <d v="1899-12-30T19:03:10"/>
    <x v="0"/>
    <s v="BEBIDA - Coca Cola"/>
    <x v="0"/>
    <s v="C) Sábado"/>
    <x v="5"/>
    <n v="1200"/>
    <n v="3000"/>
    <n v="3000"/>
    <n v="0"/>
  </r>
  <r>
    <x v="5"/>
    <d v="1899-12-30T19:03:58"/>
    <x v="0"/>
    <s v=" Chorizo con papa/arepa"/>
    <x v="0"/>
    <s v="C) Sábado"/>
    <x v="5"/>
    <n v="12800"/>
    <n v="32000"/>
    <n v="32000"/>
    <n v="0"/>
  </r>
  <r>
    <x v="5"/>
    <d v="1899-12-30T19:03:58"/>
    <x v="0"/>
    <s v="BEBIDA - Coca Cola"/>
    <x v="0"/>
    <s v="C) Sábado"/>
    <x v="5"/>
    <n v="2400"/>
    <n v="6000"/>
    <n v="6000"/>
    <n v="0"/>
  </r>
  <r>
    <x v="5"/>
    <d v="1899-12-30T19:04:18"/>
    <x v="0"/>
    <s v=" Chorizo con papa/arepa"/>
    <x v="0"/>
    <s v="C) Sábado"/>
    <x v="5"/>
    <n v="6400"/>
    <n v="16000"/>
    <n v="16000"/>
    <n v="0"/>
  </r>
  <r>
    <x v="5"/>
    <d v="1899-12-30T19:04:56"/>
    <x v="0"/>
    <s v=" Chorizo con papa/arepa"/>
    <x v="0"/>
    <s v="C) Sábado"/>
    <x v="5"/>
    <n v="9600"/>
    <n v="24000"/>
    <n v="24000"/>
    <n v="0"/>
  </r>
  <r>
    <x v="5"/>
    <d v="1899-12-30T19:04:56"/>
    <x v="0"/>
    <s v="BEBIDA - Jugo Hit"/>
    <x v="0"/>
    <s v="C) Sábado"/>
    <x v="5"/>
    <n v="1800"/>
    <n v="4500"/>
    <n v="4500"/>
    <n v="0"/>
  </r>
  <r>
    <x v="5"/>
    <d v="1899-12-30T19:05:31"/>
    <x v="0"/>
    <s v="Parrillada de 35"/>
    <x v="0"/>
    <s v="C) Sábado"/>
    <x v="5"/>
    <n v="14000"/>
    <n v="35000"/>
    <n v="35000"/>
    <n v="0"/>
  </r>
  <r>
    <x v="5"/>
    <d v="1899-12-30T19:05:51"/>
    <x v="0"/>
    <s v="Parrillada de 35"/>
    <x v="0"/>
    <s v="C) Sábado"/>
    <x v="5"/>
    <n v="14000"/>
    <n v="35000"/>
    <n v="35000"/>
    <n v="0"/>
  </r>
  <r>
    <x v="5"/>
    <d v="1899-12-30T19:07:57"/>
    <x v="0"/>
    <s v="Parrillada de 48"/>
    <x v="0"/>
    <s v="C) Sábado"/>
    <x v="5"/>
    <n v="19200"/>
    <n v="48000"/>
    <n v="48000"/>
    <n v="0"/>
  </r>
  <r>
    <x v="5"/>
    <d v="1899-12-30T19:08:25"/>
    <x v="0"/>
    <s v="Parrillada de 70"/>
    <x v="0"/>
    <s v="C) Sábado"/>
    <x v="5"/>
    <n v="56000"/>
    <n v="140000"/>
    <n v="140000"/>
    <n v="0"/>
  </r>
  <r>
    <x v="5"/>
    <d v="1899-12-30T19:08:38"/>
    <x v="0"/>
    <s v="Parrillada de 40"/>
    <x v="0"/>
    <s v="C) Sábado"/>
    <x v="5"/>
    <n v="16000"/>
    <n v="40000"/>
    <n v="40000"/>
    <n v="0"/>
  </r>
  <r>
    <x v="5"/>
    <d v="1899-12-30T19:10:36"/>
    <x v="0"/>
    <s v="z. MP -  Chorizo CRUDO"/>
    <x v="0"/>
    <s v="C) Sábado"/>
    <x v="5"/>
    <n v="7200"/>
    <n v="18000"/>
    <n v="0"/>
    <n v="18000"/>
  </r>
  <r>
    <x v="6"/>
    <d v="1899-12-30T12:16:03"/>
    <x v="0"/>
    <s v=" Chorizo con papa/arepa"/>
    <x v="1"/>
    <s v="A) Día hábil"/>
    <x v="0"/>
    <n v="3200"/>
    <n v="8000"/>
    <n v="8000"/>
    <n v="0"/>
  </r>
  <r>
    <x v="6"/>
    <d v="1899-12-30T12:16:03"/>
    <x v="0"/>
    <s v="BEBIDA - Coca Cola"/>
    <x v="1"/>
    <s v="A) Día hábil"/>
    <x v="0"/>
    <n v="1200"/>
    <n v="3000"/>
    <n v="3000"/>
    <n v="0"/>
  </r>
  <r>
    <x v="6"/>
    <d v="1899-12-30T17:17:15"/>
    <x v="0"/>
    <s v=" Chorizo con papa/arepa"/>
    <x v="1"/>
    <s v="A) Día hábil"/>
    <x v="0"/>
    <n v="3200"/>
    <n v="8000"/>
    <n v="8000"/>
    <n v="0"/>
  </r>
  <r>
    <x v="6"/>
    <d v="1899-12-30T17:39:46"/>
    <x v="0"/>
    <s v=" Chorizo con papa/arepa"/>
    <x v="1"/>
    <s v="A) Día hábil"/>
    <x v="0"/>
    <n v="3200"/>
    <n v="8000"/>
    <n v="8000"/>
    <n v="0"/>
  </r>
  <r>
    <x v="6"/>
    <d v="1899-12-30T19:48:36"/>
    <x v="0"/>
    <s v=" Chorizo con papa/arepa"/>
    <x v="1"/>
    <s v="A) Día hábil"/>
    <x v="0"/>
    <n v="9600"/>
    <n v="24000"/>
    <n v="24000"/>
    <n v="0"/>
  </r>
  <r>
    <x v="6"/>
    <d v="1899-12-30T19:48:36"/>
    <x v="0"/>
    <s v="BEBIDA - Coca Cola"/>
    <x v="1"/>
    <s v="A) Día hábil"/>
    <x v="0"/>
    <n v="1200"/>
    <n v="3000"/>
    <n v="3000"/>
    <n v="0"/>
  </r>
  <r>
    <x v="6"/>
    <d v="1899-12-30T19:48:36"/>
    <x v="0"/>
    <s v="BEBIDA - Postobón"/>
    <x v="1"/>
    <s v="A) Día hábil"/>
    <x v="0"/>
    <n v="2400"/>
    <n v="6000"/>
    <n v="6000"/>
    <n v="0"/>
  </r>
  <r>
    <x v="7"/>
    <d v="1899-12-30T11:48:06"/>
    <x v="0"/>
    <s v="BEBIDA - Coca Cola"/>
    <x v="1"/>
    <s v="A) Día hábil"/>
    <x v="1"/>
    <n v="2400"/>
    <n v="6000"/>
    <n v="6000"/>
    <n v="0"/>
  </r>
  <r>
    <x v="7"/>
    <d v="1899-12-30T13:14:39"/>
    <x v="0"/>
    <s v=" Chorizo con papa/arepa"/>
    <x v="1"/>
    <s v="A) Día hábil"/>
    <x v="1"/>
    <n v="3200"/>
    <n v="8000"/>
    <n v="8000"/>
    <n v="0"/>
  </r>
  <r>
    <x v="7"/>
    <d v="1899-12-30T14:50:55"/>
    <x v="0"/>
    <s v=" Chorizo con papa/arepa"/>
    <x v="1"/>
    <s v="A) Día hábil"/>
    <x v="1"/>
    <n v="3200"/>
    <n v="8000"/>
    <n v="8000"/>
    <n v="0"/>
  </r>
  <r>
    <x v="7"/>
    <d v="1899-12-30T15:58:52"/>
    <x v="0"/>
    <s v=" Chorizo con papa/arepa"/>
    <x v="1"/>
    <s v="A) Día hábil"/>
    <x v="1"/>
    <n v="3200"/>
    <n v="8000"/>
    <n v="8000"/>
    <n v="0"/>
  </r>
  <r>
    <x v="7"/>
    <d v="1899-12-30T15:58:52"/>
    <x v="0"/>
    <s v="BEBIDA - Jugo Hit"/>
    <x v="1"/>
    <s v="A) Día hábil"/>
    <x v="1"/>
    <n v="1800"/>
    <n v="4500"/>
    <n v="4500"/>
    <n v="0"/>
  </r>
  <r>
    <x v="7"/>
    <d v="1899-12-30T16:00:49"/>
    <x v="0"/>
    <s v=" Chorizo con papa/arepa"/>
    <x v="1"/>
    <s v="A) Día hábil"/>
    <x v="1"/>
    <n v="3200"/>
    <n v="8000"/>
    <n v="8000"/>
    <n v="0"/>
  </r>
  <r>
    <x v="7"/>
    <d v="1899-12-30T16:58:19"/>
    <x v="0"/>
    <s v="Bandeja Choriboni - 30"/>
    <x v="1"/>
    <s v="A) Día hábil"/>
    <x v="1"/>
    <n v="12000"/>
    <n v="30000"/>
    <n v="0"/>
    <n v="30000"/>
  </r>
  <r>
    <x v="7"/>
    <d v="1899-12-30T16:58:19"/>
    <x v="0"/>
    <s v="BEBIDA - Coca Cola"/>
    <x v="1"/>
    <s v="A) Día hábil"/>
    <x v="1"/>
    <n v="1200"/>
    <n v="3000"/>
    <n v="0"/>
    <n v="3000"/>
  </r>
  <r>
    <x v="7"/>
    <d v="1899-12-30T17:29:55"/>
    <x v="0"/>
    <s v=" Chorizo con papa/arepa"/>
    <x v="1"/>
    <s v="A) Día hábil"/>
    <x v="1"/>
    <n v="3200"/>
    <n v="8000"/>
    <n v="8000"/>
    <n v="0"/>
  </r>
  <r>
    <x v="7"/>
    <d v="1899-12-30T17:47:27"/>
    <x v="0"/>
    <s v=" Chorizo con papa/arepa"/>
    <x v="1"/>
    <s v="A) Día hábil"/>
    <x v="1"/>
    <n v="3200"/>
    <n v="8000"/>
    <n v="8000"/>
    <n v="0"/>
  </r>
  <r>
    <x v="7"/>
    <d v="1899-12-30T17:47:27"/>
    <x v="0"/>
    <s v="z. MP -  Chorizo CRUDO"/>
    <x v="1"/>
    <s v="A) Día hábil"/>
    <x v="1"/>
    <n v="3600"/>
    <n v="9000"/>
    <n v="9000"/>
    <n v="0"/>
  </r>
  <r>
    <x v="7"/>
    <d v="1899-12-30T18:06:46"/>
    <x v="0"/>
    <s v=" Chorizo con papa/arepa"/>
    <x v="1"/>
    <s v="A) Día hábil"/>
    <x v="1"/>
    <n v="3200"/>
    <n v="8000"/>
    <n v="8000"/>
    <n v="0"/>
  </r>
  <r>
    <x v="7"/>
    <d v="1899-12-30T18:06:46"/>
    <x v="0"/>
    <s v="BEBIDA - Coca Cola"/>
    <x v="1"/>
    <s v="A) Día hábil"/>
    <x v="1"/>
    <n v="1200"/>
    <n v="3000"/>
    <n v="3000"/>
    <n v="0"/>
  </r>
  <r>
    <x v="7"/>
    <d v="1899-12-30T18:18:30"/>
    <x v="0"/>
    <s v="BEBIDA - Jugo Hit"/>
    <x v="1"/>
    <s v="A) Día hábil"/>
    <x v="1"/>
    <n v="1800"/>
    <n v="4500"/>
    <n v="4500"/>
    <n v="0"/>
  </r>
  <r>
    <x v="7"/>
    <d v="1899-12-30T18:21:52"/>
    <x v="0"/>
    <s v=" Chorizo con papa/arepa"/>
    <x v="1"/>
    <s v="A) Día hábil"/>
    <x v="1"/>
    <n v="3200"/>
    <n v="8000"/>
    <n v="0"/>
    <n v="8000"/>
  </r>
  <r>
    <x v="7"/>
    <d v="1899-12-30T18:21:52"/>
    <x v="0"/>
    <s v="BEBIDA - Coca Cola"/>
    <x v="1"/>
    <s v="A) Día hábil"/>
    <x v="1"/>
    <n v="1200"/>
    <n v="3000"/>
    <n v="0"/>
    <n v="3000"/>
  </r>
  <r>
    <x v="7"/>
    <d v="1899-12-30T18:30:41"/>
    <x v="0"/>
    <s v="z. MP -  Hamb. CRUDA"/>
    <x v="1"/>
    <s v="A) Día hábil"/>
    <x v="1"/>
    <n v="8000"/>
    <n v="20000"/>
    <n v="0"/>
    <n v="20000"/>
  </r>
  <r>
    <x v="7"/>
    <d v="1899-12-30T20:27:35"/>
    <x v="0"/>
    <s v=" Chorizo con papa/arepa"/>
    <x v="1"/>
    <s v="A) Día hábil"/>
    <x v="1"/>
    <n v="6400"/>
    <n v="16000"/>
    <n v="16000"/>
    <n v="0"/>
  </r>
  <r>
    <x v="7"/>
    <d v="1899-12-30T20:27:35"/>
    <x v="0"/>
    <s v="BEBIDA - Coca Cola"/>
    <x v="1"/>
    <s v="A) Día hábil"/>
    <x v="1"/>
    <n v="2400"/>
    <n v="6000"/>
    <n v="6000"/>
    <n v="0"/>
  </r>
  <r>
    <x v="8"/>
    <d v="1899-12-30T15:08:13"/>
    <x v="0"/>
    <s v=" Chorizo con papa/arepa"/>
    <x v="1"/>
    <s v="A) Día hábil"/>
    <x v="2"/>
    <n v="3200"/>
    <n v="8000"/>
    <n v="8000"/>
    <n v="0"/>
  </r>
  <r>
    <x v="8"/>
    <d v="1899-12-30T15:08:13"/>
    <x v="0"/>
    <s v="BEBIDA - Coca Cola"/>
    <x v="1"/>
    <s v="A) Día hábil"/>
    <x v="2"/>
    <n v="1200"/>
    <n v="3000"/>
    <n v="3000"/>
    <n v="0"/>
  </r>
  <r>
    <x v="8"/>
    <d v="1899-12-30T15:08:13"/>
    <x v="0"/>
    <s v="Ham. combo"/>
    <x v="1"/>
    <s v="A) Día hábil"/>
    <x v="2"/>
    <n v="8800"/>
    <n v="22000"/>
    <n v="22000"/>
    <n v="0"/>
  </r>
  <r>
    <x v="8"/>
    <d v="1899-12-30T15:12:26"/>
    <x v="0"/>
    <s v=" Chorizo con papa/arepa"/>
    <x v="1"/>
    <s v="A) Día hábil"/>
    <x v="2"/>
    <n v="3200"/>
    <n v="8000"/>
    <n v="8000"/>
    <n v="0"/>
  </r>
  <r>
    <x v="8"/>
    <d v="1899-12-30T15:59:36"/>
    <x v="0"/>
    <s v=" Chorizo con papa/arepa"/>
    <x v="1"/>
    <s v="A) Día hábil"/>
    <x v="2"/>
    <n v="3200"/>
    <n v="8000"/>
    <n v="8000"/>
    <n v="0"/>
  </r>
  <r>
    <x v="8"/>
    <d v="1899-12-30T16:34:36"/>
    <x v="0"/>
    <s v=" Chorizo con papa/arepa"/>
    <x v="1"/>
    <s v="A) Día hábil"/>
    <x v="2"/>
    <n v="3200"/>
    <n v="8000"/>
    <n v="8000"/>
    <n v="0"/>
  </r>
  <r>
    <x v="8"/>
    <d v="1899-12-30T16:34:36"/>
    <x v="0"/>
    <s v="BEBIDA - Coca Cola"/>
    <x v="1"/>
    <s v="A) Día hábil"/>
    <x v="2"/>
    <n v="1200"/>
    <n v="3000"/>
    <n v="3000"/>
    <n v="0"/>
  </r>
  <r>
    <x v="8"/>
    <d v="1899-12-30T16:34:52"/>
    <x v="0"/>
    <s v="BEBIDA - Botella de Agua"/>
    <x v="1"/>
    <s v="A) Día hábil"/>
    <x v="2"/>
    <n v="2800"/>
    <n v="7000"/>
    <n v="7000"/>
    <n v="0"/>
  </r>
  <r>
    <x v="8"/>
    <d v="1899-12-30T16:36:43"/>
    <x v="0"/>
    <s v="Ham. combo"/>
    <x v="1"/>
    <s v="A) Día hábil"/>
    <x v="2"/>
    <n v="8800"/>
    <n v="22000"/>
    <n v="22000"/>
    <n v="0"/>
  </r>
  <r>
    <x v="8"/>
    <d v="1899-12-30T16:36:43"/>
    <x v="0"/>
    <s v="Ham. sencilla"/>
    <x v="1"/>
    <s v="A) Día hábil"/>
    <x v="2"/>
    <n v="6800"/>
    <n v="17000"/>
    <n v="17000"/>
    <n v="0"/>
  </r>
  <r>
    <x v="8"/>
    <d v="1899-12-30T16:50:46"/>
    <x v="0"/>
    <s v=" Chorizo con papa/arepa"/>
    <x v="1"/>
    <s v="A) Día hábil"/>
    <x v="2"/>
    <n v="9600"/>
    <n v="24000"/>
    <n v="0"/>
    <n v="24000"/>
  </r>
  <r>
    <x v="8"/>
    <d v="1899-12-30T16:50:46"/>
    <x v="0"/>
    <s v="Bandeja Choriboni - 25"/>
    <x v="1"/>
    <s v="A) Día hábil"/>
    <x v="2"/>
    <n v="10000"/>
    <n v="25000"/>
    <n v="0"/>
    <n v="25000"/>
  </r>
  <r>
    <x v="8"/>
    <d v="1899-12-30T16:50:46"/>
    <x v="0"/>
    <s v="BEBIDA - Coca Cola"/>
    <x v="1"/>
    <s v="A) Día hábil"/>
    <x v="2"/>
    <n v="2400"/>
    <n v="6000"/>
    <n v="0"/>
    <n v="6000"/>
  </r>
  <r>
    <x v="8"/>
    <d v="1899-12-30T16:50:46"/>
    <x v="0"/>
    <s v="BEBIDA - Postobón"/>
    <x v="1"/>
    <s v="A) Día hábil"/>
    <x v="2"/>
    <n v="3600"/>
    <n v="9000"/>
    <n v="0"/>
    <n v="9000"/>
  </r>
  <r>
    <x v="8"/>
    <d v="1899-12-30T18:47:50"/>
    <x v="0"/>
    <s v="z. MP -  Chorizo CRUDO"/>
    <x v="1"/>
    <s v="A) Día hábil"/>
    <x v="2"/>
    <n v="7200"/>
    <n v="18000"/>
    <n v="18000"/>
    <n v="0"/>
  </r>
  <r>
    <x v="8"/>
    <d v="1899-12-30T19:18:38"/>
    <x v="0"/>
    <s v=" Chorizo con papa/arepa"/>
    <x v="1"/>
    <s v="A) Día hábil"/>
    <x v="2"/>
    <n v="12800"/>
    <n v="32000"/>
    <n v="32000"/>
    <n v="0"/>
  </r>
  <r>
    <x v="8"/>
    <d v="1899-12-30T19:27:30"/>
    <x v="0"/>
    <s v=" Chorizo con papa/arepa"/>
    <x v="1"/>
    <s v="A) Día hábil"/>
    <x v="2"/>
    <n v="6400"/>
    <n v="16000"/>
    <n v="0"/>
    <n v="16000"/>
  </r>
  <r>
    <x v="8"/>
    <d v="1899-12-30T19:27:30"/>
    <x v="0"/>
    <s v="BEBIDA - Coca Cola"/>
    <x v="1"/>
    <s v="A) Día hábil"/>
    <x v="2"/>
    <n v="1200"/>
    <n v="3000"/>
    <n v="0"/>
    <n v="3000"/>
  </r>
  <r>
    <x v="8"/>
    <d v="1899-12-30T19:57:06"/>
    <x v="0"/>
    <s v=" Chorizo con papa/arepa"/>
    <x v="1"/>
    <s v="A) Día hábil"/>
    <x v="2"/>
    <n v="16000"/>
    <n v="40000"/>
    <n v="40000"/>
    <n v="0"/>
  </r>
  <r>
    <x v="8"/>
    <d v="1899-12-30T19:57:06"/>
    <x v="0"/>
    <s v="BEBIDA - Coca Cola"/>
    <x v="1"/>
    <s v="A) Día hábil"/>
    <x v="2"/>
    <n v="2400"/>
    <n v="6000"/>
    <n v="6000"/>
    <n v="0"/>
  </r>
  <r>
    <x v="8"/>
    <d v="1899-12-30T19:57:06"/>
    <x v="0"/>
    <s v="BEBIDA - Postobón"/>
    <x v="1"/>
    <s v="A) Día hábil"/>
    <x v="2"/>
    <n v="3600"/>
    <n v="9000"/>
    <n v="9000"/>
    <n v="0"/>
  </r>
  <r>
    <x v="8"/>
    <d v="1899-12-30T19:57:06"/>
    <x v="0"/>
    <s v="CARNES - Costillas BBQ  - 50"/>
    <x v="1"/>
    <s v="A) Día hábil"/>
    <x v="2"/>
    <n v="20000"/>
    <n v="50000"/>
    <n v="50000"/>
    <n v="0"/>
  </r>
  <r>
    <x v="9"/>
    <d v="1899-12-30T14:02:14"/>
    <x v="0"/>
    <s v="Bandeja Choriboni - 30"/>
    <x v="1"/>
    <s v="A) Día hábil"/>
    <x v="3"/>
    <n v="12000"/>
    <n v="30000"/>
    <n v="0"/>
    <n v="30000"/>
  </r>
  <r>
    <x v="9"/>
    <d v="1899-12-30T14:02:14"/>
    <x v="0"/>
    <s v="Propina - Gustavo"/>
    <x v="1"/>
    <s v="A) Día hábil"/>
    <x v="3"/>
    <n v="2000"/>
    <n v="5000"/>
    <n v="0"/>
    <n v="5000"/>
  </r>
  <r>
    <x v="9"/>
    <d v="1899-12-30T15:03:23"/>
    <x v="0"/>
    <s v=" Chorizo con papa/arepa"/>
    <x v="1"/>
    <s v="A) Día hábil"/>
    <x v="3"/>
    <n v="6400"/>
    <n v="16000"/>
    <n v="16000"/>
    <n v="0"/>
  </r>
  <r>
    <x v="9"/>
    <d v="1899-12-30T15:03:23"/>
    <x v="0"/>
    <s v="BEBIDA - Coca Cola"/>
    <x v="1"/>
    <s v="A) Día hábil"/>
    <x v="3"/>
    <n v="2400"/>
    <n v="6000"/>
    <n v="6000"/>
    <n v="0"/>
  </r>
  <r>
    <x v="9"/>
    <d v="1899-12-30T15:20:11"/>
    <x v="0"/>
    <s v=" Chorizo con papa/arepa"/>
    <x v="1"/>
    <s v="A) Día hábil"/>
    <x v="3"/>
    <n v="12800"/>
    <n v="32000"/>
    <n v="32000"/>
    <n v="0"/>
  </r>
  <r>
    <x v="9"/>
    <d v="1899-12-30T15:20:11"/>
    <x v="0"/>
    <s v="BEBIDA - Jugo Hit"/>
    <x v="1"/>
    <s v="A) Día hábil"/>
    <x v="3"/>
    <n v="1800"/>
    <n v="4500"/>
    <n v="4500"/>
    <n v="0"/>
  </r>
  <r>
    <x v="9"/>
    <d v="1899-12-30T15:34:35"/>
    <x v="0"/>
    <s v="BEBIDA - Jugo Hit"/>
    <x v="1"/>
    <s v="A) Día hábil"/>
    <x v="3"/>
    <n v="1800"/>
    <n v="4500"/>
    <n v="0"/>
    <n v="4500"/>
  </r>
  <r>
    <x v="9"/>
    <d v="1899-12-30T15:34:35"/>
    <x v="0"/>
    <s v="Parrillada de 35"/>
    <x v="1"/>
    <s v="A) Día hábil"/>
    <x v="3"/>
    <n v="14000"/>
    <n v="35000"/>
    <n v="0"/>
    <n v="35000"/>
  </r>
  <r>
    <x v="9"/>
    <d v="1899-12-30T15:48:19"/>
    <x v="0"/>
    <s v="Parrillada de 35"/>
    <x v="1"/>
    <s v="A) Día hábil"/>
    <x v="3"/>
    <n v="14000"/>
    <n v="35000"/>
    <n v="35000"/>
    <n v="0"/>
  </r>
  <r>
    <x v="9"/>
    <d v="1899-12-30T17:12:09"/>
    <x v="0"/>
    <s v=" Chorizo con papa/arepa"/>
    <x v="1"/>
    <s v="A) Día hábil"/>
    <x v="3"/>
    <n v="3200"/>
    <n v="8000"/>
    <n v="8000"/>
    <n v="0"/>
  </r>
  <r>
    <x v="9"/>
    <d v="1899-12-30T17:17:32"/>
    <x v="0"/>
    <s v=" Chorizo con papa/arepa"/>
    <x v="1"/>
    <s v="A) Día hábil"/>
    <x v="3"/>
    <n v="3200"/>
    <n v="8000"/>
    <n v="8000"/>
    <n v="0"/>
  </r>
  <r>
    <x v="9"/>
    <d v="1899-12-30T17:44:16"/>
    <x v="0"/>
    <s v=" Chorizo con papa/arepa"/>
    <x v="1"/>
    <s v="A) Día hábil"/>
    <x v="3"/>
    <n v="3200"/>
    <n v="8000"/>
    <n v="8000"/>
    <n v="0"/>
  </r>
  <r>
    <x v="9"/>
    <d v="1899-12-30T18:06:39"/>
    <x v="0"/>
    <s v=" Chorizo con papa/arepa"/>
    <x v="1"/>
    <s v="A) Día hábil"/>
    <x v="3"/>
    <n v="3200"/>
    <n v="8000"/>
    <n v="8000"/>
    <n v="0"/>
  </r>
  <r>
    <x v="9"/>
    <d v="1899-12-30T18:31:37"/>
    <x v="0"/>
    <s v=" Chorizo con papa/arepa"/>
    <x v="1"/>
    <s v="A) Día hábil"/>
    <x v="3"/>
    <n v="3200"/>
    <n v="8000"/>
    <n v="8000"/>
    <n v="0"/>
  </r>
  <r>
    <x v="9"/>
    <d v="1899-12-30T18:50:08"/>
    <x v="0"/>
    <s v=" Chorizo con papa/arepa"/>
    <x v="1"/>
    <s v="A) Día hábil"/>
    <x v="3"/>
    <n v="3200"/>
    <n v="8000"/>
    <n v="0"/>
    <n v="8000"/>
  </r>
  <r>
    <x v="9"/>
    <d v="1899-12-30T18:50:08"/>
    <x v="0"/>
    <s v="BEBIDA - Postobón"/>
    <x v="1"/>
    <s v="A) Día hábil"/>
    <x v="3"/>
    <n v="1200"/>
    <n v="3000"/>
    <n v="0"/>
    <n v="3000"/>
  </r>
  <r>
    <x v="9"/>
    <d v="1899-12-30T19:15:22"/>
    <x v="0"/>
    <s v=" Chorizo con papa/arepa"/>
    <x v="1"/>
    <s v="A) Día hábil"/>
    <x v="3"/>
    <n v="9600"/>
    <n v="24000"/>
    <n v="0"/>
    <n v="24000"/>
  </r>
  <r>
    <x v="9"/>
    <d v="1899-12-30T19:15:22"/>
    <x v="0"/>
    <s v="BEBIDA - Postobón"/>
    <x v="1"/>
    <s v="A) Día hábil"/>
    <x v="3"/>
    <n v="2400"/>
    <n v="6000"/>
    <n v="0"/>
    <n v="6000"/>
  </r>
  <r>
    <x v="9"/>
    <d v="1899-12-30T20:14:11"/>
    <x v="0"/>
    <s v=" Chorizo con papa/arepa"/>
    <x v="1"/>
    <s v="A) Día hábil"/>
    <x v="3"/>
    <n v="3200"/>
    <n v="8000"/>
    <n v="8000"/>
    <n v="0"/>
  </r>
  <r>
    <x v="9"/>
    <d v="1899-12-30T20:14:11"/>
    <x v="0"/>
    <s v="Tinto"/>
    <x v="1"/>
    <s v="A) Día hábil"/>
    <x v="3"/>
    <n v="800"/>
    <n v="2000"/>
    <n v="2000"/>
    <n v="0"/>
  </r>
  <r>
    <x v="10"/>
    <d v="1899-12-30T22:58:59"/>
    <x v="0"/>
    <s v=" Chorizo con papa/arepa"/>
    <x v="1"/>
    <s v="C) Sábado"/>
    <x v="5"/>
    <n v="6400"/>
    <n v="16000"/>
    <n v="16000"/>
    <n v="0"/>
  </r>
  <r>
    <x v="10"/>
    <d v="1899-12-30T22:59:12"/>
    <x v="0"/>
    <s v=" Chorizo con papa/arepa"/>
    <x v="1"/>
    <s v="C) Sábado"/>
    <x v="5"/>
    <n v="6400"/>
    <n v="16000"/>
    <n v="16000"/>
    <n v="0"/>
  </r>
  <r>
    <x v="10"/>
    <d v="1899-12-30T22:59:59"/>
    <x v="0"/>
    <s v=" Chorizo con papa/arepa"/>
    <x v="1"/>
    <s v="C) Sábado"/>
    <x v="5"/>
    <n v="12800"/>
    <n v="32000"/>
    <n v="32000"/>
    <n v="0"/>
  </r>
  <r>
    <x v="10"/>
    <d v="1899-12-30T22:59:59"/>
    <x v="0"/>
    <s v="BEBIDA - Coca Cola"/>
    <x v="1"/>
    <s v="C) Sábado"/>
    <x v="5"/>
    <n v="2400"/>
    <n v="6000"/>
    <n v="6000"/>
    <n v="0"/>
  </r>
  <r>
    <x v="10"/>
    <d v="1899-12-30T23:00:51"/>
    <x v="0"/>
    <s v=" Chorizo con papa/arepa"/>
    <x v="1"/>
    <s v="C) Sábado"/>
    <x v="5"/>
    <n v="3200"/>
    <n v="8000"/>
    <n v="8000"/>
    <n v="0"/>
  </r>
  <r>
    <x v="10"/>
    <d v="1899-12-30T23:00:51"/>
    <x v="0"/>
    <s v="BEBIDA - Coca Cola"/>
    <x v="1"/>
    <s v="C) Sábado"/>
    <x v="5"/>
    <n v="1200"/>
    <n v="3000"/>
    <n v="3000"/>
    <n v="0"/>
  </r>
  <r>
    <x v="10"/>
    <d v="1899-12-30T23:01:11"/>
    <x v="0"/>
    <s v=" Chorizo con papa/arepa"/>
    <x v="1"/>
    <s v="C) Sábado"/>
    <x v="5"/>
    <n v="6400"/>
    <n v="16000"/>
    <n v="16000"/>
    <n v="0"/>
  </r>
  <r>
    <x v="10"/>
    <d v="1899-12-30T23:01:11"/>
    <x v="0"/>
    <s v="BEBIDA - Coca Cola"/>
    <x v="1"/>
    <s v="C) Sábado"/>
    <x v="5"/>
    <n v="2400"/>
    <n v="6000"/>
    <n v="6000"/>
    <n v="0"/>
  </r>
  <r>
    <x v="10"/>
    <d v="1899-12-30T23:03:01"/>
    <x v="0"/>
    <s v=" Chorizo con papa/arepa"/>
    <x v="1"/>
    <s v="C) Sábado"/>
    <x v="5"/>
    <n v="6400"/>
    <n v="16000"/>
    <n v="0"/>
    <n v="16000"/>
  </r>
  <r>
    <x v="10"/>
    <d v="1899-12-30T23:04:26"/>
    <x v="0"/>
    <s v=" Chorizo con papa/arepa"/>
    <x v="1"/>
    <s v="C) Sábado"/>
    <x v="5"/>
    <n v="9600"/>
    <n v="24000"/>
    <n v="0"/>
    <n v="24000"/>
  </r>
  <r>
    <x v="10"/>
    <d v="1899-12-30T23:04:26"/>
    <x v="0"/>
    <s v="BEBIDA - Jugo Hit"/>
    <x v="1"/>
    <s v="C) Sábado"/>
    <x v="5"/>
    <n v="1800"/>
    <n v="4500"/>
    <n v="0"/>
    <n v="4500"/>
  </r>
  <r>
    <x v="10"/>
    <d v="1899-12-30T23:06:59"/>
    <x v="0"/>
    <s v="PROMO: promo vecino de jenesano"/>
    <x v="1"/>
    <s v="C) Sábado"/>
    <x v="5"/>
    <n v="6000"/>
    <n v="15000"/>
    <n v="15000"/>
    <n v="0"/>
  </r>
  <r>
    <x v="10"/>
    <d v="1899-12-30T23:09:20"/>
    <x v="0"/>
    <s v="Parrillada de 60"/>
    <x v="1"/>
    <s v="C) Sábado"/>
    <x v="5"/>
    <n v="24000"/>
    <n v="60000"/>
    <n v="60000"/>
    <n v="0"/>
  </r>
  <r>
    <x v="10"/>
    <d v="1899-12-30T23:09:45"/>
    <x v="0"/>
    <s v=" Chorizo con papa/arepa"/>
    <x v="1"/>
    <s v="C) Sábado"/>
    <x v="5"/>
    <n v="3200"/>
    <n v="8000"/>
    <n v="8000"/>
    <n v="0"/>
  </r>
  <r>
    <x v="10"/>
    <d v="1899-12-30T23:09:45"/>
    <x v="0"/>
    <s v="BEBIDA - Jugo Hit"/>
    <x v="1"/>
    <s v="C) Sábado"/>
    <x v="5"/>
    <n v="1800"/>
    <n v="4500"/>
    <n v="4500"/>
    <n v="0"/>
  </r>
  <r>
    <x v="10"/>
    <d v="1899-12-30T23:11:40"/>
    <x v="0"/>
    <s v="BEBIDA - Coca Cola"/>
    <x v="1"/>
    <s v="C) Sábado"/>
    <x v="5"/>
    <n v="1200"/>
    <n v="3000"/>
    <n v="0"/>
    <n v="3000"/>
  </r>
  <r>
    <x v="10"/>
    <d v="1899-12-30T23:11:40"/>
    <x v="0"/>
    <s v="CARNES - Carne Asada de 40"/>
    <x v="1"/>
    <s v="C) Sábado"/>
    <x v="5"/>
    <n v="16000"/>
    <n v="40000"/>
    <n v="0"/>
    <n v="40000"/>
  </r>
  <r>
    <x v="10"/>
    <d v="1899-12-30T23:12:12"/>
    <x v="0"/>
    <s v=" Chorizo con papa/arepa"/>
    <x v="1"/>
    <s v="C) Sábado"/>
    <x v="5"/>
    <n v="6400"/>
    <n v="16000"/>
    <n v="16000"/>
    <n v="0"/>
  </r>
  <r>
    <x v="10"/>
    <d v="1899-12-30T23:12:12"/>
    <x v="0"/>
    <s v="BEBIDA - Jugo Hit"/>
    <x v="1"/>
    <s v="C) Sábado"/>
    <x v="5"/>
    <n v="1800"/>
    <n v="4500"/>
    <n v="4500"/>
    <n v="0"/>
  </r>
  <r>
    <x v="11"/>
    <d v="1899-12-30T14:10:32"/>
    <x v="0"/>
    <s v=" Chorizo con papa/arepa"/>
    <x v="1"/>
    <s v="D) Domingo"/>
    <x v="6"/>
    <n v="9600"/>
    <n v="24000"/>
    <n v="0"/>
    <n v="24000"/>
  </r>
  <r>
    <x v="11"/>
    <d v="1899-12-30T14:10:32"/>
    <x v="0"/>
    <s v="BEBIDA - Coca Cola"/>
    <x v="1"/>
    <s v="D) Domingo"/>
    <x v="6"/>
    <n v="2400"/>
    <n v="6000"/>
    <n v="0"/>
    <n v="6000"/>
  </r>
  <r>
    <x v="11"/>
    <d v="1899-12-30T14:10:53"/>
    <x v="0"/>
    <s v=" Chorizo con papa/arepa"/>
    <x v="1"/>
    <s v="D) Domingo"/>
    <x v="6"/>
    <n v="3200"/>
    <n v="8000"/>
    <n v="8000"/>
    <n v="0"/>
  </r>
  <r>
    <x v="11"/>
    <d v="1899-12-30T14:10:53"/>
    <x v="0"/>
    <s v="BEBIDA - Postobón"/>
    <x v="1"/>
    <s v="D) Domingo"/>
    <x v="6"/>
    <n v="1200"/>
    <n v="3000"/>
    <n v="3000"/>
    <n v="0"/>
  </r>
  <r>
    <x v="11"/>
    <d v="1899-12-30T14:20:34"/>
    <x v="0"/>
    <s v=" Chorizo con papa/arepa"/>
    <x v="1"/>
    <s v="D) Domingo"/>
    <x v="6"/>
    <n v="9600"/>
    <n v="24000"/>
    <n v="0"/>
    <n v="24000"/>
  </r>
  <r>
    <x v="11"/>
    <d v="1899-12-30T14:20:34"/>
    <x v="0"/>
    <s v="Bandeja Choriboni - 30"/>
    <x v="1"/>
    <s v="D) Domingo"/>
    <x v="6"/>
    <n v="12000"/>
    <n v="30000"/>
    <n v="0"/>
    <n v="30000"/>
  </r>
  <r>
    <x v="11"/>
    <d v="1899-12-30T14:54:33"/>
    <x v="0"/>
    <s v=" Chorizo con papa/arepa"/>
    <x v="1"/>
    <s v="D) Domingo"/>
    <x v="6"/>
    <n v="3200"/>
    <n v="8000"/>
    <n v="8000"/>
    <n v="0"/>
  </r>
  <r>
    <x v="11"/>
    <d v="1899-12-30T14:54:33"/>
    <x v="0"/>
    <s v="BEBIDA - Coca Cola"/>
    <x v="1"/>
    <s v="D) Domingo"/>
    <x v="6"/>
    <n v="1200"/>
    <n v="3000"/>
    <n v="3000"/>
    <n v="0"/>
  </r>
  <r>
    <x v="11"/>
    <d v="1899-12-30T15:07:20"/>
    <x v="0"/>
    <s v="Bandeja Choriboni - 35"/>
    <x v="1"/>
    <s v="D) Domingo"/>
    <x v="6"/>
    <n v="14000"/>
    <n v="35000"/>
    <n v="35000"/>
    <n v="0"/>
  </r>
  <r>
    <x v="11"/>
    <d v="1899-12-30T15:07:20"/>
    <x v="0"/>
    <s v="BEBIDA - Coca Cola"/>
    <x v="1"/>
    <s v="D) Domingo"/>
    <x v="6"/>
    <n v="1200"/>
    <n v="3000"/>
    <n v="3000"/>
    <n v="0"/>
  </r>
  <r>
    <x v="11"/>
    <d v="1899-12-30T15:07:20"/>
    <x v="0"/>
    <s v="BEBIDA - Jugo Hit"/>
    <x v="1"/>
    <s v="D) Domingo"/>
    <x v="6"/>
    <n v="1800"/>
    <n v="4500"/>
    <n v="4500"/>
    <n v="0"/>
  </r>
  <r>
    <x v="11"/>
    <d v="1899-12-30T15:08:20"/>
    <x v="0"/>
    <s v=" Chorizo con papa/arepa"/>
    <x v="1"/>
    <s v="D) Domingo"/>
    <x v="6"/>
    <n v="3200"/>
    <n v="8000"/>
    <n v="8000"/>
    <n v="0"/>
  </r>
  <r>
    <x v="11"/>
    <d v="1899-12-30T15:08:20"/>
    <x v="0"/>
    <s v="Bandeja Choriboni - 35"/>
    <x v="1"/>
    <s v="D) Domingo"/>
    <x v="6"/>
    <n v="14000"/>
    <n v="35000"/>
    <n v="35000"/>
    <n v="0"/>
  </r>
  <r>
    <x v="11"/>
    <d v="1899-12-30T15:08:20"/>
    <x v="0"/>
    <s v="BEBIDA - Botella de Agua"/>
    <x v="1"/>
    <s v="D) Domingo"/>
    <x v="6"/>
    <n v="1400"/>
    <n v="3500"/>
    <n v="3500"/>
    <n v="0"/>
  </r>
  <r>
    <x v="11"/>
    <d v="1899-12-30T15:08:20"/>
    <x v="0"/>
    <s v="BEBIDA - Coca Cola"/>
    <x v="1"/>
    <s v="D) Domingo"/>
    <x v="6"/>
    <n v="1200"/>
    <n v="3000"/>
    <n v="3000"/>
    <n v="0"/>
  </r>
  <r>
    <x v="11"/>
    <d v="1899-12-30T17:22:10"/>
    <x v="0"/>
    <s v=" Chorizo con papa/arepa"/>
    <x v="1"/>
    <s v="D) Domingo"/>
    <x v="6"/>
    <n v="3200"/>
    <n v="8000"/>
    <n v="0"/>
    <n v="8000"/>
  </r>
  <r>
    <x v="11"/>
    <d v="1899-12-30T17:27:24"/>
    <x v="0"/>
    <s v="BEBIDA - Botella de Agua"/>
    <x v="1"/>
    <s v="D) Domingo"/>
    <x v="6"/>
    <n v="1400"/>
    <n v="3500"/>
    <n v="0"/>
    <n v="3500"/>
  </r>
  <r>
    <x v="11"/>
    <d v="1899-12-30T18:03:06"/>
    <x v="0"/>
    <s v=" Chorizo con papa/arepa"/>
    <x v="1"/>
    <s v="D) Domingo"/>
    <x v="6"/>
    <n v="3200"/>
    <n v="8000"/>
    <n v="8000"/>
    <n v="0"/>
  </r>
  <r>
    <x v="11"/>
    <d v="1899-12-30T18:03:06"/>
    <x v="0"/>
    <s v="PROMO pedazo de carne"/>
    <x v="1"/>
    <s v="D) Domingo"/>
    <x v="6"/>
    <n v="800"/>
    <n v="2000"/>
    <n v="2000"/>
    <n v="0"/>
  </r>
  <r>
    <x v="12"/>
    <d v="1899-12-30T16:00:36"/>
    <x v="0"/>
    <s v="Bandeja Choriboni - 35"/>
    <x v="2"/>
    <s v="A) Día hábil"/>
    <x v="0"/>
    <n v="14000"/>
    <n v="35000"/>
    <n v="35000"/>
    <n v="0"/>
  </r>
  <r>
    <x v="12"/>
    <d v="1899-12-30T16:00:36"/>
    <x v="0"/>
    <s v="BEBIDA - Coca Cola"/>
    <x v="2"/>
    <s v="A) Día hábil"/>
    <x v="0"/>
    <n v="2400"/>
    <n v="6000"/>
    <n v="6000"/>
    <n v="0"/>
  </r>
  <r>
    <x v="12"/>
    <d v="1899-12-30T16:04:41"/>
    <x v="0"/>
    <s v=" Chorizo con papa/arepa"/>
    <x v="2"/>
    <s v="A) Día hábil"/>
    <x v="0"/>
    <n v="3200"/>
    <n v="8000"/>
    <n v="8000"/>
    <n v="0"/>
  </r>
  <r>
    <x v="12"/>
    <d v="1899-12-30T16:05:59"/>
    <x v="0"/>
    <s v=" Chorizo con papa/arepa"/>
    <x v="2"/>
    <s v="A) Día hábil"/>
    <x v="0"/>
    <n v="6400"/>
    <n v="16000"/>
    <n v="16000"/>
    <n v="0"/>
  </r>
  <r>
    <x v="12"/>
    <d v="1899-12-30T16:05:59"/>
    <x v="0"/>
    <s v="BEBIDA - Jugo Hit"/>
    <x v="2"/>
    <s v="A) Día hábil"/>
    <x v="0"/>
    <n v="1800"/>
    <n v="4500"/>
    <n v="4500"/>
    <n v="0"/>
  </r>
  <r>
    <x v="12"/>
    <d v="1899-12-30T16:05:59"/>
    <x v="0"/>
    <s v="BEBIDA - Postobón"/>
    <x v="2"/>
    <s v="A) Día hábil"/>
    <x v="0"/>
    <n v="1200"/>
    <n v="3000"/>
    <n v="3000"/>
    <n v="0"/>
  </r>
  <r>
    <x v="12"/>
    <d v="1899-12-30T16:29:55"/>
    <x v="0"/>
    <s v="Bandeja Choriboni - 35"/>
    <x v="2"/>
    <s v="A) Día hábil"/>
    <x v="0"/>
    <n v="28000"/>
    <n v="70000"/>
    <n v="70000"/>
    <n v="0"/>
  </r>
  <r>
    <x v="12"/>
    <d v="1899-12-30T16:29:55"/>
    <x v="0"/>
    <s v="BEBIDA - Coca Cola"/>
    <x v="2"/>
    <s v="A) Día hábil"/>
    <x v="0"/>
    <n v="1200"/>
    <n v="3000"/>
    <n v="3000"/>
    <n v="0"/>
  </r>
  <r>
    <x v="12"/>
    <d v="1899-12-30T17:25:39"/>
    <x v="0"/>
    <s v=" Chorizo con papa/arepa"/>
    <x v="2"/>
    <s v="A) Día hábil"/>
    <x v="0"/>
    <n v="6400"/>
    <n v="16000"/>
    <n v="16000"/>
    <n v="0"/>
  </r>
  <r>
    <x v="12"/>
    <d v="1899-12-30T17:49:09"/>
    <x v="0"/>
    <s v="Bandeja Choriboni - 35"/>
    <x v="2"/>
    <s v="A) Día hábil"/>
    <x v="0"/>
    <n v="28000"/>
    <n v="70000"/>
    <n v="0"/>
    <n v="70000"/>
  </r>
  <r>
    <x v="12"/>
    <d v="1899-12-30T17:49:09"/>
    <x v="0"/>
    <s v="BEBIDA - Coca Cola"/>
    <x v="2"/>
    <s v="A) Día hábil"/>
    <x v="0"/>
    <n v="2400"/>
    <n v="6000"/>
    <n v="0"/>
    <n v="6000"/>
  </r>
  <r>
    <x v="12"/>
    <d v="1899-12-30T18:47:58"/>
    <x v="0"/>
    <s v=" Chorizo con papa/arepa"/>
    <x v="2"/>
    <s v="A) Día hábil"/>
    <x v="0"/>
    <n v="3200"/>
    <n v="8000"/>
    <n v="8000"/>
    <n v="0"/>
  </r>
  <r>
    <x v="12"/>
    <d v="1899-12-30T18:47:58"/>
    <x v="0"/>
    <s v="BEBIDA - Coca Cola"/>
    <x v="2"/>
    <s v="A) Día hábil"/>
    <x v="0"/>
    <n v="1200"/>
    <n v="3000"/>
    <n v="3000"/>
    <n v="0"/>
  </r>
  <r>
    <x v="13"/>
    <d v="1899-12-30T17:29:15"/>
    <x v="0"/>
    <s v=" Chorizo con papa/arepa"/>
    <x v="2"/>
    <s v="A) Día hábil"/>
    <x v="1"/>
    <n v="3200"/>
    <n v="8000"/>
    <n v="0"/>
    <n v="8000"/>
  </r>
  <r>
    <x v="13"/>
    <d v="1899-12-30T17:29:15"/>
    <x v="0"/>
    <s v="BEBIDA - Coca Cola"/>
    <x v="2"/>
    <s v="A) Día hábil"/>
    <x v="1"/>
    <n v="1200"/>
    <n v="3000"/>
    <n v="0"/>
    <n v="3000"/>
  </r>
  <r>
    <x v="13"/>
    <d v="1899-12-30T17:30:41"/>
    <x v="0"/>
    <s v=" Chorizo con papa/arepa"/>
    <x v="2"/>
    <s v="A) Día hábil"/>
    <x v="1"/>
    <n v="16000"/>
    <n v="40000"/>
    <n v="40000"/>
    <n v="0"/>
  </r>
  <r>
    <x v="13"/>
    <d v="1899-12-30T17:31:15"/>
    <x v="0"/>
    <s v=" Chorizo con papa/arepa"/>
    <x v="2"/>
    <s v="A) Día hábil"/>
    <x v="1"/>
    <n v="3200"/>
    <n v="8000"/>
    <n v="8000"/>
    <n v="0"/>
  </r>
  <r>
    <x v="13"/>
    <d v="1899-12-30T17:31:15"/>
    <x v="0"/>
    <s v="BEBIDA - Coca Cola"/>
    <x v="2"/>
    <s v="A) Día hábil"/>
    <x v="1"/>
    <n v="1200"/>
    <n v="3000"/>
    <n v="3000"/>
    <n v="0"/>
  </r>
  <r>
    <x v="13"/>
    <d v="1899-12-30T19:49:02"/>
    <x v="0"/>
    <s v=" Chorizo con papa/arepa"/>
    <x v="2"/>
    <s v="A) Día hábil"/>
    <x v="1"/>
    <n v="12800"/>
    <n v="32000"/>
    <n v="0"/>
    <n v="32000"/>
  </r>
  <r>
    <x v="14"/>
    <d v="1899-12-30T14:41:26"/>
    <x v="0"/>
    <s v="Parrillada de 35"/>
    <x v="2"/>
    <s v="A) Día hábil"/>
    <x v="2"/>
    <n v="28000"/>
    <n v="70000"/>
    <n v="70000"/>
    <n v="0"/>
  </r>
  <r>
    <x v="14"/>
    <d v="1899-12-30T14:47:38"/>
    <x v="0"/>
    <s v="BEBIDA - Coca Cola"/>
    <x v="2"/>
    <s v="A) Día hábil"/>
    <x v="2"/>
    <n v="3600"/>
    <n v="9000"/>
    <n v="9000"/>
    <n v="0"/>
  </r>
  <r>
    <x v="14"/>
    <d v="1899-12-30T14:47:38"/>
    <x v="0"/>
    <s v="Parrillada de 30"/>
    <x v="2"/>
    <s v="A) Día hábil"/>
    <x v="2"/>
    <n v="12000"/>
    <n v="30000"/>
    <n v="30000"/>
    <n v="0"/>
  </r>
  <r>
    <x v="14"/>
    <d v="1899-12-30T14:47:51"/>
    <x v="0"/>
    <s v=" Chorizo con papa/arepa"/>
    <x v="2"/>
    <s v="A) Día hábil"/>
    <x v="2"/>
    <n v="3200"/>
    <n v="8000"/>
    <n v="8000"/>
    <n v="0"/>
  </r>
  <r>
    <x v="14"/>
    <d v="1899-12-30T16:20:33"/>
    <x v="0"/>
    <s v=" Chorizo con papa/arepa"/>
    <x v="2"/>
    <s v="A) Día hábil"/>
    <x v="2"/>
    <n v="9600"/>
    <n v="24000"/>
    <n v="24000"/>
    <n v="0"/>
  </r>
  <r>
    <x v="14"/>
    <d v="1899-12-30T16:20:33"/>
    <x v="0"/>
    <s v="BEBIDA - Coca Cola"/>
    <x v="2"/>
    <s v="A) Día hábil"/>
    <x v="2"/>
    <n v="2400"/>
    <n v="6000"/>
    <n v="6000"/>
    <n v="0"/>
  </r>
  <r>
    <x v="14"/>
    <d v="1899-12-30T16:40:39"/>
    <x v="0"/>
    <s v=" Chorizo con papa/arepa"/>
    <x v="2"/>
    <s v="A) Día hábil"/>
    <x v="2"/>
    <n v="6400"/>
    <n v="16000"/>
    <n v="0"/>
    <n v="16000"/>
  </r>
  <r>
    <x v="14"/>
    <d v="1899-12-30T16:40:39"/>
    <x v="0"/>
    <s v="BEBIDA - Coca Cola"/>
    <x v="2"/>
    <s v="A) Día hábil"/>
    <x v="2"/>
    <n v="2400"/>
    <n v="6000"/>
    <n v="0"/>
    <n v="6000"/>
  </r>
  <r>
    <x v="14"/>
    <d v="1899-12-30T16:59:56"/>
    <x v="0"/>
    <s v=" Chorizo con papa/arepa"/>
    <x v="2"/>
    <s v="A) Día hábil"/>
    <x v="2"/>
    <n v="9600"/>
    <n v="24000"/>
    <n v="24000"/>
    <n v="0"/>
  </r>
  <r>
    <x v="14"/>
    <d v="1899-12-30T17:00:23"/>
    <x v="0"/>
    <s v=" Chorizo con papa/arepa"/>
    <x v="2"/>
    <s v="A) Día hábil"/>
    <x v="2"/>
    <n v="3200"/>
    <n v="8000"/>
    <n v="8000"/>
    <n v="0"/>
  </r>
  <r>
    <x v="14"/>
    <d v="1899-12-30T17:00:23"/>
    <x v="0"/>
    <s v="BEBIDA - Coca Cola"/>
    <x v="2"/>
    <s v="A) Día hábil"/>
    <x v="2"/>
    <n v="1200"/>
    <n v="3000"/>
    <n v="3000"/>
    <n v="0"/>
  </r>
  <r>
    <x v="14"/>
    <d v="1899-12-30T17:48:19"/>
    <x v="0"/>
    <s v=" Chorizo con papa/arepa"/>
    <x v="2"/>
    <s v="A) Día hábil"/>
    <x v="2"/>
    <n v="6400"/>
    <n v="16000"/>
    <n v="0"/>
    <n v="16000"/>
  </r>
  <r>
    <x v="14"/>
    <d v="1899-12-30T17:48:19"/>
    <x v="0"/>
    <s v="BEBIDA - Coca Cola"/>
    <x v="2"/>
    <s v="A) Día hábil"/>
    <x v="2"/>
    <n v="2400"/>
    <n v="6000"/>
    <n v="0"/>
    <n v="6000"/>
  </r>
  <r>
    <x v="14"/>
    <d v="1899-12-30T17:54:32"/>
    <x v="0"/>
    <s v=" Chorizo con papa/arepa"/>
    <x v="2"/>
    <s v="A) Día hábil"/>
    <x v="2"/>
    <n v="3200"/>
    <n v="8000"/>
    <n v="0"/>
    <n v="8000"/>
  </r>
  <r>
    <x v="14"/>
    <d v="1899-12-30T18:02:07"/>
    <x v="0"/>
    <s v=" Chorizo con papa/arepa"/>
    <x v="2"/>
    <s v="A) Día hábil"/>
    <x v="2"/>
    <n v="3200"/>
    <n v="8000"/>
    <n v="8000"/>
    <n v="0"/>
  </r>
  <r>
    <x v="14"/>
    <d v="1899-12-30T18:02:07"/>
    <x v="0"/>
    <s v="z. MP -  Chorizo CRUDO"/>
    <x v="2"/>
    <s v="A) Día hábil"/>
    <x v="2"/>
    <n v="5400"/>
    <n v="13500"/>
    <n v="13500"/>
    <n v="0"/>
  </r>
  <r>
    <x v="14"/>
    <d v="1899-12-30T18:11:32"/>
    <x v="0"/>
    <s v=" Chorizo con papa/arepa"/>
    <x v="2"/>
    <s v="A) Día hábil"/>
    <x v="2"/>
    <n v="6400"/>
    <n v="16000"/>
    <n v="16000"/>
    <n v="0"/>
  </r>
  <r>
    <x v="14"/>
    <d v="1899-12-30T18:11:32"/>
    <x v="0"/>
    <s v="BEBIDA - Coca Cola"/>
    <x v="2"/>
    <s v="A) Día hábil"/>
    <x v="2"/>
    <n v="1200"/>
    <n v="3000"/>
    <n v="3000"/>
    <n v="0"/>
  </r>
  <r>
    <x v="14"/>
    <d v="1899-12-30T18:14:53"/>
    <x v="0"/>
    <s v=" Chorizo con papa/arepa"/>
    <x v="2"/>
    <s v="A) Día hábil"/>
    <x v="2"/>
    <n v="12800"/>
    <n v="32000"/>
    <n v="0"/>
    <n v="32000"/>
  </r>
  <r>
    <x v="14"/>
    <d v="1899-12-30T18:23:38"/>
    <x v="0"/>
    <s v=" Chorizo con papa/arepa"/>
    <x v="2"/>
    <s v="A) Día hábil"/>
    <x v="2"/>
    <n v="9600"/>
    <n v="24000"/>
    <n v="0"/>
    <n v="24000"/>
  </r>
  <r>
    <x v="14"/>
    <d v="1899-12-30T18:23:48"/>
    <x v="0"/>
    <s v=" Chorizo con papa/arepa"/>
    <x v="2"/>
    <s v="A) Día hábil"/>
    <x v="2"/>
    <n v="3200"/>
    <n v="8000"/>
    <n v="8000"/>
    <n v="0"/>
  </r>
  <r>
    <x v="14"/>
    <d v="1899-12-30T18:23:58"/>
    <x v="0"/>
    <s v=" Chorizo con papa/arepa"/>
    <x v="2"/>
    <s v="A) Día hábil"/>
    <x v="2"/>
    <n v="3200"/>
    <n v="8000"/>
    <n v="0"/>
    <n v="8000"/>
  </r>
  <r>
    <x v="14"/>
    <d v="1899-12-30T18:30:48"/>
    <x v="0"/>
    <s v=" Chorizo con papa/arepa"/>
    <x v="2"/>
    <s v="A) Día hábil"/>
    <x v="2"/>
    <n v="12800"/>
    <n v="32000"/>
    <n v="32000"/>
    <n v="0"/>
  </r>
  <r>
    <x v="14"/>
    <d v="1899-12-30T18:31:58"/>
    <x v="0"/>
    <s v=" Chorizo con papa/arepa"/>
    <x v="2"/>
    <s v="A) Día hábil"/>
    <x v="2"/>
    <n v="3200"/>
    <n v="8000"/>
    <n v="0"/>
    <n v="8000"/>
  </r>
  <r>
    <x v="14"/>
    <d v="1899-12-30T18:32:56"/>
    <x v="0"/>
    <s v=" Chorizo con papa/arepa"/>
    <x v="2"/>
    <s v="A) Día hábil"/>
    <x v="2"/>
    <n v="3200"/>
    <n v="8000"/>
    <n v="8000"/>
    <n v="0"/>
  </r>
  <r>
    <x v="14"/>
    <d v="1899-12-30T18:32:56"/>
    <x v="0"/>
    <s v="BEBIDA - Coca Cola"/>
    <x v="2"/>
    <s v="A) Día hábil"/>
    <x v="2"/>
    <n v="1200"/>
    <n v="3000"/>
    <n v="3000"/>
    <n v="0"/>
  </r>
  <r>
    <x v="14"/>
    <d v="1899-12-30T19:07:56"/>
    <x v="0"/>
    <s v=" Chorizo con papa/arepa"/>
    <x v="2"/>
    <s v="A) Día hábil"/>
    <x v="2"/>
    <n v="3200"/>
    <n v="8000"/>
    <n v="8000"/>
    <n v="0"/>
  </r>
  <r>
    <x v="14"/>
    <d v="1899-12-30T19:18:56"/>
    <x v="0"/>
    <s v=" Chorizo con papa/arepa"/>
    <x v="2"/>
    <s v="A) Día hábil"/>
    <x v="2"/>
    <n v="3200"/>
    <n v="8000"/>
    <n v="8000"/>
    <n v="0"/>
  </r>
  <r>
    <x v="14"/>
    <d v="1899-12-30T19:26:43"/>
    <x v="0"/>
    <s v=" Chorizo con papa/arepa"/>
    <x v="2"/>
    <s v="A) Día hábil"/>
    <x v="2"/>
    <n v="3200"/>
    <n v="8000"/>
    <n v="8000"/>
    <n v="0"/>
  </r>
  <r>
    <x v="14"/>
    <d v="1899-12-30T19:26:43"/>
    <x v="0"/>
    <s v="BEBIDA - Coca Cola"/>
    <x v="2"/>
    <s v="A) Día hábil"/>
    <x v="2"/>
    <n v="1200"/>
    <n v="3000"/>
    <n v="3000"/>
    <n v="0"/>
  </r>
  <r>
    <x v="14"/>
    <d v="1899-12-30T19:34:48"/>
    <x v="0"/>
    <s v=" Chorizo con papa/arepa"/>
    <x v="2"/>
    <s v="A) Día hábil"/>
    <x v="2"/>
    <n v="6400"/>
    <n v="16000"/>
    <n v="16000"/>
    <n v="0"/>
  </r>
  <r>
    <x v="14"/>
    <d v="1899-12-30T19:34:48"/>
    <x v="0"/>
    <s v="BEBIDA - Postobón"/>
    <x v="2"/>
    <s v="A) Día hábil"/>
    <x v="2"/>
    <n v="2400"/>
    <n v="6000"/>
    <n v="6000"/>
    <n v="0"/>
  </r>
  <r>
    <x v="14"/>
    <d v="1899-12-30T19:37:50"/>
    <x v="0"/>
    <s v=" Chorizo con papa/arepa"/>
    <x v="2"/>
    <s v="A) Día hábil"/>
    <x v="2"/>
    <n v="3200"/>
    <n v="8000"/>
    <n v="8000"/>
    <n v="0"/>
  </r>
  <r>
    <x v="14"/>
    <d v="1899-12-30T19:46:28"/>
    <x v="0"/>
    <s v=" Chorizo con papa/arepa"/>
    <x v="2"/>
    <s v="A) Día hábil"/>
    <x v="2"/>
    <n v="3200"/>
    <n v="8000"/>
    <n v="0"/>
    <n v="8000"/>
  </r>
  <r>
    <x v="14"/>
    <d v="1899-12-30T19:46:28"/>
    <x v="0"/>
    <s v="BEBIDA - Coca Cola"/>
    <x v="2"/>
    <s v="A) Día hábil"/>
    <x v="2"/>
    <n v="1200"/>
    <n v="3000"/>
    <n v="0"/>
    <n v="3000"/>
  </r>
  <r>
    <x v="14"/>
    <d v="1899-12-30T20:22:41"/>
    <x v="0"/>
    <s v=" Chorizo con papa/arepa"/>
    <x v="2"/>
    <s v="A) Día hábil"/>
    <x v="2"/>
    <n v="3200"/>
    <n v="8000"/>
    <n v="8000"/>
    <n v="0"/>
  </r>
  <r>
    <x v="15"/>
    <d v="1899-12-30T14:49:19"/>
    <x v="0"/>
    <s v=" Chorizo con papa/arepa"/>
    <x v="2"/>
    <s v="A) Día hábil"/>
    <x v="3"/>
    <n v="3200"/>
    <n v="8000"/>
    <n v="0"/>
    <n v="8000"/>
  </r>
  <r>
    <x v="15"/>
    <d v="1899-12-30T14:49:19"/>
    <x v="0"/>
    <s v="Bandeja Choriboni - 35"/>
    <x v="2"/>
    <s v="A) Día hábil"/>
    <x v="3"/>
    <n v="14000"/>
    <n v="35000"/>
    <n v="0"/>
    <n v="35000"/>
  </r>
  <r>
    <x v="15"/>
    <d v="1899-12-30T14:49:19"/>
    <x v="0"/>
    <s v="BEBIDA - Coca Cola"/>
    <x v="2"/>
    <s v="A) Día hábil"/>
    <x v="3"/>
    <n v="1200"/>
    <n v="3000"/>
    <n v="0"/>
    <n v="3000"/>
  </r>
  <r>
    <x v="15"/>
    <d v="1899-12-30T14:49:19"/>
    <x v="0"/>
    <s v="BEBIDA - Postobón"/>
    <x v="2"/>
    <s v="A) Día hábil"/>
    <x v="3"/>
    <n v="3600"/>
    <n v="9000"/>
    <n v="0"/>
    <n v="9000"/>
  </r>
  <r>
    <x v="15"/>
    <d v="1899-12-30T14:49:19"/>
    <x v="0"/>
    <s v="Ham. Doble combo - ELIMINAR"/>
    <x v="2"/>
    <s v="A) Día hábil"/>
    <x v="3"/>
    <n v="10800"/>
    <n v="27000"/>
    <n v="0"/>
    <n v="27000"/>
  </r>
  <r>
    <x v="15"/>
    <d v="1899-12-30T16:23:41"/>
    <x v="0"/>
    <s v=" Chorizo con papa/arepa"/>
    <x v="2"/>
    <s v="A) Día hábil"/>
    <x v="3"/>
    <n v="9600"/>
    <n v="24000"/>
    <n v="0"/>
    <n v="24000"/>
  </r>
  <r>
    <x v="15"/>
    <d v="1899-12-30T17:35:08"/>
    <x v="0"/>
    <s v=" Chorizo con papa/arepa"/>
    <x v="2"/>
    <s v="A) Día hábil"/>
    <x v="3"/>
    <n v="3200"/>
    <n v="8000"/>
    <n v="8000"/>
    <n v="0"/>
  </r>
  <r>
    <x v="15"/>
    <d v="1899-12-30T17:36:48"/>
    <x v="0"/>
    <s v=" Chorizo con papa/arepa"/>
    <x v="2"/>
    <s v="A) Día hábil"/>
    <x v="3"/>
    <n v="3200"/>
    <n v="8000"/>
    <n v="0"/>
    <n v="8000"/>
  </r>
  <r>
    <x v="15"/>
    <d v="1899-12-30T17:36:48"/>
    <x v="0"/>
    <s v="BEBIDA - Coca Cola"/>
    <x v="2"/>
    <s v="A) Día hábil"/>
    <x v="3"/>
    <n v="1200"/>
    <n v="3000"/>
    <n v="0"/>
    <n v="3000"/>
  </r>
  <r>
    <x v="15"/>
    <d v="1899-12-30T17:37:24"/>
    <x v="0"/>
    <s v=" Chorizo con papa/arepa"/>
    <x v="2"/>
    <s v="A) Día hábil"/>
    <x v="3"/>
    <n v="9600"/>
    <n v="24000"/>
    <n v="24000"/>
    <n v="0"/>
  </r>
  <r>
    <x v="15"/>
    <d v="1899-12-30T17:54:23"/>
    <x v="0"/>
    <s v=" Chorizo con papa/arepa"/>
    <x v="2"/>
    <s v="A) Día hábil"/>
    <x v="3"/>
    <n v="9600"/>
    <n v="24000"/>
    <n v="24000"/>
    <n v="0"/>
  </r>
  <r>
    <x v="15"/>
    <d v="1899-12-30T17:54:23"/>
    <x v="0"/>
    <s v="BEBIDA - Coca Cola"/>
    <x v="2"/>
    <s v="A) Día hábil"/>
    <x v="3"/>
    <n v="1200"/>
    <n v="3000"/>
    <n v="3000"/>
    <n v="0"/>
  </r>
  <r>
    <x v="15"/>
    <d v="1899-12-30T18:09:56"/>
    <x v="0"/>
    <s v=" Chorizo con papa/arepa"/>
    <x v="2"/>
    <s v="A) Día hábil"/>
    <x v="3"/>
    <n v="3200"/>
    <n v="8000"/>
    <n v="8000"/>
    <n v="0"/>
  </r>
  <r>
    <x v="15"/>
    <d v="1899-12-30T18:56:08"/>
    <x v="0"/>
    <s v=" Chorizo con papa/arepa"/>
    <x v="2"/>
    <s v="A) Día hábil"/>
    <x v="3"/>
    <n v="9600"/>
    <n v="24000"/>
    <n v="0"/>
    <n v="24000"/>
  </r>
  <r>
    <x v="15"/>
    <d v="1899-12-30T19:15:09"/>
    <x v="0"/>
    <s v=" Chorizo con papa/arepa"/>
    <x v="2"/>
    <s v="A) Día hábil"/>
    <x v="3"/>
    <n v="3200"/>
    <n v="8000"/>
    <n v="0"/>
    <n v="8000"/>
  </r>
  <r>
    <x v="15"/>
    <d v="1899-12-30T19:15:09"/>
    <x v="0"/>
    <s v="BEBIDA - Coca Cola"/>
    <x v="2"/>
    <s v="A) Día hábil"/>
    <x v="3"/>
    <n v="1200"/>
    <n v="3000"/>
    <n v="0"/>
    <n v="3000"/>
  </r>
  <r>
    <x v="15"/>
    <d v="1899-12-30T19:39:28"/>
    <x v="0"/>
    <s v=" Chorizo con papa/arepa"/>
    <x v="2"/>
    <s v="A) Día hábil"/>
    <x v="3"/>
    <n v="9600"/>
    <n v="24000"/>
    <n v="0"/>
    <n v="24000"/>
  </r>
  <r>
    <x v="16"/>
    <d v="1899-12-30T23:08:38"/>
    <x v="0"/>
    <s v=" Chorizo con papa/arepa"/>
    <x v="2"/>
    <s v="B) Viernes"/>
    <x v="4"/>
    <n v="3200"/>
    <n v="8000"/>
    <n v="8000"/>
    <n v="0"/>
  </r>
  <r>
    <x v="16"/>
    <d v="1899-12-30T23:09:21"/>
    <x v="0"/>
    <s v=" Chorizo con papa/arepa"/>
    <x v="2"/>
    <s v="B) Viernes"/>
    <x v="4"/>
    <n v="6400"/>
    <n v="16000"/>
    <n v="16000"/>
    <n v="0"/>
  </r>
  <r>
    <x v="16"/>
    <d v="1899-12-30T23:09:21"/>
    <x v="0"/>
    <s v="BEBIDA - Coca Cola"/>
    <x v="2"/>
    <s v="B) Viernes"/>
    <x v="4"/>
    <n v="2400"/>
    <n v="6000"/>
    <n v="6000"/>
    <n v="0"/>
  </r>
  <r>
    <x v="16"/>
    <d v="1899-12-30T23:09:41"/>
    <x v="0"/>
    <s v="z. MP -  Chorizo CRUDO"/>
    <x v="2"/>
    <s v="B) Viernes"/>
    <x v="4"/>
    <n v="5400"/>
    <n v="13500"/>
    <n v="13500"/>
    <n v="0"/>
  </r>
  <r>
    <x v="16"/>
    <d v="1899-12-30T23:10:35"/>
    <x v="0"/>
    <s v=" Chorizo con papa/arepa"/>
    <x v="2"/>
    <s v="B) Viernes"/>
    <x v="4"/>
    <n v="9600"/>
    <n v="24000"/>
    <n v="24000"/>
    <n v="0"/>
  </r>
  <r>
    <x v="16"/>
    <d v="1899-12-30T23:10:35"/>
    <x v="0"/>
    <s v="BEBIDA - Coca Cola"/>
    <x v="2"/>
    <s v="B) Viernes"/>
    <x v="4"/>
    <n v="3600"/>
    <n v="9000"/>
    <n v="9000"/>
    <n v="0"/>
  </r>
  <r>
    <x v="16"/>
    <d v="1899-12-30T23:10:55"/>
    <x v="0"/>
    <s v="z. MP -  Chorizo CRUDO"/>
    <x v="2"/>
    <s v="B) Viernes"/>
    <x v="4"/>
    <n v="7200"/>
    <n v="18000"/>
    <n v="18000"/>
    <n v="0"/>
  </r>
  <r>
    <x v="16"/>
    <d v="1899-12-30T23:11:15"/>
    <x v="0"/>
    <s v=" Chorizo con papa/arepa"/>
    <x v="2"/>
    <s v="B) Viernes"/>
    <x v="4"/>
    <n v="3200"/>
    <n v="8000"/>
    <n v="8000"/>
    <n v="0"/>
  </r>
  <r>
    <x v="16"/>
    <d v="1899-12-30T23:11:29"/>
    <x v="0"/>
    <s v="Parrillada de 30"/>
    <x v="2"/>
    <s v="B) Viernes"/>
    <x v="4"/>
    <n v="12000"/>
    <n v="30000"/>
    <n v="30000"/>
    <n v="0"/>
  </r>
  <r>
    <x v="17"/>
    <d v="1899-12-30T15:19:58"/>
    <x v="0"/>
    <s v=" Chorizo con papa/arepa"/>
    <x v="2"/>
    <s v="C) Sábado"/>
    <x v="5"/>
    <n v="6400"/>
    <n v="16000"/>
    <n v="16000"/>
    <n v="0"/>
  </r>
  <r>
    <x v="17"/>
    <d v="1899-12-30T15:19:58"/>
    <x v="0"/>
    <s v="BEBIDA - Coca Cola"/>
    <x v="2"/>
    <s v="C) Sábado"/>
    <x v="5"/>
    <n v="2400"/>
    <n v="6000"/>
    <n v="6000"/>
    <n v="0"/>
  </r>
  <r>
    <x v="17"/>
    <d v="1899-12-30T15:20:46"/>
    <x v="0"/>
    <s v=" Chorizo con papa/arepa"/>
    <x v="2"/>
    <s v="C) Sábado"/>
    <x v="5"/>
    <n v="3200"/>
    <n v="8000"/>
    <n v="8000"/>
    <n v="0"/>
  </r>
  <r>
    <x v="17"/>
    <d v="1899-12-30T15:20:46"/>
    <x v="0"/>
    <s v="BEBIDA - Coca Cola"/>
    <x v="2"/>
    <s v="C) Sábado"/>
    <x v="5"/>
    <n v="1200"/>
    <n v="3000"/>
    <n v="3000"/>
    <n v="0"/>
  </r>
  <r>
    <x v="17"/>
    <d v="1899-12-30T15:21:46"/>
    <x v="0"/>
    <s v="z. MP -  Chorizo CRUDO"/>
    <x v="2"/>
    <s v="C) Sábado"/>
    <x v="5"/>
    <n v="3600"/>
    <n v="9000"/>
    <n v="9000"/>
    <n v="0"/>
  </r>
  <r>
    <x v="17"/>
    <d v="1899-12-30T15:22:16"/>
    <x v="0"/>
    <s v=" Chorizo con papa/arepa"/>
    <x v="2"/>
    <s v="C) Sábado"/>
    <x v="5"/>
    <n v="6400"/>
    <n v="16000"/>
    <n v="16000"/>
    <n v="0"/>
  </r>
  <r>
    <x v="17"/>
    <d v="1899-12-30T15:22:16"/>
    <x v="0"/>
    <s v="BEBIDA - Coca Cola"/>
    <x v="2"/>
    <s v="C) Sábado"/>
    <x v="5"/>
    <n v="2400"/>
    <n v="6000"/>
    <n v="6000"/>
    <n v="0"/>
  </r>
  <r>
    <x v="17"/>
    <d v="1899-12-30T15:31:09"/>
    <x v="0"/>
    <s v=" Chorizo solo"/>
    <x v="2"/>
    <s v="C) Sábado"/>
    <x v="5"/>
    <n v="2800"/>
    <n v="7000"/>
    <n v="7000"/>
    <n v="0"/>
  </r>
  <r>
    <x v="17"/>
    <d v="1899-12-30T15:31:09"/>
    <x v="0"/>
    <s v="Bandeja Choriboni - 30"/>
    <x v="2"/>
    <s v="C) Sábado"/>
    <x v="5"/>
    <n v="12000"/>
    <n v="30000"/>
    <n v="30000"/>
    <n v="0"/>
  </r>
  <r>
    <x v="17"/>
    <d v="1899-12-30T15:34:52"/>
    <x v="0"/>
    <s v=" Chorizo con papa/arepa"/>
    <x v="2"/>
    <s v="C) Sábado"/>
    <x v="5"/>
    <n v="9600"/>
    <n v="24000"/>
    <n v="24000"/>
    <n v="0"/>
  </r>
  <r>
    <x v="17"/>
    <d v="1899-12-30T15:34:52"/>
    <x v="0"/>
    <s v="BEBIDA - Coca Cola"/>
    <x v="2"/>
    <s v="C) Sábado"/>
    <x v="5"/>
    <n v="1200"/>
    <n v="3000"/>
    <n v="3000"/>
    <n v="0"/>
  </r>
  <r>
    <x v="17"/>
    <d v="1899-12-30T15:34:52"/>
    <x v="0"/>
    <s v="CARNES - Media carne"/>
    <x v="2"/>
    <s v="C) Sábado"/>
    <x v="5"/>
    <n v="6000"/>
    <n v="15000"/>
    <n v="15000"/>
    <n v="0"/>
  </r>
  <r>
    <x v="17"/>
    <d v="1899-12-30T15:54:01"/>
    <x v="0"/>
    <s v="CARNES - Carne asada 23"/>
    <x v="2"/>
    <s v="C) Sábado"/>
    <x v="5"/>
    <n v="9200"/>
    <n v="23000"/>
    <n v="0"/>
    <n v="23000"/>
  </r>
  <r>
    <x v="17"/>
    <d v="1899-12-30T16:04:06"/>
    <x v="0"/>
    <s v=" Chorizo con papa/arepa"/>
    <x v="2"/>
    <s v="C) Sábado"/>
    <x v="5"/>
    <n v="3200"/>
    <n v="8000"/>
    <n v="0"/>
    <n v="8000"/>
  </r>
  <r>
    <x v="17"/>
    <d v="1899-12-30T16:04:06"/>
    <x v="0"/>
    <s v="BEBIDA - Coca Cola"/>
    <x v="2"/>
    <s v="C) Sábado"/>
    <x v="5"/>
    <n v="1200"/>
    <n v="3000"/>
    <n v="0"/>
    <n v="3000"/>
  </r>
  <r>
    <x v="17"/>
    <d v="1899-12-30T16:15:45"/>
    <x v="0"/>
    <s v="CARNES  - Carne asada  - 20"/>
    <x v="2"/>
    <s v="C) Sábado"/>
    <x v="5"/>
    <n v="8000"/>
    <n v="20000"/>
    <n v="20000"/>
    <n v="0"/>
  </r>
  <r>
    <x v="17"/>
    <d v="1899-12-30T16:27:11"/>
    <x v="0"/>
    <s v=" Chorizo con papa/arepa"/>
    <x v="2"/>
    <s v="C) Sábado"/>
    <x v="5"/>
    <n v="9600"/>
    <n v="24000"/>
    <n v="24000"/>
    <n v="0"/>
  </r>
  <r>
    <x v="17"/>
    <d v="1899-12-30T16:27:11"/>
    <x v="0"/>
    <s v=" Chorizo solo"/>
    <x v="2"/>
    <s v="C) Sábado"/>
    <x v="5"/>
    <n v="2800"/>
    <n v="7000"/>
    <n v="7000"/>
    <n v="0"/>
  </r>
  <r>
    <x v="17"/>
    <d v="1899-12-30T16:27:11"/>
    <x v="0"/>
    <s v="BEBIDA - Coca Cola"/>
    <x v="2"/>
    <s v="C) Sábado"/>
    <x v="5"/>
    <n v="3600"/>
    <n v="9000"/>
    <n v="9000"/>
    <n v="0"/>
  </r>
  <r>
    <x v="17"/>
    <d v="1899-12-30T16:27:11"/>
    <x v="0"/>
    <s v="Parrillada de 60"/>
    <x v="2"/>
    <s v="C) Sábado"/>
    <x v="5"/>
    <n v="24000"/>
    <n v="60000"/>
    <n v="60000"/>
    <n v="0"/>
  </r>
  <r>
    <x v="17"/>
    <d v="1899-12-30T16:56:50"/>
    <x v="0"/>
    <s v="BEBIDA - Botella de Agua"/>
    <x v="2"/>
    <s v="C) Sábado"/>
    <x v="5"/>
    <n v="1400"/>
    <n v="3500"/>
    <n v="0"/>
    <n v="3500"/>
  </r>
  <r>
    <x v="17"/>
    <d v="1899-12-30T16:56:50"/>
    <x v="0"/>
    <s v="BEBIDA - Coca Cola"/>
    <x v="2"/>
    <s v="C) Sábado"/>
    <x v="5"/>
    <n v="1200"/>
    <n v="3000"/>
    <n v="0"/>
    <n v="3000"/>
  </r>
  <r>
    <x v="17"/>
    <d v="1899-12-30T16:56:50"/>
    <x v="0"/>
    <s v="BEBIDA - Jugo Hit"/>
    <x v="2"/>
    <s v="C) Sábado"/>
    <x v="5"/>
    <n v="1800"/>
    <n v="4500"/>
    <n v="0"/>
    <n v="4500"/>
  </r>
  <r>
    <x v="17"/>
    <d v="1899-12-30T16:56:50"/>
    <x v="0"/>
    <s v="Ham. sencilla"/>
    <x v="2"/>
    <s v="C) Sábado"/>
    <x v="5"/>
    <n v="6800"/>
    <n v="17000"/>
    <n v="0"/>
    <n v="17000"/>
  </r>
  <r>
    <x v="17"/>
    <d v="1899-12-30T16:56:50"/>
    <x v="0"/>
    <s v="Parrillada de 35"/>
    <x v="2"/>
    <s v="C) Sábado"/>
    <x v="5"/>
    <n v="14000"/>
    <n v="35000"/>
    <n v="0"/>
    <n v="35000"/>
  </r>
  <r>
    <x v="17"/>
    <d v="1899-12-30T16:57:19"/>
    <x v="0"/>
    <s v=" Chorizo con papa/arepa"/>
    <x v="2"/>
    <s v="C) Sábado"/>
    <x v="5"/>
    <n v="3200"/>
    <n v="8000"/>
    <n v="0"/>
    <n v="8000"/>
  </r>
  <r>
    <x v="17"/>
    <d v="1899-12-30T16:57:19"/>
    <x v="0"/>
    <s v="BEBIDA - Coca Cola"/>
    <x v="2"/>
    <s v="C) Sábado"/>
    <x v="5"/>
    <n v="1200"/>
    <n v="3000"/>
    <n v="0"/>
    <n v="3000"/>
  </r>
  <r>
    <x v="17"/>
    <d v="1899-12-30T19:42:19"/>
    <x v="0"/>
    <s v="BEBIDA - Aguila"/>
    <x v="2"/>
    <s v="C) Sábado"/>
    <x v="5"/>
    <n v="5400"/>
    <n v="13500"/>
    <n v="0"/>
    <n v="13500"/>
  </r>
  <r>
    <x v="17"/>
    <d v="1899-12-30T19:46:09"/>
    <x v="0"/>
    <s v=" Chorizo con papa/arepa"/>
    <x v="2"/>
    <s v="C) Sábado"/>
    <x v="5"/>
    <n v="3200"/>
    <n v="8000"/>
    <n v="8000"/>
    <n v="0"/>
  </r>
  <r>
    <x v="18"/>
    <d v="1899-12-30T13:53:41"/>
    <x v="0"/>
    <s v=" Chorizo con papa/arepa"/>
    <x v="2"/>
    <s v="D) Domingo"/>
    <x v="6"/>
    <n v="6400"/>
    <n v="16000"/>
    <n v="16000"/>
    <n v="0"/>
  </r>
  <r>
    <x v="18"/>
    <d v="1899-12-30T14:20:17"/>
    <x v="0"/>
    <s v=" Chorizo con papa/arepa"/>
    <x v="2"/>
    <s v="D) Domingo"/>
    <x v="6"/>
    <n v="3200"/>
    <n v="8000"/>
    <n v="8000"/>
    <n v="0"/>
  </r>
  <r>
    <x v="18"/>
    <d v="1899-12-30T14:20:17"/>
    <x v="0"/>
    <s v="BEBIDA - Coca Cola"/>
    <x v="2"/>
    <s v="D) Domingo"/>
    <x v="6"/>
    <n v="1200"/>
    <n v="3000"/>
    <n v="3000"/>
    <n v="0"/>
  </r>
  <r>
    <x v="18"/>
    <d v="1899-12-30T14:50:55"/>
    <x v="0"/>
    <s v="BEBIDA - Aguila"/>
    <x v="2"/>
    <s v="D) Domingo"/>
    <x v="6"/>
    <n v="3600"/>
    <n v="9000"/>
    <n v="9000"/>
    <n v="0"/>
  </r>
  <r>
    <x v="18"/>
    <d v="1899-12-30T15:32:58"/>
    <x v="0"/>
    <s v=" Chorizo con papa/arepa"/>
    <x v="2"/>
    <s v="D) Domingo"/>
    <x v="6"/>
    <n v="3200"/>
    <n v="8000"/>
    <n v="8000"/>
    <n v="0"/>
  </r>
  <r>
    <x v="18"/>
    <d v="1899-12-30T15:32:58"/>
    <x v="0"/>
    <s v="BEBIDA - Coca Cola"/>
    <x v="2"/>
    <s v="D) Domingo"/>
    <x v="6"/>
    <n v="1200"/>
    <n v="3000"/>
    <n v="3000"/>
    <n v="0"/>
  </r>
  <r>
    <x v="18"/>
    <d v="1899-12-30T15:33:17"/>
    <x v="0"/>
    <s v=" Chorizo con papa/arepa"/>
    <x v="2"/>
    <s v="D) Domingo"/>
    <x v="6"/>
    <n v="6400"/>
    <n v="16000"/>
    <n v="0"/>
    <n v="16000"/>
  </r>
  <r>
    <x v="18"/>
    <d v="1899-12-30T15:33:17"/>
    <x v="0"/>
    <s v="BEBIDA - Coca Cola"/>
    <x v="2"/>
    <s v="D) Domingo"/>
    <x v="6"/>
    <n v="1200"/>
    <n v="3000"/>
    <n v="0"/>
    <n v="3000"/>
  </r>
  <r>
    <x v="18"/>
    <d v="1899-12-30T15:44:21"/>
    <x v="0"/>
    <s v=" Chorizo con papa/arepa"/>
    <x v="2"/>
    <s v="D) Domingo"/>
    <x v="6"/>
    <n v="6400"/>
    <n v="16000"/>
    <n v="16000"/>
    <n v="0"/>
  </r>
  <r>
    <x v="18"/>
    <d v="1899-12-30T15:44:21"/>
    <x v="0"/>
    <s v="BEBIDA - Coca Cola"/>
    <x v="2"/>
    <s v="D) Domingo"/>
    <x v="6"/>
    <n v="1200"/>
    <n v="3000"/>
    <n v="3000"/>
    <n v="0"/>
  </r>
  <r>
    <x v="18"/>
    <d v="1899-12-30T17:18:22"/>
    <x v="0"/>
    <s v="BEBIDA - Coca Cola"/>
    <x v="2"/>
    <s v="D) Domingo"/>
    <x v="6"/>
    <n v="1200"/>
    <n v="3000"/>
    <n v="3000"/>
    <n v="0"/>
  </r>
  <r>
    <x v="18"/>
    <d v="1899-12-30T17:18:22"/>
    <x v="0"/>
    <s v="CARNES - Mojarra"/>
    <x v="2"/>
    <s v="D) Domingo"/>
    <x v="6"/>
    <n v="12000"/>
    <n v="30000"/>
    <n v="30000"/>
    <n v="0"/>
  </r>
  <r>
    <x v="19"/>
    <d v="1899-12-30T16:00:58"/>
    <x v="0"/>
    <s v=" Chorizo con papa/arepa"/>
    <x v="3"/>
    <s v="A) Día hábil"/>
    <x v="0"/>
    <n v="9600"/>
    <n v="24000"/>
    <n v="24000"/>
    <n v="0"/>
  </r>
  <r>
    <x v="19"/>
    <d v="1899-12-30T16:24:53"/>
    <x v="0"/>
    <s v=" Chorizo con papa/arepa"/>
    <x v="3"/>
    <s v="A) Día hábil"/>
    <x v="0"/>
    <n v="3200"/>
    <n v="8000"/>
    <n v="8000"/>
    <n v="0"/>
  </r>
  <r>
    <x v="19"/>
    <d v="1899-12-30T16:24:53"/>
    <x v="0"/>
    <s v="BEBIDA - Coca Cola"/>
    <x v="3"/>
    <s v="A) Día hábil"/>
    <x v="0"/>
    <n v="1200"/>
    <n v="3000"/>
    <n v="3000"/>
    <n v="0"/>
  </r>
  <r>
    <x v="19"/>
    <d v="1899-12-30T16:26:15"/>
    <x v="0"/>
    <s v=" Chorizo con papa/arepa"/>
    <x v="3"/>
    <s v="A) Día hábil"/>
    <x v="0"/>
    <n v="3200"/>
    <n v="8000"/>
    <n v="0"/>
    <n v="8000"/>
  </r>
  <r>
    <x v="19"/>
    <d v="1899-12-30T16:26:15"/>
    <x v="0"/>
    <s v="BEBIDA - Coca Cola"/>
    <x v="3"/>
    <s v="A) Día hábil"/>
    <x v="0"/>
    <n v="1200"/>
    <n v="3000"/>
    <n v="0"/>
    <n v="3000"/>
  </r>
  <r>
    <x v="19"/>
    <d v="1899-12-30T17:26:46"/>
    <x v="0"/>
    <s v=" Chorizo con papa/arepa"/>
    <x v="3"/>
    <s v="A) Día hábil"/>
    <x v="0"/>
    <n v="3200"/>
    <n v="8000"/>
    <n v="8000"/>
    <n v="0"/>
  </r>
  <r>
    <x v="19"/>
    <d v="1899-12-30T17:26:46"/>
    <x v="0"/>
    <s v="BEBIDA - Coca Cola"/>
    <x v="3"/>
    <s v="A) Día hábil"/>
    <x v="0"/>
    <n v="1200"/>
    <n v="3000"/>
    <n v="3000"/>
    <n v="0"/>
  </r>
  <r>
    <x v="19"/>
    <d v="1899-12-30T18:27:25"/>
    <x v="0"/>
    <s v=" Chorizo con papa/arepa"/>
    <x v="3"/>
    <s v="A) Día hábil"/>
    <x v="0"/>
    <n v="19200"/>
    <n v="48000"/>
    <n v="48000"/>
    <n v="0"/>
  </r>
  <r>
    <x v="19"/>
    <d v="1899-12-30T18:27:25"/>
    <x v="0"/>
    <s v="BEBIDA - Coca Cola"/>
    <x v="3"/>
    <s v="A) Día hábil"/>
    <x v="0"/>
    <n v="3600"/>
    <n v="9000"/>
    <n v="9000"/>
    <n v="0"/>
  </r>
  <r>
    <x v="19"/>
    <d v="1899-12-30T18:28:49"/>
    <x v="0"/>
    <s v=" Chorizo solo"/>
    <x v="3"/>
    <s v="A) Día hábil"/>
    <x v="0"/>
    <n v="2800"/>
    <n v="7000"/>
    <n v="0"/>
    <n v="7000"/>
  </r>
  <r>
    <x v="19"/>
    <d v="1899-12-30T18:28:49"/>
    <x v="0"/>
    <s v="BEBIDA - Coca Cola"/>
    <x v="3"/>
    <s v="A) Día hábil"/>
    <x v="0"/>
    <n v="1200"/>
    <n v="3000"/>
    <n v="0"/>
    <n v="3000"/>
  </r>
  <r>
    <x v="20"/>
    <d v="1899-12-30T10:40:32"/>
    <x v="0"/>
    <s v=" Chorizo con papa/arepa"/>
    <x v="3"/>
    <s v="A) Día hábil"/>
    <x v="1"/>
    <n v="12800"/>
    <n v="32000"/>
    <n v="0"/>
    <n v="32000"/>
  </r>
  <r>
    <x v="20"/>
    <d v="1899-12-30T14:48:21"/>
    <x v="0"/>
    <s v=" Chorizo con papa/arepa"/>
    <x v="3"/>
    <s v="A) Día hábil"/>
    <x v="1"/>
    <n v="9600"/>
    <n v="24000"/>
    <n v="24000"/>
    <n v="0"/>
  </r>
  <r>
    <x v="20"/>
    <d v="1899-12-30T14:48:21"/>
    <x v="0"/>
    <s v="BEBIDA - Postobón"/>
    <x v="3"/>
    <s v="A) Día hábil"/>
    <x v="1"/>
    <n v="1200"/>
    <n v="3000"/>
    <n v="3000"/>
    <n v="0"/>
  </r>
  <r>
    <x v="20"/>
    <d v="1899-12-30T14:48:21"/>
    <x v="0"/>
    <s v="z. MP -  Chorizo CRUDO"/>
    <x v="3"/>
    <s v="A) Día hábil"/>
    <x v="1"/>
    <n v="5400"/>
    <n v="13500"/>
    <n v="13500"/>
    <n v="0"/>
  </r>
  <r>
    <x v="20"/>
    <d v="1899-12-30T15:06:16"/>
    <x v="0"/>
    <s v=" Chorizo con papa/arepa"/>
    <x v="3"/>
    <s v="A) Día hábil"/>
    <x v="1"/>
    <n v="6400"/>
    <n v="16000"/>
    <n v="16000"/>
    <n v="0"/>
  </r>
  <r>
    <x v="20"/>
    <d v="1899-12-30T15:36:10"/>
    <x v="0"/>
    <s v=" Chorizo con papa/arepa"/>
    <x v="3"/>
    <s v="A) Día hábil"/>
    <x v="1"/>
    <n v="3200"/>
    <n v="8000"/>
    <n v="0"/>
    <n v="8000"/>
  </r>
  <r>
    <x v="20"/>
    <d v="1899-12-30T15:36:10"/>
    <x v="0"/>
    <s v="BEBIDA - Coca Cola"/>
    <x v="3"/>
    <s v="A) Día hábil"/>
    <x v="1"/>
    <n v="1200"/>
    <n v="3000"/>
    <n v="0"/>
    <n v="3000"/>
  </r>
  <r>
    <x v="20"/>
    <d v="1899-12-30T15:36:10"/>
    <x v="0"/>
    <s v="BEBIDA - Jugo Hit"/>
    <x v="3"/>
    <s v="A) Día hábil"/>
    <x v="1"/>
    <n v="1800"/>
    <n v="4500"/>
    <n v="0"/>
    <n v="4500"/>
  </r>
  <r>
    <x v="20"/>
    <d v="1899-12-30T15:41:03"/>
    <x v="0"/>
    <s v="z. MP -  Chorizo CRUDO"/>
    <x v="3"/>
    <s v="A) Día hábil"/>
    <x v="1"/>
    <n v="3600"/>
    <n v="9000"/>
    <n v="9000"/>
    <n v="0"/>
  </r>
  <r>
    <x v="20"/>
    <d v="1899-12-30T16:30:53"/>
    <x v="0"/>
    <s v=" Chorizo con papa/arepa"/>
    <x v="3"/>
    <s v="A) Día hábil"/>
    <x v="1"/>
    <n v="6400"/>
    <n v="16000"/>
    <n v="16000"/>
    <n v="0"/>
  </r>
  <r>
    <x v="20"/>
    <d v="1899-12-30T17:26:31"/>
    <x v="0"/>
    <s v=" Chorizo con papa/arepa"/>
    <x v="3"/>
    <s v="A) Día hábil"/>
    <x v="1"/>
    <n v="3200"/>
    <n v="8000"/>
    <n v="0"/>
    <n v="8000"/>
  </r>
  <r>
    <x v="20"/>
    <d v="1899-12-30T17:26:31"/>
    <x v="0"/>
    <s v="BEBIDA - Coca Cola"/>
    <x v="3"/>
    <s v="A) Día hábil"/>
    <x v="1"/>
    <n v="1200"/>
    <n v="3000"/>
    <n v="0"/>
    <n v="3000"/>
  </r>
  <r>
    <x v="20"/>
    <d v="1899-12-30T17:33:20"/>
    <x v="0"/>
    <s v=" Chorizo con papa/arepa"/>
    <x v="3"/>
    <s v="A) Día hábil"/>
    <x v="1"/>
    <n v="6400"/>
    <n v="16000"/>
    <n v="16000"/>
    <n v="0"/>
  </r>
  <r>
    <x v="20"/>
    <d v="1899-12-30T17:33:20"/>
    <x v="0"/>
    <s v="BEBIDA - Postobón"/>
    <x v="3"/>
    <s v="A) Día hábil"/>
    <x v="1"/>
    <n v="2400"/>
    <n v="6000"/>
    <n v="6000"/>
    <n v="0"/>
  </r>
  <r>
    <x v="20"/>
    <d v="1899-12-30T17:50:32"/>
    <x v="0"/>
    <s v="z. MP -  Chorizo CRUDO"/>
    <x v="3"/>
    <s v="A) Día hábil"/>
    <x v="1"/>
    <n v="21600"/>
    <n v="54000"/>
    <n v="0"/>
    <n v="54000"/>
  </r>
  <r>
    <x v="20"/>
    <d v="1899-12-30T17:51:43"/>
    <x v="0"/>
    <s v=" Chorizo con papa/arepa"/>
    <x v="3"/>
    <s v="A) Día hábil"/>
    <x v="1"/>
    <n v="3200"/>
    <n v="8000"/>
    <n v="0"/>
    <n v="8000"/>
  </r>
  <r>
    <x v="20"/>
    <d v="1899-12-30T17:59:00"/>
    <x v="0"/>
    <s v=" Chorizo con papa/arepa"/>
    <x v="3"/>
    <s v="A) Día hábil"/>
    <x v="1"/>
    <n v="3200"/>
    <n v="8000"/>
    <n v="8000"/>
    <n v="0"/>
  </r>
  <r>
    <x v="20"/>
    <d v="1899-12-30T17:59:12"/>
    <x v="0"/>
    <s v=" Chorizo con papa/arepa"/>
    <x v="3"/>
    <s v="A) Día hábil"/>
    <x v="1"/>
    <n v="3200"/>
    <n v="8000"/>
    <n v="8000"/>
    <n v="0"/>
  </r>
  <r>
    <x v="20"/>
    <d v="1899-12-30T17:59:36"/>
    <x v="0"/>
    <s v=" Chorizo con papa/arepa"/>
    <x v="3"/>
    <s v="A) Día hábil"/>
    <x v="1"/>
    <n v="3200"/>
    <n v="8000"/>
    <n v="0"/>
    <n v="8000"/>
  </r>
  <r>
    <x v="20"/>
    <d v="1899-12-30T18:04:13"/>
    <x v="0"/>
    <s v=" Chorizo solo"/>
    <x v="3"/>
    <s v="A) Día hábil"/>
    <x v="1"/>
    <n v="5600"/>
    <n v="14000"/>
    <n v="14000"/>
    <n v="0"/>
  </r>
  <r>
    <x v="20"/>
    <d v="1899-12-30T18:23:00"/>
    <x v="0"/>
    <s v=" Chorizo con papa/arepa"/>
    <x v="3"/>
    <s v="A) Día hábil"/>
    <x v="1"/>
    <n v="3200"/>
    <n v="8000"/>
    <n v="8000"/>
    <n v="0"/>
  </r>
  <r>
    <x v="20"/>
    <d v="1899-12-30T18:23:00"/>
    <x v="0"/>
    <s v="BEBIDA - Coca Cola"/>
    <x v="3"/>
    <s v="A) Día hábil"/>
    <x v="1"/>
    <n v="1200"/>
    <n v="3000"/>
    <n v="3000"/>
    <n v="0"/>
  </r>
  <r>
    <x v="20"/>
    <d v="1899-12-30T18:23:45"/>
    <x v="0"/>
    <s v=" Chorizo con papa/arepa"/>
    <x v="3"/>
    <s v="A) Día hábil"/>
    <x v="1"/>
    <n v="6400"/>
    <n v="16000"/>
    <n v="16000"/>
    <n v="0"/>
  </r>
  <r>
    <x v="20"/>
    <d v="1899-12-30T18:25:17"/>
    <x v="0"/>
    <s v="z. MP -  Chorizo CRUDO"/>
    <x v="3"/>
    <s v="A) Día hábil"/>
    <x v="1"/>
    <n v="3600"/>
    <n v="9000"/>
    <n v="0"/>
    <n v="9000"/>
  </r>
  <r>
    <x v="20"/>
    <d v="1899-12-30T19:24:35"/>
    <x v="0"/>
    <s v=" Chorizo con papa/arepa"/>
    <x v="3"/>
    <s v="A) Día hábil"/>
    <x v="1"/>
    <n v="6400"/>
    <n v="16000"/>
    <n v="16000"/>
    <n v="0"/>
  </r>
  <r>
    <x v="21"/>
    <d v="1899-12-30T16:34:49"/>
    <x v="0"/>
    <s v=" Chorizo con papa/arepa"/>
    <x v="3"/>
    <s v="A) Día hábil"/>
    <x v="2"/>
    <n v="12800"/>
    <n v="32000"/>
    <n v="0"/>
    <n v="32000"/>
  </r>
  <r>
    <x v="21"/>
    <d v="1899-12-30T16:34:49"/>
    <x v="0"/>
    <s v="BEBIDA - Coca Cola"/>
    <x v="3"/>
    <s v="A) Día hábil"/>
    <x v="2"/>
    <n v="2400"/>
    <n v="6000"/>
    <n v="0"/>
    <n v="6000"/>
  </r>
  <r>
    <x v="21"/>
    <d v="1899-12-30T16:43:21"/>
    <x v="0"/>
    <s v=" Chorizo con papa/arepa"/>
    <x v="3"/>
    <s v="A) Día hábil"/>
    <x v="2"/>
    <n v="6400"/>
    <n v="16000"/>
    <n v="16000"/>
    <n v="0"/>
  </r>
  <r>
    <x v="21"/>
    <d v="1899-12-30T17:17:23"/>
    <x v="0"/>
    <s v=" Chorizo con papa/arepa"/>
    <x v="3"/>
    <s v="A) Día hábil"/>
    <x v="2"/>
    <n v="6400"/>
    <n v="16000"/>
    <n v="0"/>
    <n v="16000"/>
  </r>
  <r>
    <x v="21"/>
    <d v="1899-12-30T17:32:32"/>
    <x v="0"/>
    <s v=" Chorizo con papa/arepa"/>
    <x v="3"/>
    <s v="A) Día hábil"/>
    <x v="2"/>
    <n v="3200"/>
    <n v="8000"/>
    <n v="0"/>
    <n v="8000"/>
  </r>
  <r>
    <x v="21"/>
    <d v="1899-12-30T17:32:42"/>
    <x v="0"/>
    <s v=" Chorizo con papa/arepa"/>
    <x v="3"/>
    <s v="A) Día hábil"/>
    <x v="2"/>
    <n v="3200"/>
    <n v="8000"/>
    <n v="8000"/>
    <n v="0"/>
  </r>
  <r>
    <x v="21"/>
    <d v="1899-12-30T17:58:49"/>
    <x v="0"/>
    <s v=" Chorizo con papa/arepa"/>
    <x v="3"/>
    <s v="A) Día hábil"/>
    <x v="2"/>
    <n v="6400"/>
    <n v="16000"/>
    <n v="16000"/>
    <n v="0"/>
  </r>
  <r>
    <x v="21"/>
    <d v="1899-12-30T17:58:49"/>
    <x v="0"/>
    <s v="BEBIDA - Coca Cola"/>
    <x v="3"/>
    <s v="A) Día hábil"/>
    <x v="2"/>
    <n v="2400"/>
    <n v="6000"/>
    <n v="6000"/>
    <n v="0"/>
  </r>
  <r>
    <x v="21"/>
    <d v="1899-12-30T18:25:38"/>
    <x v="0"/>
    <s v=" Chorizo con papa/arepa"/>
    <x v="3"/>
    <s v="A) Día hábil"/>
    <x v="2"/>
    <n v="3200"/>
    <n v="8000"/>
    <n v="8000"/>
    <n v="0"/>
  </r>
  <r>
    <x v="21"/>
    <d v="1899-12-30T18:27:14"/>
    <x v="0"/>
    <s v="z. MP -  Chorizo CRUDO"/>
    <x v="3"/>
    <s v="A) Día hábil"/>
    <x v="2"/>
    <n v="3600"/>
    <n v="9000"/>
    <n v="0"/>
    <n v="9000"/>
  </r>
  <r>
    <x v="21"/>
    <d v="1899-12-30T18:58:18"/>
    <x v="0"/>
    <s v=" Chorizo con papa/arepa"/>
    <x v="3"/>
    <s v="A) Día hábil"/>
    <x v="2"/>
    <n v="3200"/>
    <n v="8000"/>
    <n v="8000"/>
    <n v="0"/>
  </r>
  <r>
    <x v="21"/>
    <d v="1899-12-30T19:07:17"/>
    <x v="0"/>
    <s v=" Chorizo con papa/arepa"/>
    <x v="3"/>
    <s v="A) Día hábil"/>
    <x v="2"/>
    <n v="3200"/>
    <n v="8000"/>
    <n v="8000"/>
    <n v="0"/>
  </r>
  <r>
    <x v="21"/>
    <d v="1899-12-30T19:48:28"/>
    <x v="0"/>
    <s v=" Chorizo con papa/arepa"/>
    <x v="3"/>
    <s v="A) Día hábil"/>
    <x v="2"/>
    <n v="3200"/>
    <n v="8000"/>
    <n v="8000"/>
    <n v="0"/>
  </r>
  <r>
    <x v="22"/>
    <d v="1899-12-30T14:12:22"/>
    <x v="0"/>
    <s v="chorixo solo"/>
    <x v="3"/>
    <s v="A) Día hábil"/>
    <x v="3"/>
    <n v="7000"/>
    <n v="17500"/>
    <n v="17500"/>
    <n v="0"/>
  </r>
  <r>
    <x v="22"/>
    <d v="1899-12-30T14:28:24"/>
    <x v="0"/>
    <s v=" Chorizo con papa/arepa"/>
    <x v="3"/>
    <s v="A) Día hábil"/>
    <x v="3"/>
    <n v="3200"/>
    <n v="8000"/>
    <n v="0"/>
    <n v="8000"/>
  </r>
  <r>
    <x v="22"/>
    <d v="1899-12-30T15:39:43"/>
    <x v="0"/>
    <s v="Bandeja Choriboni - 30"/>
    <x v="3"/>
    <s v="A) Día hábil"/>
    <x v="3"/>
    <n v="12000"/>
    <n v="30000"/>
    <n v="30000"/>
    <n v="0"/>
  </r>
  <r>
    <x v="22"/>
    <d v="1899-12-30T15:39:43"/>
    <x v="0"/>
    <s v="BEBIDA - Postobón"/>
    <x v="3"/>
    <s v="A) Día hábil"/>
    <x v="3"/>
    <n v="1200"/>
    <n v="3000"/>
    <n v="3000"/>
    <n v="0"/>
  </r>
  <r>
    <x v="22"/>
    <d v="1899-12-30T16:17:45"/>
    <x v="0"/>
    <s v=" Chorizo con papa/arepa"/>
    <x v="3"/>
    <s v="A) Día hábil"/>
    <x v="3"/>
    <n v="6400"/>
    <n v="16000"/>
    <n v="0"/>
    <n v="16000"/>
  </r>
  <r>
    <x v="22"/>
    <d v="1899-12-30T16:17:45"/>
    <x v="0"/>
    <s v="BEBIDA - Coca Cola"/>
    <x v="3"/>
    <s v="A) Día hábil"/>
    <x v="3"/>
    <n v="2400"/>
    <n v="6000"/>
    <n v="0"/>
    <n v="6000"/>
  </r>
  <r>
    <x v="22"/>
    <d v="1899-12-30T16:52:22"/>
    <x v="0"/>
    <s v=" Chorizo con papa/arepa"/>
    <x v="3"/>
    <s v="A) Día hábil"/>
    <x v="3"/>
    <n v="9600"/>
    <n v="24000"/>
    <n v="0"/>
    <n v="24000"/>
  </r>
  <r>
    <x v="22"/>
    <d v="1899-12-30T16:52:22"/>
    <x v="0"/>
    <s v="BEBIDA - Coca Cola"/>
    <x v="3"/>
    <s v="A) Día hábil"/>
    <x v="3"/>
    <n v="2400"/>
    <n v="6000"/>
    <n v="0"/>
    <n v="6000"/>
  </r>
  <r>
    <x v="22"/>
    <d v="1899-12-30T17:15:52"/>
    <x v="0"/>
    <s v=" Chorizo con papa/arepa"/>
    <x v="3"/>
    <s v="A) Día hábil"/>
    <x v="3"/>
    <n v="6400"/>
    <n v="16000"/>
    <n v="0"/>
    <n v="16000"/>
  </r>
  <r>
    <x v="22"/>
    <d v="1899-12-30T17:15:52"/>
    <x v="0"/>
    <s v="BEBIDA - Coca Cola"/>
    <x v="3"/>
    <s v="A) Día hábil"/>
    <x v="3"/>
    <n v="1200"/>
    <n v="3000"/>
    <n v="0"/>
    <n v="3000"/>
  </r>
  <r>
    <x v="22"/>
    <d v="1899-12-30T17:39:22"/>
    <x v="0"/>
    <s v=" Chorizo con papa/arepa"/>
    <x v="3"/>
    <s v="A) Día hábil"/>
    <x v="3"/>
    <n v="3200"/>
    <n v="8000"/>
    <n v="8000"/>
    <n v="0"/>
  </r>
  <r>
    <x v="22"/>
    <d v="1899-12-30T17:39:22"/>
    <x v="0"/>
    <s v="BEBIDA - Coca Cola"/>
    <x v="3"/>
    <s v="A) Día hábil"/>
    <x v="3"/>
    <n v="1200"/>
    <n v="3000"/>
    <n v="3000"/>
    <n v="0"/>
  </r>
  <r>
    <x v="22"/>
    <d v="1899-12-30T17:39:22"/>
    <x v="0"/>
    <s v="z. MP -  Chorizo CRUDO"/>
    <x v="3"/>
    <s v="A) Día hábil"/>
    <x v="3"/>
    <n v="7200"/>
    <n v="18000"/>
    <n v="18000"/>
    <n v="0"/>
  </r>
  <r>
    <x v="22"/>
    <d v="1899-12-30T17:58:12"/>
    <x v="0"/>
    <s v=" Chorizo con papa/arepa"/>
    <x v="3"/>
    <s v="A) Día hábil"/>
    <x v="3"/>
    <n v="6400"/>
    <n v="16000"/>
    <n v="16000"/>
    <n v="0"/>
  </r>
  <r>
    <x v="22"/>
    <d v="1899-12-30T17:58:12"/>
    <x v="0"/>
    <s v="BEBIDA - Coca Cola ZERO"/>
    <x v="3"/>
    <s v="A) Día hábil"/>
    <x v="3"/>
    <n v="2560"/>
    <n v="6400"/>
    <n v="6400"/>
    <n v="0"/>
  </r>
  <r>
    <x v="22"/>
    <d v="1899-12-30T18:03:28"/>
    <x v="0"/>
    <s v=" Chorizo con papa/arepa"/>
    <x v="3"/>
    <s v="A) Día hábil"/>
    <x v="3"/>
    <n v="3200"/>
    <n v="8000"/>
    <n v="8000"/>
    <n v="0"/>
  </r>
  <r>
    <x v="22"/>
    <d v="1899-12-30T18:03:28"/>
    <x v="0"/>
    <s v="BEBIDA - Coca Cola"/>
    <x v="3"/>
    <s v="A) Día hábil"/>
    <x v="3"/>
    <n v="1200"/>
    <n v="3000"/>
    <n v="3000"/>
    <n v="0"/>
  </r>
  <r>
    <x v="22"/>
    <d v="1899-12-30T18:12:22"/>
    <x v="0"/>
    <s v=" Chorizo con papa/arepa"/>
    <x v="3"/>
    <s v="A) Día hábil"/>
    <x v="3"/>
    <n v="6400"/>
    <n v="16000"/>
    <n v="16000"/>
    <n v="0"/>
  </r>
  <r>
    <x v="22"/>
    <d v="1899-12-30T18:12:22"/>
    <x v="0"/>
    <s v="BEBIDA - Coca Cola"/>
    <x v="3"/>
    <s v="A) Día hábil"/>
    <x v="3"/>
    <n v="2400"/>
    <n v="6000"/>
    <n v="6000"/>
    <n v="0"/>
  </r>
  <r>
    <x v="22"/>
    <d v="1899-12-30T18:12:22"/>
    <x v="0"/>
    <s v="Ham. combo"/>
    <x v="3"/>
    <s v="A) Día hábil"/>
    <x v="3"/>
    <n v="8800"/>
    <n v="22000"/>
    <n v="22000"/>
    <n v="0"/>
  </r>
  <r>
    <x v="22"/>
    <d v="1899-12-30T18:23:16"/>
    <x v="0"/>
    <s v=" Chorizo con papa/arepa"/>
    <x v="3"/>
    <s v="A) Día hábil"/>
    <x v="3"/>
    <n v="3200"/>
    <n v="8000"/>
    <n v="0"/>
    <n v="8000"/>
  </r>
  <r>
    <x v="22"/>
    <d v="1899-12-30T18:24:21"/>
    <x v="0"/>
    <s v=" Chorizo con papa/arepa"/>
    <x v="3"/>
    <s v="A) Día hábil"/>
    <x v="3"/>
    <n v="6400"/>
    <n v="16000"/>
    <n v="16000"/>
    <n v="0"/>
  </r>
  <r>
    <x v="22"/>
    <d v="1899-12-30T18:31:24"/>
    <x v="0"/>
    <s v=" Chorizo con papa/arepa"/>
    <x v="3"/>
    <s v="A) Día hábil"/>
    <x v="3"/>
    <n v="6400"/>
    <n v="16000"/>
    <n v="0"/>
    <n v="16000"/>
  </r>
  <r>
    <x v="22"/>
    <d v="1899-12-30T18:36:27"/>
    <x v="0"/>
    <s v=" Chorizo con papa/arepa"/>
    <x v="3"/>
    <s v="A) Día hábil"/>
    <x v="3"/>
    <n v="6400"/>
    <n v="16000"/>
    <n v="0"/>
    <n v="16000"/>
  </r>
  <r>
    <x v="22"/>
    <d v="1899-12-30T18:47:24"/>
    <x v="0"/>
    <s v="BEBIDA - Coca Cola"/>
    <x v="3"/>
    <s v="A) Día hábil"/>
    <x v="3"/>
    <n v="1200"/>
    <n v="3000"/>
    <n v="3000"/>
    <n v="0"/>
  </r>
  <r>
    <x v="22"/>
    <d v="1899-12-30T18:51:01"/>
    <x v="0"/>
    <s v=" Chorizo con papa/arepa"/>
    <x v="3"/>
    <s v="A) Día hábil"/>
    <x v="3"/>
    <n v="3200"/>
    <n v="8000"/>
    <n v="8000"/>
    <n v="0"/>
  </r>
  <r>
    <x v="22"/>
    <d v="1899-12-30T18:54:28"/>
    <x v="0"/>
    <s v=" Chorizo con papa/arepa"/>
    <x v="3"/>
    <s v="A) Día hábil"/>
    <x v="3"/>
    <n v="3200"/>
    <n v="8000"/>
    <n v="8000"/>
    <n v="0"/>
  </r>
  <r>
    <x v="22"/>
    <d v="1899-12-30T19:01:55"/>
    <x v="0"/>
    <s v=" Chorizo con papa/arepa"/>
    <x v="3"/>
    <s v="A) Día hábil"/>
    <x v="3"/>
    <n v="3200"/>
    <n v="8000"/>
    <n v="0"/>
    <n v="8000"/>
  </r>
  <r>
    <x v="22"/>
    <d v="1899-12-30T19:05:16"/>
    <x v="0"/>
    <s v=" Chorizo con papa/arepa"/>
    <x v="3"/>
    <s v="A) Día hábil"/>
    <x v="3"/>
    <n v="6400"/>
    <n v="16000"/>
    <n v="16000"/>
    <n v="0"/>
  </r>
  <r>
    <x v="22"/>
    <d v="1899-12-30T19:05:16"/>
    <x v="0"/>
    <s v="BEBIDA - Coca Cola"/>
    <x v="3"/>
    <s v="A) Día hábil"/>
    <x v="3"/>
    <n v="1200"/>
    <n v="3000"/>
    <n v="3000"/>
    <n v="0"/>
  </r>
  <r>
    <x v="22"/>
    <d v="1899-12-30T19:37:53"/>
    <x v="0"/>
    <s v=" Chorizo con papa/arepa"/>
    <x v="3"/>
    <s v="A) Día hábil"/>
    <x v="3"/>
    <n v="3200"/>
    <n v="8000"/>
    <n v="0"/>
    <n v="8000"/>
  </r>
  <r>
    <x v="22"/>
    <d v="1899-12-30T19:37:53"/>
    <x v="0"/>
    <s v="BEBIDA - Coca Cola"/>
    <x v="3"/>
    <s v="A) Día hábil"/>
    <x v="3"/>
    <n v="1200"/>
    <n v="3000"/>
    <n v="0"/>
    <n v="3000"/>
  </r>
  <r>
    <x v="22"/>
    <d v="1899-12-30T19:42:42"/>
    <x v="0"/>
    <s v=" Chorizo con papa/arepa"/>
    <x v="3"/>
    <s v="A) Día hábil"/>
    <x v="3"/>
    <n v="16000"/>
    <n v="40000"/>
    <n v="0"/>
    <n v="40000"/>
  </r>
  <r>
    <x v="23"/>
    <d v="1899-12-30T15:34:38"/>
    <x v="0"/>
    <s v=" Chorizo con papa/arepa"/>
    <x v="3"/>
    <s v="B) Viernes"/>
    <x v="4"/>
    <n v="9600"/>
    <n v="24000"/>
    <n v="24000"/>
    <n v="0"/>
  </r>
  <r>
    <x v="23"/>
    <d v="1899-12-30T15:34:38"/>
    <x v="0"/>
    <s v="BEBIDA - Coca Cola"/>
    <x v="3"/>
    <s v="B) Viernes"/>
    <x v="4"/>
    <n v="3600"/>
    <n v="9000"/>
    <n v="9000"/>
    <n v="0"/>
  </r>
  <r>
    <x v="23"/>
    <d v="1899-12-30T15:35:55"/>
    <x v="0"/>
    <s v=" Chorizo con papa/arepa"/>
    <x v="3"/>
    <s v="B) Viernes"/>
    <x v="4"/>
    <n v="9600"/>
    <n v="24000"/>
    <n v="0"/>
    <n v="24000"/>
  </r>
  <r>
    <x v="23"/>
    <d v="1899-12-30T15:35:55"/>
    <x v="0"/>
    <s v="BEBIDA - Coca Cola"/>
    <x v="3"/>
    <s v="B) Viernes"/>
    <x v="4"/>
    <n v="3600"/>
    <n v="9000"/>
    <n v="0"/>
    <n v="9000"/>
  </r>
  <r>
    <x v="23"/>
    <d v="1899-12-30T15:51:58"/>
    <x v="0"/>
    <s v="BEBIDA - Botella de Agua"/>
    <x v="3"/>
    <s v="B) Viernes"/>
    <x v="4"/>
    <n v="1200"/>
    <n v="3000"/>
    <n v="3000"/>
    <n v="0"/>
  </r>
  <r>
    <x v="23"/>
    <d v="1899-12-30T17:12:28"/>
    <x v="0"/>
    <s v=" Chorizo con papa/arepa"/>
    <x v="3"/>
    <s v="B) Viernes"/>
    <x v="4"/>
    <n v="6400"/>
    <n v="16000"/>
    <n v="16000"/>
    <n v="0"/>
  </r>
  <r>
    <x v="23"/>
    <d v="1899-12-30T17:59:58"/>
    <x v="0"/>
    <s v=" Chorizo solo"/>
    <x v="3"/>
    <s v="B) Viernes"/>
    <x v="4"/>
    <n v="5600"/>
    <n v="14000"/>
    <n v="14000"/>
    <n v="0"/>
  </r>
  <r>
    <x v="23"/>
    <d v="1899-12-30T17:59:58"/>
    <x v="0"/>
    <s v="BEBIDA - Coca Cola"/>
    <x v="3"/>
    <s v="B) Viernes"/>
    <x v="4"/>
    <n v="2400"/>
    <n v="6000"/>
    <n v="6000"/>
    <n v="0"/>
  </r>
  <r>
    <x v="23"/>
    <d v="1899-12-30T18:08:02"/>
    <x v="0"/>
    <s v=" Chorizo con papa/arepa"/>
    <x v="3"/>
    <s v="B) Viernes"/>
    <x v="4"/>
    <n v="6400"/>
    <n v="16000"/>
    <n v="16000"/>
    <n v="0"/>
  </r>
  <r>
    <x v="23"/>
    <d v="1899-12-30T18:25:08"/>
    <x v="0"/>
    <s v=" Chorizo con papa/arepa"/>
    <x v="3"/>
    <s v="B) Viernes"/>
    <x v="4"/>
    <n v="3200"/>
    <n v="8000"/>
    <n v="8000"/>
    <n v="0"/>
  </r>
  <r>
    <x v="23"/>
    <d v="1899-12-30T19:04:25"/>
    <x v="0"/>
    <s v=" Chorizo con papa/arepa"/>
    <x v="3"/>
    <s v="B) Viernes"/>
    <x v="4"/>
    <n v="6400"/>
    <n v="16000"/>
    <n v="0"/>
    <n v="16000"/>
  </r>
  <r>
    <x v="23"/>
    <d v="1899-12-30T19:04:25"/>
    <x v="0"/>
    <s v="BEBIDA - Coca Cola ZERO"/>
    <x v="3"/>
    <s v="B) Viernes"/>
    <x v="4"/>
    <n v="1280"/>
    <n v="3200"/>
    <n v="0"/>
    <n v="3200"/>
  </r>
  <r>
    <x v="23"/>
    <d v="1899-12-30T19:04:25"/>
    <x v="0"/>
    <s v="BEBIDA - Jugo Hit"/>
    <x v="3"/>
    <s v="B) Viernes"/>
    <x v="4"/>
    <n v="5400"/>
    <n v="13500"/>
    <n v="0"/>
    <n v="13500"/>
  </r>
  <r>
    <x v="23"/>
    <d v="1899-12-30T19:15:20"/>
    <x v="0"/>
    <s v=" Chorizo con papa/arepa"/>
    <x v="3"/>
    <s v="B) Viernes"/>
    <x v="4"/>
    <n v="3200"/>
    <n v="8000"/>
    <n v="8000"/>
    <n v="0"/>
  </r>
  <r>
    <x v="23"/>
    <d v="1899-12-30T19:15:20"/>
    <x v="0"/>
    <s v="BEBIDA - Coca Cola"/>
    <x v="3"/>
    <s v="B) Viernes"/>
    <x v="4"/>
    <n v="1200"/>
    <n v="3000"/>
    <n v="3000"/>
    <n v="0"/>
  </r>
  <r>
    <x v="24"/>
    <d v="1899-12-30T00:00:02"/>
    <x v="0"/>
    <s v=" Chorizo con papa/arepa"/>
    <x v="3"/>
    <s v="D) Domingo"/>
    <x v="6"/>
    <n v="3200"/>
    <n v="8000"/>
    <n v="0"/>
    <n v="8000"/>
  </r>
  <r>
    <x v="24"/>
    <d v="1899-12-30T00:00:02"/>
    <x v="0"/>
    <s v="BEBIDA - Coca Cola"/>
    <x v="3"/>
    <s v="D) Domingo"/>
    <x v="6"/>
    <n v="1200"/>
    <n v="3000"/>
    <n v="0"/>
    <n v="3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31246-F498-49BE-8A69-15E46464E530}" name="TablaDinámica2" cacheId="11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5" indent="0" outline="1" outlineData="1" multipleFieldFilters="0">
  <location ref="A1:C26" firstHeaderRow="0" firstDataRow="1" firstDataCol="1"/>
  <pivotFields count="11">
    <pivotField axis="axisRow" numFmtId="14" showAll="0" sortType="ascending">
      <items count="36">
        <item m="1" x="25"/>
        <item m="1" x="26"/>
        <item m="1" x="27"/>
        <item m="1" x="28"/>
        <item m="1" x="29"/>
        <item m="1" x="30"/>
        <item m="1" x="31"/>
        <item m="1" x="32"/>
        <item x="0"/>
        <item x="1"/>
        <item x="2"/>
        <item x="3"/>
        <item x="4"/>
        <item x="5"/>
        <item m="1" x="33"/>
        <item x="6"/>
        <item x="7"/>
        <item x="8"/>
        <item x="9"/>
        <item m="1" x="34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numFmtId="166" subtotalTop="0" showAll="0" defaultSubtotal="0"/>
    <pivotField dataField="1" numFmtId="166" showAll="0" defaultSubtotal="0"/>
    <pivotField numFmtId="166" showAll="0" defaultSubtotal="0"/>
    <pivotField numFmtId="166" showAll="0" defaultSubtotal="0"/>
  </pivotFields>
  <rowFields count="1">
    <field x="0"/>
  </rowFields>
  <rowItems count="25"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</rowItems>
  <colFields count="1">
    <field x="-2"/>
  </colFields>
  <colItems count="2">
    <i>
      <x/>
    </i>
    <i i="1">
      <x v="1"/>
    </i>
  </colItems>
  <dataFields count="2">
    <dataField name="Suma de Venta" fld="8" baseField="0" baseItem="0" numFmtId="166"/>
    <dataField name="Suma de MG" fld="7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6000000}" name="TablaDinámica2" cacheId="112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5" indent="0" outline="1" outlineData="1" multipleFieldFilters="0" rowHeaderCaption="Día" colHeaderCaption="Semana">
  <location ref="A3:E12" firstHeaderRow="1" firstDataRow="2" firstDataCol="1"/>
  <pivotFields count="11">
    <pivotField showAll="0" defaultSubtotal="0"/>
    <pivotField subtotalTop="0" showAll="0" defaultSubtotal="0"/>
    <pivotField showAll="0" defaultSubtotal="0"/>
    <pivotField subtotalTop="0" showAll="0" defaultSubtotal="0"/>
    <pivotField axis="axisCol" showAll="0" defaultSubtotal="0">
      <items count="32">
        <item m="1" x="4"/>
        <item x="0"/>
        <item x="1"/>
        <item x="2"/>
        <item x="3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</items>
    </pivotField>
    <pivotField showAll="0" defaultSubtotal="0"/>
    <pivotField axis="axisRow" showAll="0" defaultSubtotal="0">
      <items count="15">
        <item m="1" x="11"/>
        <item m="1" x="8"/>
        <item m="1" x="10"/>
        <item m="1" x="9"/>
        <item m="1" x="13"/>
        <item x="0"/>
        <item x="1"/>
        <item x="2"/>
        <item x="3"/>
        <item m="1" x="12"/>
        <item m="1" x="14"/>
        <item x="4"/>
        <item x="5"/>
        <item x="6"/>
        <item m="1" x="7"/>
      </items>
    </pivotField>
    <pivotField numFmtId="166" subtotalTop="0" showAll="0" defaultSubtotal="0"/>
    <pivotField dataField="1" numFmtId="166" showAll="0" defaultSubtotal="0"/>
    <pivotField showAll="0" defaultSubtotal="0"/>
    <pivotField numFmtId="166" showAll="0" defaultSubtotal="0"/>
  </pivotFields>
  <rowFields count="1">
    <field x="6"/>
  </rowFields>
  <rowItems count="8">
    <i>
      <x v="5"/>
    </i>
    <i>
      <x v="6"/>
    </i>
    <i>
      <x v="7"/>
    </i>
    <i>
      <x v="8"/>
    </i>
    <i>
      <x v="11"/>
    </i>
    <i>
      <x v="12"/>
    </i>
    <i>
      <x v="13"/>
    </i>
    <i t="grand">
      <x/>
    </i>
  </rowItems>
  <colFields count="1">
    <field x="4"/>
  </colFields>
  <colItems count="4">
    <i>
      <x v="1"/>
    </i>
    <i>
      <x v="2"/>
    </i>
    <i>
      <x v="3"/>
    </i>
    <i>
      <x v="4"/>
    </i>
  </colItems>
  <dataFields count="1">
    <dataField name="Suma de Venta" fld="8" baseField="4" baseItem="7"/>
  </dataFields>
  <formats count="36">
    <format dxfId="155">
      <pivotArea outline="0" collapsedLevelsAreSubtotals="1" fieldPosition="0"/>
    </format>
    <format dxfId="154">
      <pivotArea field="6" type="button" dataOnly="0" labelOnly="1" outline="0" axis="axisRow" fieldPosition="0"/>
    </format>
    <format dxfId="153">
      <pivotArea dataOnly="0" labelOnly="1" fieldPosition="0">
        <references count="1">
          <reference field="4" count="0"/>
        </references>
      </pivotArea>
    </format>
    <format dxfId="152">
      <pivotArea dataOnly="0" labelOnly="1" grandCol="1" outline="0" fieldPosition="0"/>
    </format>
    <format dxfId="151">
      <pivotArea collapsedLevelsAreSubtotals="1" fieldPosition="0">
        <references count="2">
          <reference field="4" count="3" selected="0">
            <x v="5"/>
            <x v="6"/>
            <x v="7"/>
          </reference>
          <reference field="6" count="5">
            <x v="7"/>
            <x v="8"/>
            <x v="11"/>
            <x v="12"/>
            <x v="13"/>
          </reference>
        </references>
      </pivotArea>
    </format>
    <format dxfId="150">
      <pivotArea collapsedLevelsAreSubtotals="1" fieldPosition="0">
        <references count="2">
          <reference field="4" count="4" selected="0">
            <x v="6"/>
            <x v="7"/>
            <x v="8"/>
            <x v="9"/>
          </reference>
          <reference field="6" count="4">
            <x v="5"/>
            <x v="6"/>
            <x v="7"/>
            <x v="8"/>
          </reference>
        </references>
      </pivotArea>
    </format>
    <format dxfId="149">
      <pivotArea collapsedLevelsAreSubtotals="1" fieldPosition="0">
        <references count="2">
          <reference field="4" count="1" selected="0">
            <x v="8"/>
          </reference>
          <reference field="6" count="4">
            <x v="8"/>
            <x v="11"/>
            <x v="12"/>
            <x v="13"/>
          </reference>
        </references>
      </pivotArea>
    </format>
    <format dxfId="148">
      <pivotArea collapsedLevelsAreSubtotals="1" fieldPosition="0">
        <references count="2">
          <reference field="4" count="1" selected="0">
            <x v="14"/>
          </reference>
          <reference field="6" count="0"/>
        </references>
      </pivotArea>
    </format>
    <format dxfId="147">
      <pivotArea dataOnly="0" labelOnly="1" fieldPosition="0">
        <references count="1">
          <reference field="6" count="1">
            <x v="13"/>
          </reference>
        </references>
      </pivotArea>
    </format>
    <format dxfId="146">
      <pivotArea dataOnly="0" labelOnly="1" fieldPosition="0">
        <references count="1">
          <reference field="6" count="1">
            <x v="6"/>
          </reference>
        </references>
      </pivotArea>
    </format>
    <format dxfId="145">
      <pivotArea dataOnly="0" labelOnly="1" fieldPosition="0">
        <references count="1">
          <reference field="6" count="1">
            <x v="5"/>
          </reference>
        </references>
      </pivotArea>
    </format>
    <format dxfId="144">
      <pivotArea collapsedLevelsAreSubtotals="1" fieldPosition="0">
        <references count="2">
          <reference field="4" count="16" selected="0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  <reference field="6" count="3">
            <x v="11"/>
            <x v="12"/>
            <x v="13"/>
          </reference>
        </references>
      </pivotArea>
    </format>
    <format dxfId="143">
      <pivotArea field="6" grandCol="1" collapsedLevelsAreSubtotals="1" axis="axisRow" fieldPosition="0">
        <references count="1">
          <reference field="6" count="3">
            <x v="11"/>
            <x v="12"/>
            <x v="13"/>
          </reference>
        </references>
      </pivotArea>
    </format>
    <format dxfId="142">
      <pivotArea collapsedLevelsAreSubtotals="1" fieldPosition="0">
        <references count="2">
          <reference field="4" count="2" selected="0">
            <x v="1"/>
            <x v="2"/>
          </reference>
          <reference field="6" count="3">
            <x v="11"/>
            <x v="12"/>
            <x v="13"/>
          </reference>
        </references>
      </pivotArea>
    </format>
    <format dxfId="141">
      <pivotArea collapsedLevelsAreSubtotals="1" fieldPosition="0">
        <references count="1">
          <reference field="6" count="3">
            <x v="11"/>
            <x v="12"/>
            <x v="13"/>
          </reference>
        </references>
      </pivotArea>
    </format>
    <format dxfId="140">
      <pivotArea collapsedLevelsAreSubtotals="1" fieldPosition="0">
        <references count="2">
          <reference field="4" count="15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6" count="3">
            <x v="11"/>
            <x v="12"/>
            <x v="13"/>
          </reference>
        </references>
      </pivotArea>
    </format>
    <format dxfId="139">
      <pivotArea field="6" type="button" dataOnly="0" labelOnly="1" outline="0" axis="axisRow" fieldPosition="0"/>
    </format>
    <format dxfId="138">
      <pivotArea collapsedLevelsAreSubtotals="1" fieldPosition="0">
        <references count="2">
          <reference field="4" count="4" selected="0">
            <x v="15"/>
            <x v="16"/>
            <x v="17"/>
            <x v="18"/>
          </reference>
          <reference field="6" count="0"/>
        </references>
      </pivotArea>
    </format>
    <format dxfId="137">
      <pivotArea collapsedLevelsAreSubtotals="1" fieldPosition="0">
        <references count="2">
          <reference field="4" count="1" selected="0">
            <x v="18"/>
          </reference>
          <reference field="6" count="5">
            <x v="7"/>
            <x v="8"/>
            <x v="11"/>
            <x v="12"/>
            <x v="13"/>
          </reference>
        </references>
      </pivotArea>
    </format>
    <format dxfId="136">
      <pivotArea dataOnly="0" labelOnly="1" fieldPosition="0">
        <references count="1">
          <reference field="6" count="4">
            <x v="7"/>
            <x v="8"/>
            <x v="11"/>
            <x v="12"/>
          </reference>
        </references>
      </pivotArea>
    </format>
    <format dxfId="135">
      <pivotArea dataOnly="0" labelOnly="1" fieldPosition="0">
        <references count="1">
          <reference field="6" count="1">
            <x v="11"/>
          </reference>
        </references>
      </pivotArea>
    </format>
    <format dxfId="134">
      <pivotArea collapsedLevelsAreSubtotals="1" fieldPosition="0">
        <references count="2">
          <reference field="4" count="3" selected="0">
            <x v="15"/>
            <x v="16"/>
            <x v="17"/>
          </reference>
          <reference field="6" count="0"/>
        </references>
      </pivotArea>
    </format>
    <format dxfId="133">
      <pivotArea collapsedLevelsAreSubtotals="1" fieldPosition="0">
        <references count="2">
          <reference field="4" count="1" selected="0">
            <x v="18"/>
          </reference>
          <reference field="6" count="2">
            <x v="5"/>
            <x v="6"/>
          </reference>
        </references>
      </pivotArea>
    </format>
    <format dxfId="132">
      <pivotArea dataOnly="0" labelOnly="1" fieldPosition="0">
        <references count="1">
          <reference field="6" count="1">
            <x v="11"/>
          </reference>
        </references>
      </pivotArea>
    </format>
    <format dxfId="131">
      <pivotArea collapsedLevelsAreSubtotals="1" fieldPosition="0">
        <references count="2">
          <reference field="4" count="1" selected="0">
            <x v="14"/>
          </reference>
          <reference field="6" count="0"/>
        </references>
      </pivotArea>
    </format>
    <format dxfId="130">
      <pivotArea collapsedLevelsAreSubtotals="1" fieldPosition="0">
        <references count="2">
          <reference field="4" count="6" selected="0">
            <x v="21"/>
            <x v="22"/>
            <x v="23"/>
            <x v="24"/>
            <x v="25"/>
            <x v="26"/>
          </reference>
          <reference field="6" count="2">
            <x v="12"/>
            <x v="13"/>
          </reference>
        </references>
      </pivotArea>
    </format>
    <format dxfId="129">
      <pivotArea collapsedLevelsAreSubtotals="1" fieldPosition="0">
        <references count="2">
          <reference field="4" count="5" selected="0">
            <x v="22"/>
            <x v="23"/>
            <x v="24"/>
            <x v="25"/>
            <x v="26"/>
          </reference>
          <reference field="6" count="5">
            <x v="5"/>
            <x v="6"/>
            <x v="7"/>
            <x v="8"/>
            <x v="11"/>
          </reference>
        </references>
      </pivotArea>
    </format>
    <format dxfId="128">
      <pivotArea collapsedLevelsAreSubtotals="1" fieldPosition="0">
        <references count="2">
          <reference field="4" count="1" selected="0">
            <x v="27"/>
          </reference>
          <reference field="6" count="1">
            <x v="5"/>
          </reference>
        </references>
      </pivotArea>
    </format>
    <format dxfId="127">
      <pivotArea collapsedLevelsAreSubtotals="1" fieldPosition="0">
        <references count="2">
          <reference field="4" count="1" selected="0">
            <x v="21"/>
          </reference>
          <reference field="6" count="2">
            <x v="12"/>
            <x v="13"/>
          </reference>
        </references>
      </pivotArea>
    </format>
    <format dxfId="126">
      <pivotArea collapsedLevelsAreSubtotals="1" fieldPosition="0">
        <references count="2">
          <reference field="4" count="1" selected="0">
            <x v="22"/>
          </reference>
          <reference field="6" count="5">
            <x v="5"/>
            <x v="6"/>
            <x v="7"/>
            <x v="8"/>
            <x v="11"/>
          </reference>
        </references>
      </pivotArea>
    </format>
    <format dxfId="125">
      <pivotArea collapsedLevelsAreSubtotals="1" fieldPosition="0">
        <references count="2">
          <reference field="4" count="1" selected="0">
            <x v="23"/>
          </reference>
          <reference field="6" count="1">
            <x v="7"/>
          </reference>
        </references>
      </pivotArea>
    </format>
    <format dxfId="124">
      <pivotArea collapsedLevelsAreSubtotals="1" fieldPosition="0">
        <references count="2">
          <reference field="4" count="1" selected="0">
            <x v="23"/>
          </reference>
          <reference field="6" count="1">
            <x v="7"/>
          </reference>
        </references>
      </pivotArea>
    </format>
    <format dxfId="123">
      <pivotArea collapsedLevelsAreSubtotals="1" fieldPosition="0">
        <references count="2">
          <reference field="4" count="4" selected="0">
            <x v="23"/>
            <x v="24"/>
            <x v="25"/>
            <x v="26"/>
          </reference>
          <reference field="6" count="1">
            <x v="13"/>
          </reference>
        </references>
      </pivotArea>
    </format>
    <format dxfId="122">
      <pivotArea collapsedLevelsAreSubtotals="1" fieldPosition="0">
        <references count="2">
          <reference field="4" count="3" selected="0">
            <x v="24"/>
            <x v="25"/>
            <x v="26"/>
          </reference>
          <reference field="6" count="5">
            <x v="6"/>
            <x v="7"/>
            <x v="8"/>
            <x v="11"/>
            <x v="12"/>
          </reference>
        </references>
      </pivotArea>
    </format>
    <format dxfId="121">
      <pivotArea collapsedLevelsAreSubtotals="1" fieldPosition="0">
        <references count="2">
          <reference field="4" count="4" selected="0">
            <x v="24"/>
            <x v="25"/>
            <x v="26"/>
            <x v="27"/>
          </reference>
          <reference field="6" count="1">
            <x v="5"/>
          </reference>
        </references>
      </pivotArea>
    </format>
    <format dxfId="120">
      <pivotArea collapsedLevelsAreSubtotals="1" fieldPosition="0">
        <references count="2">
          <reference field="4" count="1" selected="0">
            <x v="23"/>
          </reference>
          <reference field="6" count="2">
            <x v="12"/>
            <x v="13"/>
          </reference>
        </references>
      </pivotArea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5000000}" name="TablaDinámica3" cacheId="112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rowHeaderCaption="Día" colHeaderCaption="Semana">
  <location ref="N4:N12" firstHeaderRow="1" firstDataRow="1" firstDataCol="1"/>
  <pivotFields count="11">
    <pivotField showAll="0" defaultSubtotal="0"/>
    <pivotField subtotalTop="0" showAll="0" defaultSubtotal="0"/>
    <pivotField showAll="0" defaultSubtotal="0"/>
    <pivotField subtotalTop="0" showAll="0" defaultSubtotal="0"/>
    <pivotField showAll="0" defaultSubtotal="0"/>
    <pivotField showAll="0" defaultSubtotal="0"/>
    <pivotField axis="axisRow" showAll="0" defaultSubtotal="0">
      <items count="15">
        <item m="1" x="11"/>
        <item m="1" x="8"/>
        <item m="1" x="10"/>
        <item m="1" x="9"/>
        <item m="1" x="13"/>
        <item x="0"/>
        <item x="1"/>
        <item x="2"/>
        <item x="3"/>
        <item m="1" x="12"/>
        <item m="1" x="14"/>
        <item x="4"/>
        <item x="5"/>
        <item x="6"/>
        <item m="1" x="7"/>
      </items>
    </pivotField>
    <pivotField numFmtId="166" subtotalTop="0" showAll="0" defaultSubtotal="0"/>
    <pivotField numFmtId="166" showAll="0" defaultSubtotal="0"/>
    <pivotField showAll="0" defaultSubtotal="0"/>
    <pivotField numFmtId="166" showAll="0" defaultSubtotal="0"/>
  </pivotFields>
  <rowFields count="1">
    <field x="6"/>
  </rowFields>
  <rowItems count="8">
    <i>
      <x v="5"/>
    </i>
    <i>
      <x v="6"/>
    </i>
    <i>
      <x v="7"/>
    </i>
    <i>
      <x v="8"/>
    </i>
    <i>
      <x v="11"/>
    </i>
    <i>
      <x v="12"/>
    </i>
    <i>
      <x v="13"/>
    </i>
    <i t="grand">
      <x/>
    </i>
  </rowItems>
  <colItems count="1">
    <i/>
  </colItems>
  <formats count="12">
    <format dxfId="167">
      <pivotArea outline="0" collapsedLevelsAreSubtotals="1" fieldPosition="0"/>
    </format>
    <format dxfId="166">
      <pivotArea field="6" type="button" dataOnly="0" labelOnly="1" outline="0" axis="axisRow" fieldPosition="0"/>
    </format>
    <format dxfId="165">
      <pivotArea dataOnly="0" labelOnly="1" grandCol="1" outline="0" fieldPosition="0"/>
    </format>
    <format dxfId="164">
      <pivotArea dataOnly="0" labelOnly="1" fieldPosition="0">
        <references count="1">
          <reference field="6" count="1">
            <x v="13"/>
          </reference>
        </references>
      </pivotArea>
    </format>
    <format dxfId="163">
      <pivotArea dataOnly="0" labelOnly="1" fieldPosition="0">
        <references count="1">
          <reference field="6" count="1">
            <x v="6"/>
          </reference>
        </references>
      </pivotArea>
    </format>
    <format dxfId="162">
      <pivotArea dataOnly="0" labelOnly="1" fieldPosition="0">
        <references count="1">
          <reference field="6" count="1">
            <x v="5"/>
          </reference>
        </references>
      </pivotArea>
    </format>
    <format dxfId="161">
      <pivotArea field="6" collapsedLevelsAreSubtotals="1" axis="axisRow" fieldPosition="0">
        <references count="1">
          <reference field="6" count="3">
            <x v="11"/>
            <x v="12"/>
            <x v="13"/>
          </reference>
        </references>
      </pivotArea>
    </format>
    <format dxfId="160">
      <pivotArea collapsedLevelsAreSubtotals="1" fieldPosition="0">
        <references count="1">
          <reference field="6" count="3">
            <x v="11"/>
            <x v="12"/>
            <x v="13"/>
          </reference>
        </references>
      </pivotArea>
    </format>
    <format dxfId="159">
      <pivotArea field="6" type="button" dataOnly="0" labelOnly="1" outline="0" axis="axisRow" fieldPosition="0"/>
    </format>
    <format dxfId="158">
      <pivotArea dataOnly="0" labelOnly="1" fieldPosition="0">
        <references count="1">
          <reference field="6" count="4">
            <x v="7"/>
            <x v="8"/>
            <x v="11"/>
            <x v="12"/>
          </reference>
        </references>
      </pivotArea>
    </format>
    <format dxfId="157">
      <pivotArea dataOnly="0" labelOnly="1" fieldPosition="0">
        <references count="1">
          <reference field="6" count="1">
            <x v="11"/>
          </reference>
        </references>
      </pivotArea>
    </format>
    <format dxfId="156">
      <pivotArea dataOnly="0" labelOnly="1" fieldPosition="0">
        <references count="1">
          <reference field="6" count="1">
            <x v="11"/>
          </reference>
        </references>
      </pivotArea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Tabla dinámica1" cacheId="111" applyNumberFormats="0" applyBorderFormats="0" applyFontFormats="0" applyPatternFormats="0" applyAlignmentFormats="0" applyWidthHeightFormats="1" dataCaption="Valores" updatedVersion="6" minRefreshableVersion="3" useAutoFormatting="1" colGrandTotals="0" itemPrintTitles="1" createdVersion="5" indent="0" compact="0" compactData="0" multipleFieldFilters="0">
  <location ref="B4:E24" firstHeaderRow="1" firstDataRow="1" firstDataCol="3"/>
  <pivotFields count="18">
    <pivotField axis="axisRow" compact="0" outline="0" showAll="0" defaultSubtotal="0">
      <items count="22">
        <item x="0"/>
        <item x="5"/>
        <item x="3"/>
        <item x="1"/>
        <item x="4"/>
        <item x="2"/>
        <item x="10"/>
        <item x="8"/>
        <item x="11"/>
        <item m="1" x="19"/>
        <item m="1" x="18"/>
        <item m="1" x="17"/>
        <item x="6"/>
        <item x="7"/>
        <item m="1" x="21"/>
        <item x="13"/>
        <item m="1" x="20"/>
        <item x="9"/>
        <item x="12"/>
        <item x="14"/>
        <item x="1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">
        <item x="9"/>
        <item x="7"/>
        <item x="0"/>
        <item x="1"/>
        <item x="4"/>
        <item m="1" x="17"/>
        <item x="3"/>
        <item x="2"/>
        <item x="10"/>
        <item m="1" x="19"/>
        <item x="5"/>
        <item m="1" x="16"/>
        <item m="1" x="20"/>
        <item m="1" x="18"/>
        <item m="1" x="15"/>
        <item x="6"/>
        <item x="8"/>
        <item x="11"/>
        <item x="12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m="1" x="3"/>
        <item m="1" x="4"/>
        <item m="1"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7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1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1"/>
    <field x="0"/>
  </rowFields>
  <rowItems count="20">
    <i>
      <x v="3"/>
      <x/>
      <x v="8"/>
    </i>
    <i r="1">
      <x v="1"/>
      <x v="7"/>
    </i>
    <i r="1">
      <x v="2"/>
      <x/>
    </i>
    <i r="1">
      <x v="3"/>
      <x v="12"/>
    </i>
    <i r="1">
      <x v="4"/>
      <x v="13"/>
    </i>
    <i r="1">
      <x v="8"/>
      <x v="18"/>
    </i>
    <i r="1">
      <x v="10"/>
      <x v="13"/>
    </i>
    <i r="1">
      <x v="15"/>
      <x v="13"/>
    </i>
    <i r="1">
      <x v="16"/>
      <x v="17"/>
    </i>
    <i r="1">
      <x v="17"/>
      <x v="15"/>
    </i>
    <i r="1">
      <x v="18"/>
      <x v="19"/>
    </i>
    <i r="1">
      <x v="19"/>
      <x v="20"/>
    </i>
    <i r="1">
      <x v="20"/>
      <x v="21"/>
    </i>
    <i>
      <x v="4"/>
      <x/>
      <x v="6"/>
    </i>
    <i r="1">
      <x v="2"/>
      <x v="3"/>
    </i>
    <i r="2">
      <x v="5"/>
    </i>
    <i r="1">
      <x v="3"/>
      <x v="2"/>
    </i>
    <i r="1">
      <x v="6"/>
      <x v="1"/>
    </i>
    <i r="1">
      <x v="7"/>
      <x v="4"/>
    </i>
    <i t="grand">
      <x/>
    </i>
  </rowItems>
  <colItems count="1">
    <i/>
  </colItems>
  <dataFields count="1">
    <dataField name="Valor" fld="5" baseField="0" baseItem="0" numFmtId="166"/>
  </dataFields>
  <formats count="16">
    <format dxfId="119">
      <pivotArea outline="0" fieldPosition="0">
        <references count="3">
          <reference field="0" count="0" selected="0"/>
          <reference field="1" count="0" selected="0"/>
          <reference field="2" count="0" selected="0"/>
        </references>
      </pivotArea>
    </format>
    <format dxfId="118">
      <pivotArea dataOnly="0" labelOnly="1" outline="0" fieldPosition="0">
        <references count="1">
          <reference field="2" count="1">
            <x v="1"/>
          </reference>
        </references>
      </pivotArea>
    </format>
    <format dxfId="117">
      <pivotArea dataOnly="0" labelOnly="1" outline="0" fieldPosition="0">
        <references count="1">
          <reference field="2" count="1">
            <x v="0"/>
          </reference>
        </references>
      </pivotArea>
    </format>
    <format dxfId="116">
      <pivotArea field="2" type="button" dataOnly="0" labelOnly="1" outline="0" axis="axisRow" fieldPosition="0"/>
    </format>
    <format dxfId="115">
      <pivotArea field="1" type="button" dataOnly="0" labelOnly="1" outline="0" axis="axisRow" fieldPosition="1"/>
    </format>
    <format dxfId="114">
      <pivotArea field="0" type="button" dataOnly="0" labelOnly="1" outline="0" axis="axisRow" fieldPosition="2"/>
    </format>
    <format dxfId="113">
      <pivotArea dataOnly="0" labelOnly="1" outline="0" axis="axisValues" fieldPosition="0"/>
    </format>
    <format dxfId="112">
      <pivotArea field="2" type="button" dataOnly="0" labelOnly="1" outline="0" axis="axisRow" fieldPosition="0"/>
    </format>
    <format dxfId="111">
      <pivotArea field="1" type="button" dataOnly="0" labelOnly="1" outline="0" axis="axisRow" fieldPosition="1"/>
    </format>
    <format dxfId="110">
      <pivotArea field="0" type="button" dataOnly="0" labelOnly="1" outline="0" axis="axisRow" fieldPosition="2"/>
    </format>
    <format dxfId="109">
      <pivotArea dataOnly="0" labelOnly="1" outline="0" axis="axisValues" fieldPosition="0"/>
    </format>
    <format dxfId="108">
      <pivotArea outline="0" collapsedLevelsAreSubtotals="1" fieldPosition="0"/>
    </format>
    <format dxfId="107">
      <pivotArea dataOnly="0" labelOnly="1" outline="0" axis="axisValues" fieldPosition="0"/>
    </format>
    <format dxfId="106">
      <pivotArea outline="0" fieldPosition="0">
        <references count="3">
          <reference field="0" count="1" selected="0">
            <x v="6"/>
          </reference>
          <reference field="1" count="1" selected="0">
            <x v="0"/>
          </reference>
          <reference field="2" count="1" selected="0">
            <x v="1"/>
          </reference>
        </references>
      </pivotArea>
    </format>
    <format dxfId="105">
      <pivotArea outline="0" fieldPosition="0">
        <references count="3">
          <reference field="0" count="2" selected="0">
            <x v="12"/>
            <x v="13"/>
          </reference>
          <reference field="1" count="3" selected="0">
            <x v="3"/>
            <x v="4"/>
            <x v="5"/>
          </reference>
          <reference field="2" count="1" selected="0">
            <x v="1"/>
          </reference>
        </references>
      </pivotArea>
    </format>
    <format dxfId="104">
      <pivotArea outline="0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2000000}" name="Ventas" cacheId="11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5" indent="0" compact="0" compactData="0" multipleFieldFilters="0" chartFormat="64">
  <location ref="AJ4:AL29" firstHeaderRow="1" firstDataRow="1" firstDataCol="2"/>
  <pivotFields count="11">
    <pivotField axis="axisRow" compact="0" numFmtId="14" outline="0" showAll="0" defaultSubtotal="0">
      <items count="35">
        <item x="0"/>
        <item x="1"/>
        <item x="2"/>
        <item x="3"/>
        <item x="4"/>
        <item x="5"/>
        <item m="1" x="25"/>
        <item m="1" x="26"/>
        <item m="1" x="27"/>
        <item m="1" x="28"/>
        <item m="1" x="29"/>
        <item m="1" x="30"/>
        <item m="1" x="31"/>
        <item m="1" x="32"/>
        <item m="1" x="33"/>
        <item x="8"/>
        <item x="9"/>
        <item m="1" x="34"/>
        <item x="6"/>
        <item x="7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compact="0" outline="0" showAll="0"/>
    <pivotField compact="0" outline="0" showAll="0" defaultSubtotal="0">
      <items count="4">
        <item m="1" x="1"/>
        <item m="1" x="3"/>
        <item x="0"/>
        <item m="1" x="2"/>
      </items>
    </pivotField>
    <pivotField compact="0" outline="0" showAll="0"/>
    <pivotField compact="0" outline="0" showAll="0"/>
    <pivotField compact="0" outline="0" showAll="0"/>
    <pivotField axis="axisRow" compact="0" outline="0" showAll="0" defaultSubtotal="0">
      <items count="15">
        <item m="1" x="8"/>
        <item m="1" x="10"/>
        <item m="1" x="9"/>
        <item m="1" x="13"/>
        <item m="1" x="12"/>
        <item m="1" x="14"/>
        <item m="1" x="11"/>
        <item x="6"/>
        <item x="0"/>
        <item x="1"/>
        <item x="2"/>
        <item x="3"/>
        <item x="4"/>
        <item x="5"/>
        <item m="1" x="7"/>
      </items>
    </pivotField>
    <pivotField compact="0" numFmtId="166" outline="0" showAll="0"/>
    <pivotField dataField="1" compact="0" numFmtId="166" outline="0" showAll="0"/>
    <pivotField compact="0" outline="0" showAll="0"/>
    <pivotField compact="0" numFmtId="166" outline="0" showAll="0"/>
  </pivotFields>
  <rowFields count="2">
    <field x="0"/>
    <field x="6"/>
  </rowFields>
  <rowItems count="25">
    <i>
      <x/>
      <x v="8"/>
    </i>
    <i>
      <x v="1"/>
      <x v="9"/>
    </i>
    <i>
      <x v="2"/>
      <x v="10"/>
    </i>
    <i>
      <x v="3"/>
      <x v="11"/>
    </i>
    <i>
      <x v="4"/>
      <x v="12"/>
    </i>
    <i>
      <x v="5"/>
      <x v="13"/>
    </i>
    <i>
      <x v="15"/>
      <x v="10"/>
    </i>
    <i>
      <x v="16"/>
      <x v="11"/>
    </i>
    <i>
      <x v="18"/>
      <x v="8"/>
    </i>
    <i>
      <x v="19"/>
      <x v="9"/>
    </i>
    <i>
      <x v="20"/>
      <x v="13"/>
    </i>
    <i>
      <x v="21"/>
      <x v="7"/>
    </i>
    <i>
      <x v="22"/>
      <x v="8"/>
    </i>
    <i>
      <x v="23"/>
      <x v="9"/>
    </i>
    <i>
      <x v="24"/>
      <x v="10"/>
    </i>
    <i>
      <x v="25"/>
      <x v="11"/>
    </i>
    <i>
      <x v="26"/>
      <x v="12"/>
    </i>
    <i>
      <x v="27"/>
      <x v="13"/>
    </i>
    <i>
      <x v="28"/>
      <x v="7"/>
    </i>
    <i>
      <x v="29"/>
      <x v="8"/>
    </i>
    <i>
      <x v="30"/>
      <x v="9"/>
    </i>
    <i>
      <x v="31"/>
      <x v="10"/>
    </i>
    <i>
      <x v="32"/>
      <x v="11"/>
    </i>
    <i>
      <x v="33"/>
      <x v="12"/>
    </i>
    <i>
      <x v="34"/>
      <x v="7"/>
    </i>
  </rowItems>
  <colItems count="1">
    <i/>
  </colItems>
  <dataFields count="1">
    <dataField name=" Venta" fld="8" baseField="0" baseItem="0" numFmtId="167"/>
  </dataFields>
  <formats count="1">
    <format dxfId="72">
      <pivotArea outline="0" collapsedLevelsAreSubtotals="1" fieldPosition="0"/>
    </format>
  </formats>
  <chartFormats count="2"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1000000}" name="Tabla dinámica1" cacheId="11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5" indent="0" compact="0" compactData="0" multipleFieldFilters="0" chartFormat="53">
  <location ref="A4:C29" firstHeaderRow="1" firstDataRow="1" firstDataCol="2" rowPageCount="1" colPageCount="1"/>
  <pivotFields count="11">
    <pivotField axis="axisRow" compact="0" numFmtId="14" outline="0" showAll="0" defaultSubtotal="0">
      <items count="35">
        <item x="0"/>
        <item x="1"/>
        <item x="2"/>
        <item x="3"/>
        <item x="4"/>
        <item x="5"/>
        <item m="1" x="25"/>
        <item m="1" x="26"/>
        <item m="1" x="27"/>
        <item m="1" x="28"/>
        <item m="1" x="29"/>
        <item m="1" x="30"/>
        <item m="1" x="31"/>
        <item m="1" x="32"/>
        <item m="1" x="33"/>
        <item x="8"/>
        <item x="9"/>
        <item m="1" x="34"/>
        <item x="6"/>
        <item x="7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compact="0" outline="0" showAll="0"/>
    <pivotField axis="axisPage" compact="0" outline="0" showAll="0" defaultSubtotal="0">
      <items count="4">
        <item m="1" x="3"/>
        <item x="0"/>
        <item m="1" x="1"/>
        <item m="1" x="2"/>
      </items>
    </pivotField>
    <pivotField compact="0" outline="0" showAll="0"/>
    <pivotField compact="0" outline="0" showAll="0"/>
    <pivotField compact="0" outline="0" showAll="0"/>
    <pivotField axis="axisRow" compact="0" outline="0" showAll="0" defaultSubtotal="0">
      <items count="15">
        <item m="1" x="8"/>
        <item m="1" x="10"/>
        <item m="1" x="9"/>
        <item m="1" x="13"/>
        <item m="1" x="12"/>
        <item m="1" x="14"/>
        <item m="1" x="11"/>
        <item x="6"/>
        <item x="0"/>
        <item x="1"/>
        <item x="2"/>
        <item x="3"/>
        <item x="4"/>
        <item x="5"/>
        <item m="1" x="7"/>
      </items>
    </pivotField>
    <pivotField compact="0" numFmtId="166" outline="0" showAll="0"/>
    <pivotField dataField="1" compact="0" numFmtId="166" outline="0" showAll="0"/>
    <pivotField compact="0" outline="0" showAll="0"/>
    <pivotField compact="0" numFmtId="166" outline="0" showAll="0"/>
  </pivotFields>
  <rowFields count="2">
    <field x="0"/>
    <field x="6"/>
  </rowFields>
  <rowItems count="25">
    <i>
      <x/>
      <x v="8"/>
    </i>
    <i>
      <x v="1"/>
      <x v="9"/>
    </i>
    <i>
      <x v="2"/>
      <x v="10"/>
    </i>
    <i>
      <x v="3"/>
      <x v="11"/>
    </i>
    <i>
      <x v="4"/>
      <x v="12"/>
    </i>
    <i>
      <x v="5"/>
      <x v="13"/>
    </i>
    <i>
      <x v="15"/>
      <x v="10"/>
    </i>
    <i>
      <x v="16"/>
      <x v="11"/>
    </i>
    <i>
      <x v="18"/>
      <x v="8"/>
    </i>
    <i>
      <x v="19"/>
      <x v="9"/>
    </i>
    <i>
      <x v="20"/>
      <x v="13"/>
    </i>
    <i>
      <x v="21"/>
      <x v="7"/>
    </i>
    <i>
      <x v="22"/>
      <x v="8"/>
    </i>
    <i>
      <x v="23"/>
      <x v="9"/>
    </i>
    <i>
      <x v="24"/>
      <x v="10"/>
    </i>
    <i>
      <x v="25"/>
      <x v="11"/>
    </i>
    <i>
      <x v="26"/>
      <x v="12"/>
    </i>
    <i>
      <x v="27"/>
      <x v="13"/>
    </i>
    <i>
      <x v="28"/>
      <x v="7"/>
    </i>
    <i>
      <x v="29"/>
      <x v="8"/>
    </i>
    <i>
      <x v="30"/>
      <x v="9"/>
    </i>
    <i>
      <x v="31"/>
      <x v="10"/>
    </i>
    <i>
      <x v="32"/>
      <x v="11"/>
    </i>
    <i>
      <x v="33"/>
      <x v="12"/>
    </i>
    <i>
      <x v="34"/>
      <x v="7"/>
    </i>
  </rowItems>
  <colItems count="1">
    <i/>
  </colItems>
  <pageFields count="1">
    <pageField fld="2" hier="-1"/>
  </pageFields>
  <dataFields count="1">
    <dataField name=" Venta" fld="8" baseField="0" baseItem="0" numFmtId="167"/>
  </dataFields>
  <formats count="1">
    <format dxfId="7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4000000}" name="Tabla dinámica4" cacheId="112" applyNumberFormats="0" applyBorderFormats="0" applyFontFormats="0" applyPatternFormats="0" applyAlignmentFormats="0" applyWidthHeightFormats="1" dataCaption="Figures" updatedVersion="8" minRefreshableVersion="3" useAutoFormatting="1" rowGrandTotals="0" itemPrintTitles="1" createdVersion="5" indent="0" compact="0" compactData="0" multipleFieldFilters="0" chartFormat="37">
  <location ref="W2:X3" firstHeaderRow="0" firstDataRow="1" firstDataCol="0"/>
  <pivotFields count="11">
    <pivotField compact="0" numFmtId="14" outline="0" showAll="0" insertBlankRow="1" defaultSubtotal="0"/>
    <pivotField compact="0" outline="0" showAll="0"/>
    <pivotField compact="0" outline="0" showAll="0" insertBlankRow="1" defaultSubtotal="0">
      <items count="4">
        <item m="1" x="1"/>
        <item m="1" x="3"/>
        <item x="0"/>
        <item m="1" x="2"/>
      </items>
    </pivotField>
    <pivotField compact="0" outline="0" showAll="0"/>
    <pivotField compact="0" outline="0" showAll="0"/>
    <pivotField compact="0" outline="0" showAll="0"/>
    <pivotField compact="0" outline="0" showAll="0" insertBlankRow="1" defaultSubtotal="0"/>
    <pivotField compact="0" numFmtId="166" outline="0" showAll="0"/>
    <pivotField dataField="1" compact="0" numFmtId="166" outline="0" showAll="0" insertBlankRow="1" defaultSubtotal="0"/>
    <pivotField compact="0" outline="0" showAll="0"/>
    <pivotField compact="0" numFmtId="166" outline="0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 Venta" fld="8" baseField="0" baseItem="0" numFmtId="167"/>
    <dataField name="Promedio Venta" fld="8" subtotal="average" baseField="3" baseItem="0"/>
  </dataFields>
  <formats count="4">
    <format dxfId="77">
      <pivotArea outline="0" collapsedLevelsAreSubtotals="1" fieldPosition="0"/>
    </format>
    <format dxfId="7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5">
      <pivotArea outline="0" collapsedLevelsAreSubtotals="1" fieldPosition="0"/>
    </format>
    <format dxfId="74">
      <pivotArea dataOnly="0" outline="0" fieldPosition="0">
        <references count="1">
          <reference field="4294967294" count="1">
            <x v="0"/>
          </reference>
        </references>
      </pivotArea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filters count="1">
    <filter fld="0" type="dateNewerThan" evalOrder="-1" id="1">
      <autoFilter ref="A1">
        <filterColumn colId="0">
          <customFilters>
            <customFilter operator="greaterThan" val="43909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3000000}" name="Rentabilidad" cacheId="11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5" indent="0" compact="0" compactData="0" multipleFieldFilters="0" chartFormat="78">
  <location ref="AQ4:AR29" firstHeaderRow="1" firstDataRow="1" firstDataCol="2" rowPageCount="1" colPageCount="1"/>
  <pivotFields count="11">
    <pivotField axis="axisRow" compact="0" numFmtId="14" outline="0" showAll="0" defaultSubtotal="0">
      <items count="35">
        <item x="0"/>
        <item x="1"/>
        <item x="2"/>
        <item x="3"/>
        <item x="4"/>
        <item x="5"/>
        <item m="1" x="25"/>
        <item m="1" x="26"/>
        <item m="1" x="27"/>
        <item m="1" x="28"/>
        <item m="1" x="29"/>
        <item m="1" x="30"/>
        <item m="1" x="31"/>
        <item m="1" x="32"/>
        <item m="1" x="33"/>
        <item x="8"/>
        <item x="9"/>
        <item m="1" x="34"/>
        <item x="6"/>
        <item x="7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compact="0" outline="0" showAll="0"/>
    <pivotField axis="axisPage" compact="0" outline="0" showAll="0" defaultSubtotal="0">
      <items count="4">
        <item m="1" x="3"/>
        <item x="0"/>
        <item m="1" x="1"/>
        <item m="1" x="2"/>
      </items>
    </pivotField>
    <pivotField compact="0" outline="0" showAll="0"/>
    <pivotField compact="0" outline="0" showAll="0"/>
    <pivotField compact="0" outline="0" showAll="0"/>
    <pivotField axis="axisRow" compact="0" outline="0" showAll="0" defaultSubtotal="0">
      <items count="15">
        <item m="1" x="8"/>
        <item m="1" x="10"/>
        <item m="1" x="9"/>
        <item m="1" x="13"/>
        <item m="1" x="12"/>
        <item m="1" x="14"/>
        <item m="1" x="11"/>
        <item x="6"/>
        <item x="0"/>
        <item x="1"/>
        <item x="2"/>
        <item x="3"/>
        <item x="4"/>
        <item x="5"/>
        <item m="1" x="7"/>
      </items>
    </pivotField>
    <pivotField compact="0" numFmtId="166" outline="0" showAll="0"/>
    <pivotField compact="0" numFmtId="166" outline="0" showAll="0"/>
    <pivotField compact="0" outline="0" showAll="0"/>
    <pivotField compact="0" numFmtId="166" outline="0" showAll="0"/>
  </pivotFields>
  <rowFields count="2">
    <field x="0"/>
    <field x="6"/>
  </rowFields>
  <rowItems count="25">
    <i>
      <x/>
      <x v="8"/>
    </i>
    <i>
      <x v="1"/>
      <x v="9"/>
    </i>
    <i>
      <x v="2"/>
      <x v="10"/>
    </i>
    <i>
      <x v="3"/>
      <x v="11"/>
    </i>
    <i>
      <x v="4"/>
      <x v="12"/>
    </i>
    <i>
      <x v="5"/>
      <x v="13"/>
    </i>
    <i>
      <x v="15"/>
      <x v="10"/>
    </i>
    <i>
      <x v="16"/>
      <x v="11"/>
    </i>
    <i>
      <x v="18"/>
      <x v="8"/>
    </i>
    <i>
      <x v="19"/>
      <x v="9"/>
    </i>
    <i>
      <x v="20"/>
      <x v="13"/>
    </i>
    <i>
      <x v="21"/>
      <x v="7"/>
    </i>
    <i>
      <x v="22"/>
      <x v="8"/>
    </i>
    <i>
      <x v="23"/>
      <x v="9"/>
    </i>
    <i>
      <x v="24"/>
      <x v="10"/>
    </i>
    <i>
      <x v="25"/>
      <x v="11"/>
    </i>
    <i>
      <x v="26"/>
      <x v="12"/>
    </i>
    <i>
      <x v="27"/>
      <x v="13"/>
    </i>
    <i>
      <x v="28"/>
      <x v="7"/>
    </i>
    <i>
      <x v="29"/>
      <x v="8"/>
    </i>
    <i>
      <x v="30"/>
      <x v="9"/>
    </i>
    <i>
      <x v="31"/>
      <x v="10"/>
    </i>
    <i>
      <x v="32"/>
      <x v="11"/>
    </i>
    <i>
      <x v="33"/>
      <x v="12"/>
    </i>
    <i>
      <x v="34"/>
      <x v="7"/>
    </i>
  </rowItems>
  <colItems count="1">
    <i/>
  </colItems>
  <pageFields count="1">
    <pageField fld="2" hier="-1"/>
  </pageFields>
  <formats count="1">
    <format dxfId="7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día" xr10:uid="{00000000-0013-0000-FFFF-FFFF01000000}" sourceName="Tipo día">
  <pivotTables>
    <pivotTable tabId="33" name="Tabla dinámica4"/>
    <pivotTable tabId="33" name="Tabla dinámica1"/>
    <pivotTable tabId="33" name="Ventas"/>
    <pivotTable tabId="33" name="Rentabilidad"/>
  </pivotTables>
  <data>
    <tabular pivotCacheId="1825490339">
      <items count="4">
        <i x="0" s="1"/>
        <i x="1" s="1" nd="1"/>
        <i x="3" s="1" nd="1"/>
        <i x="2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día" xr10:uid="{00000000-0014-0000-FFFF-FFFF01000000}" cache="SegmentaciónDeDatos_Tipo_día" caption="            Tipo día" style="SlicerStyleLight3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2C64A0-4CF3-4BF3-B4D1-A582AE379202}" name="Opex_VE" displayName="Opex_VE" ref="A2:U369" totalsRowShown="0" headerRowDxfId="225" dataDxfId="223" headerRowBorderDxfId="224" tableBorderDxfId="222" headerRowCellStyle="Moneda" dataCellStyle="Moneda">
  <autoFilter ref="A2:U369" xr:uid="{F42C64A0-4CF3-4BF3-B4D1-A582AE379202}"/>
  <tableColumns count="21">
    <tableColumn id="1" xr3:uid="{2C5FFC6B-4D97-4DFE-A08E-9FC41A8AEB71}" name="Fecha" dataDxfId="221"/>
    <tableColumn id="3" xr3:uid="{2DEF0433-2FD6-4B43-AFF4-7F81F1CF232A}" name="No. Semana de operación" dataDxfId="220"/>
    <tableColumn id="19" xr3:uid="{43681804-F1D8-44D3-B0E2-91EFC1FA0F53}" name="dia" dataDxfId="219">
      <calculatedColumnFormula>+TEXT(Opex_VE[[#This Row],[Fecha]],"ddd")</calculatedColumnFormula>
    </tableColumn>
    <tableColumn id="2" xr3:uid="{F1A86BF2-0231-4C9F-A933-6CCF3FACCC1E}" name="Tipo día" dataDxfId="218"/>
    <tableColumn id="4" xr3:uid="{71E889C6-6EC4-472B-860E-42CD06AF6D56}" name="Tipo día2" dataDxfId="217"/>
    <tableColumn id="20" xr3:uid="{286ADCA7-C767-4750-8CC7-DDAB7F56E0D7}" name="Venta" dataDxfId="216" dataCellStyle="Moneda">
      <calculatedColumnFormula>IFERROR(VLOOKUP(Opex_VE[[#This Row],[Fecha]],Historia!A:B,2,0),VLOOKUP(Opex_VE[[#This Row],[dia]],Historia!#REF!,2,))</calculatedColumnFormula>
    </tableColumn>
    <tableColumn id="22" xr3:uid="{9714C417-3D16-448E-9EF5-D355BA4DFE1F}" name="MG" dataDxfId="215" dataCellStyle="Moneda">
      <calculatedColumnFormula>IFERROR(VLOOKUP(Opex_VE[[#This Row],[Fecha]],Historia!A:C,3,0),VLOOKUP(Opex_VE[[#This Row],[dia]],Historia!#REF!,3,0))</calculatedColumnFormula>
    </tableColumn>
    <tableColumn id="17" xr3:uid="{F11A243E-5177-4716-90A9-8DE1DFCCC901}" name="Rentabilidad" dataDxfId="214" dataCellStyle="Moneda">
      <calculatedColumnFormula>+Opex_VE[[#This Row],[MG]]-Opex_VE[[#This Row],[Opex]]</calculatedColumnFormula>
    </tableColumn>
    <tableColumn id="21" xr3:uid="{81336B45-3F3D-4285-98D9-1524F740B346}" name="Tipo" dataDxfId="213" dataCellStyle="Moneda">
      <calculatedColumnFormula>IFERROR(VLOOKUP(Opex_VE[[#This Row],[Fecha]],Historia!A:D,4,0),"Forecast")</calculatedColumnFormula>
    </tableColumn>
    <tableColumn id="5" xr3:uid="{1A36727E-2DF2-4E33-9350-BEAA4CE0F3F6}" name="Venta PE" dataDxfId="212" dataCellStyle="Moneda">
      <calculatedColumnFormula>+K3/0.4</calculatedColumnFormula>
    </tableColumn>
    <tableColumn id="6" xr3:uid="{2767A925-A389-401C-837F-E3E6BC57B8BE}" name="Opex" dataDxfId="211">
      <calculatedColumnFormula>+Opex_VE[[#This Row],[Arriendo]]+Opex_VE[[#This Row],[Servicios publicos]]+Opex_VE[[#This Row],[Nomina]]</calculatedColumnFormula>
    </tableColumn>
    <tableColumn id="8" xr3:uid="{0C7F97FE-83ED-4790-8A3A-AB7F123ED0F8}" name="Arriendo" dataDxfId="210" dataCellStyle="Moneda">
      <calculatedColumnFormula>+VLOOKUP(Opex_VE[[#This Row],[Fecha]],Opex!$B:$Y,OPEX_SALES!L$1,1)</calculatedColumnFormula>
    </tableColumn>
    <tableColumn id="7" xr3:uid="{BF098FC3-D1FB-4DCD-BE39-4D2B10617672}" name="Servicios publicos" dataDxfId="209">
      <calculatedColumnFormula>+SUM(Opex_VE[[#This Row],[Internet]:[Electricidad]])</calculatedColumnFormula>
    </tableColumn>
    <tableColumn id="9" xr3:uid="{2750D25F-D951-4E42-B79F-75FCC330D879}" name="Internet" dataDxfId="208" dataCellStyle="Moneda">
      <calculatedColumnFormula>+VLOOKUP(Opex_VE[[#This Row],[Fecha]],Opex!$B:$Y,OPEX_SALES!N$1,1)</calculatedColumnFormula>
    </tableColumn>
    <tableColumn id="10" xr3:uid="{B0E96ABB-0666-42E8-96F4-7C9D66FBDA10}" name="Gas" dataDxfId="207" dataCellStyle="Moneda">
      <calculatedColumnFormula>+VLOOKUP(Opex_VE[[#This Row],[Fecha]],Opex!$B:$Y,OPEX_SALES!O$1,1)</calculatedColumnFormula>
    </tableColumn>
    <tableColumn id="11" xr3:uid="{1CFB4C1B-1B9F-433E-8AA4-2EC0F6C7E3DE}" name="Agua" dataDxfId="206" dataCellStyle="Moneda">
      <calculatedColumnFormula>+VLOOKUP(Opex_VE[[#This Row],[Fecha]],Opex!$B:$Y,OPEX_SALES!P$1,1)</calculatedColumnFormula>
    </tableColumn>
    <tableColumn id="12" xr3:uid="{563C9589-A6B4-4E12-A978-F9705F4D99D9}" name="Electricidad" dataDxfId="205" dataCellStyle="Moneda">
      <calculatedColumnFormula>+VLOOKUP(Opex_VE[[#This Row],[Fecha]],Opex!$B:$Y,OPEX_SALES!Q$1,1)</calculatedColumnFormula>
    </tableColumn>
    <tableColumn id="13" xr3:uid="{2A07929F-3DDA-4577-A2D0-311A0ECA8CC6}" name="Nomina" dataDxfId="204">
      <calculatedColumnFormula>+SUM(Opex_VE[[#This Row],[Cajero]:[Domiciliario]])</calculatedColumnFormula>
    </tableColumn>
    <tableColumn id="14" xr3:uid="{6AAEFF98-C28E-48DC-976A-978B7EA004FF}" name="Cajero" dataDxfId="203" dataCellStyle="Moneda"/>
    <tableColumn id="15" xr3:uid="{6B28CF05-8D97-4A2E-B899-9E86B338C380}" name="Parrillero" dataDxfId="202" dataCellStyle="Moneda"/>
    <tableColumn id="16" xr3:uid="{AB38AAC2-23E6-40AE-9802-9929704AE2F6}" name="Domiciliario" dataDxfId="201" dataCellStyle="Mone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Opex" displayName="Opex" ref="A2:Y14" headerRowDxfId="200">
  <autoFilter ref="A2:Y14" xr:uid="{00000000-0009-0000-0100-000006000000}"/>
  <sortState xmlns:xlrd2="http://schemas.microsoft.com/office/spreadsheetml/2017/richdata2" ref="B3:S10">
    <sortCondition ref="B2:B10"/>
  </sortState>
  <tableColumns count="25">
    <tableColumn id="18" xr3:uid="{00000000-0010-0000-0200-000012000000}" name="Tipo" dataDxfId="199"/>
    <tableColumn id="1" xr3:uid="{00000000-0010-0000-0200-000001000000}" name="Fecha" dataDxfId="198" totalsRowDxfId="197"/>
    <tableColumn id="23" xr3:uid="{00000000-0010-0000-0200-000017000000}" name="fecha_fin" dataDxfId="196" totalsRowDxfId="195"/>
    <tableColumn id="4" xr3:uid="{00000000-0010-0000-0200-000004000000}" name="Mes" dataDxfId="194">
      <calculatedColumnFormula>+TEXT(B3,"mmmm")</calculatedColumnFormula>
    </tableColumn>
    <tableColumn id="10" xr3:uid="{00000000-0010-0000-0200-00000A000000}" name="Cuentas x Pagar" dataDxfId="193"/>
    <tableColumn id="22" xr3:uid="{00000000-0010-0000-0200-000016000000}" name="Día C x P" dataDxfId="192">
      <calculatedColumnFormula>+Opex[[#This Row],[Cuentas x Pagar]]/31</calculatedColumnFormula>
    </tableColumn>
    <tableColumn id="5" xr3:uid="{00000000-0010-0000-0200-000005000000}" name="Arriendo" dataDxfId="191" totalsRowDxfId="190">
      <calculatedColumnFormula>+L3*0.3</calculatedColumnFormula>
    </tableColumn>
    <tableColumn id="14" xr3:uid="{00000000-0010-0000-0200-00000E000000}" name="No. Días Arriendo" dataDxfId="189" totalsRowDxfId="188">
      <calculatedColumnFormula>+Opex[[#This Row],[fecha_fin]]-Opex[[#This Row],[Fecha]]</calculatedColumnFormula>
    </tableColumn>
    <tableColumn id="16" xr3:uid="{00000000-0010-0000-0200-000010000000}" name="Día Arriendo" dataDxfId="187" totalsRowDxfId="186">
      <calculatedColumnFormula>IFERROR(Opex[[#This Row],[Arriendo]]/Opex[[#This Row],[No. Días Arriendo]],0)</calculatedColumnFormula>
    </tableColumn>
    <tableColumn id="6" xr3:uid="{00000000-0010-0000-0200-000006000000}" name="Gas" dataDxfId="185"/>
    <tableColumn id="12" xr3:uid="{00000000-0010-0000-0200-00000C000000}" name="No. Días Gas" dataDxfId="184">
      <calculatedColumnFormula>+H2</calculatedColumnFormula>
    </tableColumn>
    <tableColumn id="9" xr3:uid="{00000000-0010-0000-0200-000009000000}" name="Consumo (m3)" dataDxfId="183"/>
    <tableColumn id="17" xr3:uid="{00000000-0010-0000-0200-000011000000}" name="Costo prom. Gas" dataDxfId="182">
      <calculatedColumnFormula>IFERROR(Opex[[#This Row],[Gas]]/Opex[[#This Row],[Consumo (m3)]],0)</calculatedColumnFormula>
    </tableColumn>
    <tableColumn id="19" xr3:uid="{00000000-0010-0000-0200-000013000000}" name="Día Gas" dataDxfId="181">
      <calculatedColumnFormula>IFERROR(Opex[[#This Row],[Gas]]/Opex[[#This Row],[No. Días Arriendo]],0)</calculatedColumnFormula>
    </tableColumn>
    <tableColumn id="3" xr3:uid="{00000000-0010-0000-0200-000003000000}" name="Agua" dataDxfId="180"/>
    <tableColumn id="7" xr3:uid="{00000000-0010-0000-0200-000007000000}" name="Dìa Agua" dataDxfId="179">
      <calculatedColumnFormula>IFERROR(Opex[[#This Row],[Agua]]/Opex[[#This Row],[No. Días Arriendo]],0)</calculatedColumnFormula>
    </tableColumn>
    <tableColumn id="11" xr3:uid="{00000000-0010-0000-0200-00000B000000}" name="Energia" dataDxfId="178" totalsRowDxfId="177"/>
    <tableColumn id="2" xr3:uid="{00000000-0010-0000-0200-000002000000}" name="Financiació Energia" dataDxfId="176" totalsRowDxfId="175"/>
    <tableColumn id="13" xr3:uid="{00000000-0010-0000-0200-00000D000000}" name="No. Días Energia" dataDxfId="174">
      <calculatedColumnFormula>+Z3</calculatedColumnFormula>
    </tableColumn>
    <tableColumn id="15" xr3:uid="{00000000-0010-0000-0200-00000F000000}" name="Consumo_x000a_(KhW" dataDxfId="173"/>
    <tableColumn id="20" xr3:uid="{00000000-0010-0000-0200-000014000000}" name="Costo prom. Energia" dataDxfId="172">
      <calculatedColumnFormula>IFERROR(Opex[[#This Row],[Energia]]/Opex[[#This Row],[Consumo
(KhW]],0)</calculatedColumnFormula>
    </tableColumn>
    <tableColumn id="8" xr3:uid="{00000000-0010-0000-0200-000008000000}" name="Fecha corte enega" dataDxfId="171">
      <calculatedColumnFormula>+Opex[[#This Row],[Arriendo]]-#REF!</calculatedColumnFormula>
    </tableColumn>
    <tableColumn id="21" xr3:uid="{00000000-0010-0000-0200-000015000000}" name="Día Energia" dataDxfId="170" dataCellStyle="Millares [0]">
      <calculatedColumnFormula>IFERROR(Opex[[#This Row],[Energia]]/Opex[[#This Row],[No. Días Arriendo]],0)</calculatedColumnFormula>
    </tableColumn>
    <tableColumn id="24" xr3:uid="{250A8029-F687-40A5-97B0-D75AA1291B83}" name="Internet" dataDxfId="169"/>
    <tableColumn id="25" xr3:uid="{A8105879-F33B-4759-B0B8-B8514DE62C29}" name="Día internet" dataDxfId="168">
      <calculatedColumnFormula>+Opex[[#This Row],[Internet]]/Opex[[#This Row],[No. Días Arriendo]]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sales" displayName="sales" ref="A1:N448" totalsRowShown="0" headerRowDxfId="247">
  <autoFilter ref="A1:N448" xr:uid="{00000000-0009-0000-0100-000005000000}"/>
  <tableColumns count="14">
    <tableColumn id="1" xr3:uid="{00000000-0010-0000-0000-000001000000}" name="Fecha" dataDxfId="246"/>
    <tableColumn id="25" xr3:uid="{00000000-0010-0000-0000-000019000000}" name="Hora" dataDxfId="245"/>
    <tableColumn id="2" xr3:uid="{00000000-0010-0000-0000-000002000000}" name="Tipo día" dataDxfId="244" totalsRowDxfId="243"/>
    <tableColumn id="7" xr3:uid="{00000000-0010-0000-0000-000007000000}" name="nombre_producto" dataDxfId="242" totalsRowDxfId="241"/>
    <tableColumn id="8" xr3:uid="{D7E4DE4C-7FB4-40FF-B586-5B38C4A0570E}" name="cantidad" dataDxfId="240" totalsRowDxfId="239">
      <calculatedColumnFormula>+[1]sales!G7</calculatedColumnFormula>
    </tableColumn>
    <tableColumn id="21" xr3:uid="{00000000-0010-0000-0000-000015000000}" name="No. Semana de operación" dataDxfId="238" totalsRowDxfId="237" dataCellStyle="Millares [0]">
      <calculatedColumnFormula>+_xlfn.XLOOKUP(sales[[#This Row],[Fecha]],OPEX_SALES!A:A,OPEX_SALES!B:B)</calculatedColumnFormula>
    </tableColumn>
    <tableColumn id="10" xr3:uid="{00000000-0010-0000-0000-00000A000000}" name="Tipo día2" dataDxfId="236" totalsRowDxfId="235">
      <calculatedColumnFormula>+_xlfn.XLOOKUP(sales[[#This Row],[Fecha]],OPEX_SALES!A:A,OPEX_SALES!E:E)</calculatedColumnFormula>
    </tableColumn>
    <tableColumn id="3" xr3:uid="{00000000-0010-0000-0000-000003000000}" name="Día" dataDxfId="234">
      <calculatedColumnFormula>+TEXT(sales[[#This Row],[Fecha]],"ddd")</calculatedColumnFormula>
    </tableColumn>
    <tableColumn id="5" xr3:uid="{00000000-0010-0000-0000-000005000000}" name="MG" dataDxfId="233" totalsRowDxfId="232">
      <calculatedColumnFormula>+sales[[#This Row],[Venta]]-sales[[#This Row],[costo_venta]]</calculatedColumnFormula>
    </tableColumn>
    <tableColumn id="6" xr3:uid="{00000000-0010-0000-0000-000006000000}" name="Venta" dataDxfId="231" totalsRowDxfId="230">
      <calculatedColumnFormula>+SUM(sales[[#This Row],[Caja]:[Bancos]])</calculatedColumnFormula>
    </tableColumn>
    <tableColumn id="9" xr3:uid="{00000000-0010-0000-0000-000009000000}" name="Caja" dataDxfId="229"/>
    <tableColumn id="11" xr3:uid="{00000000-0010-0000-0000-00000B000000}" name="Bancos" dataDxfId="228" totalsRowDxfId="227"/>
    <tableColumn id="4" xr3:uid="{C91C9EC7-C4D2-46BD-8516-527108492EC1}" name="costo_venta">
      <calculatedColumnFormula>[1]sales!L7*sales[[#This Row],[cantidad]]</calculatedColumnFormula>
    </tableColumn>
    <tableColumn id="12" xr3:uid="{1E0A872E-6DE3-4BD5-ADCC-27585555DDD1}" name="%MG" dataDxfId="226">
      <calculatedColumnFormula>+(sales[[#This Row],[Venta]]-sales[[#This Row],[costo_venta]])/sales[[#This Row],[Venta]]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3000000}" name="Planta_y_Equipo" displayName="Planta_y_Equipo" ref="B34:D56" totalsRowCount="1" headerRowDxfId="103">
  <autoFilter ref="B34:D55" xr:uid="{00000000-0009-0000-0100-00000D000000}"/>
  <sortState xmlns:xlrd2="http://schemas.microsoft.com/office/spreadsheetml/2017/richdata2" ref="B19:D42">
    <sortCondition descending="1" ref="D18:D42"/>
  </sortState>
  <tableColumns count="3">
    <tableColumn id="1" xr3:uid="{00000000-0010-0000-0300-000001000000}" name="Inversion Proyecto" totalsRowLabel="Total"/>
    <tableColumn id="2" xr3:uid="{00000000-0010-0000-0300-000002000000}" name="Origen Equipo" dataDxfId="102" dataCellStyle="Millares"/>
    <tableColumn id="3" xr3:uid="{00000000-0010-0000-0300-000003000000}" name="Valor" totalsRowFunction="sum" dataDxfId="101" totalsRowDxfId="100" dataCellStyle="Millares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4000000}" name="Stock_Actual" displayName="Stock_Actual" ref="H34:I43" totalsRowCount="1" headerRowDxfId="99" dataDxfId="97" headerRowBorderDxfId="98" tableBorderDxfId="96" totalsRowBorderDxfId="95">
  <autoFilter ref="H34:I42" xr:uid="{00000000-0009-0000-0100-00000E000000}"/>
  <sortState xmlns:xlrd2="http://schemas.microsoft.com/office/spreadsheetml/2017/richdata2" ref="H25:I36">
    <sortCondition descending="1" ref="I19:I31"/>
  </sortState>
  <tableColumns count="2">
    <tableColumn id="1" xr3:uid="{00000000-0010-0000-0400-000001000000}" name="Materia Prima" totalsRowLabel="Total" dataDxfId="94" totalsRowDxfId="93"/>
    <tableColumn id="2" xr3:uid="{00000000-0010-0000-0400-000002000000}" name="Valor" totalsRowFunction="sum" dataDxfId="92" totalsRowDxfId="91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5000000}" name="Gastos_entrada" displayName="Gastos_entrada" ref="H4:I9" totalsRowCount="1" headerRowDxfId="90">
  <autoFilter ref="H4:I8" xr:uid="{00000000-0009-0000-0100-00000F000000}"/>
  <sortState xmlns:xlrd2="http://schemas.microsoft.com/office/spreadsheetml/2017/richdata2" ref="H5:I11">
    <sortCondition descending="1" ref="I2:I9"/>
  </sortState>
  <tableColumns count="2">
    <tableColumn id="1" xr3:uid="{00000000-0010-0000-0500-000001000000}" name="Tipo de gasto" totalsRowLabel="Total"/>
    <tableColumn id="2" xr3:uid="{00000000-0010-0000-0500-000002000000}" name="Valor" totalsRowFunction="sum" dataDxfId="89" totalsRowDxfId="88" dataCellStyle="Millares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6000000}" name="Stock_Ideal" displayName="Stock_Ideal" ref="H46:I54" totalsRowCount="1" headerRowDxfId="87" dataDxfId="85" headerRowBorderDxfId="86" tableBorderDxfId="84" totalsRowBorderDxfId="83">
  <autoFilter ref="H46:I53" xr:uid="{00000000-0009-0000-0100-000004000000}"/>
  <sortState xmlns:xlrd2="http://schemas.microsoft.com/office/spreadsheetml/2017/richdata2" ref="H47:I53">
    <sortCondition descending="1" ref="I19:I31"/>
  </sortState>
  <tableColumns count="2">
    <tableColumn id="1" xr3:uid="{00000000-0010-0000-0600-000001000000}" name="Materia Prima" totalsRowLabel="Total" dataDxfId="82" totalsRowDxfId="81"/>
    <tableColumn id="2" xr3:uid="{00000000-0010-0000-0600-000002000000}" name="Valor" totalsRowFunction="sum" dataDxfId="80" totalsRowDxfId="79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7000000}" name="Pasivos" displayName="Pasivos" ref="A5:D8" totalsRowCount="1" headerRowDxfId="71" dataDxfId="69" totalsRowDxfId="67" headerRowBorderDxfId="70" tableBorderDxfId="68">
  <autoFilter ref="A5:D7" xr:uid="{00000000-0009-0000-0100-000002000000}"/>
  <tableColumns count="4">
    <tableColumn id="5" xr3:uid="{00000000-0010-0000-0700-000005000000}" name="Nombre proveedor" dataDxfId="66" totalsRowDxfId="65" dataCellStyle="Moneda"/>
    <tableColumn id="7" xr3:uid="{00000000-0010-0000-0700-000007000000}" name="Descripción" totalsRowLabel="Total" dataDxfId="64" totalsRowDxfId="63" dataCellStyle="Moneda 3"/>
    <tableColumn id="16" xr3:uid="{00000000-0010-0000-0700-000010000000}" name="Estado Tesoreria" dataDxfId="62" totalsRowDxfId="61" dataCellStyle="Moneda 3"/>
    <tableColumn id="15" xr3:uid="{00000000-0010-0000-0700-00000F000000}" name="Saldo nuevo admón" dataDxfId="60" totalsRowDxfId="59" dataCellStyle="Moneda 3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9000000}" name="Opex9" displayName="Opex9" ref="B1:U20" headerRowDxfId="58">
  <autoFilter ref="B1:U20" xr:uid="{00000000-0009-0000-0100-000008000000}"/>
  <sortState xmlns:xlrd2="http://schemas.microsoft.com/office/spreadsheetml/2017/richdata2" ref="B2:Q9">
    <sortCondition ref="B1:B9"/>
  </sortState>
  <tableColumns count="20">
    <tableColumn id="18" xr3:uid="{00000000-0010-0000-0900-000012000000}" name="Tipo" dataDxfId="57"/>
    <tableColumn id="1" xr3:uid="{00000000-0010-0000-0900-000001000000}" name="Fecha" dataDxfId="56" totalsRowDxfId="55"/>
    <tableColumn id="4" xr3:uid="{00000000-0010-0000-0900-000004000000}" name="Mes" dataDxfId="54">
      <calculatedColumnFormula>+TEXT(C2,"mmmm")</calculatedColumnFormula>
    </tableColumn>
    <tableColumn id="5" xr3:uid="{00000000-0010-0000-0900-000005000000}" name="Arriendo" dataDxfId="53" totalsRowDxfId="52">
      <calculatedColumnFormula>+J2*0.3</calculatedColumnFormula>
    </tableColumn>
    <tableColumn id="14" xr3:uid="{00000000-0010-0000-0900-00000E000000}" name="No. Días Arriendo" dataDxfId="51" totalsRowDxfId="50"/>
    <tableColumn id="16" xr3:uid="{00000000-0010-0000-0900-000010000000}" name="Día Arriendo" dataDxfId="49" totalsRowDxfId="48">
      <calculatedColumnFormula>IFERROR(Opex9[[#This Row],[Arriendo]]/Opex9[[#This Row],[No. Días Arriendo]],0)</calculatedColumnFormula>
    </tableColumn>
    <tableColumn id="6" xr3:uid="{00000000-0010-0000-0900-000006000000}" name="Gas" dataDxfId="47" totalsRowDxfId="46"/>
    <tableColumn id="12" xr3:uid="{00000000-0010-0000-0900-00000C000000}" name="No. Días Gas" dataDxfId="45" totalsRowDxfId="44">
      <calculatedColumnFormula>+F1</calculatedColumnFormula>
    </tableColumn>
    <tableColumn id="9" xr3:uid="{00000000-0010-0000-0900-000009000000}" name="Consumo (m3)" dataDxfId="43" totalsRowDxfId="42"/>
    <tableColumn id="17" xr3:uid="{00000000-0010-0000-0900-000011000000}" name="Costo prom. Gas" dataDxfId="41" totalsRowDxfId="40">
      <calculatedColumnFormula>IFERROR(Opex9[[#This Row],[Gas]]/Opex9[[#This Row],[Consumo (m3)]],0)</calculatedColumnFormula>
    </tableColumn>
    <tableColumn id="19" xr3:uid="{00000000-0010-0000-0900-000013000000}" name="Día Gas" dataDxfId="39">
      <calculatedColumnFormula>IFERROR(Opex9[[#This Row],[Gas]]/Opex9[[#This Row],[No. Días Arriendo]],0)</calculatedColumnFormula>
    </tableColumn>
    <tableColumn id="3" xr3:uid="{00000000-0010-0000-0900-000003000000}" name="Agua" dataDxfId="38"/>
    <tableColumn id="7" xr3:uid="{00000000-0010-0000-0900-000007000000}" name="Dìa Agua" dataDxfId="37">
      <calculatedColumnFormula>IFERROR(Opex9[[#This Row],[Agua]]/Opex9[[#This Row],[No. Días Arriendo]],0)</calculatedColumnFormula>
    </tableColumn>
    <tableColumn id="11" xr3:uid="{00000000-0010-0000-0900-00000B000000}" name="Energia" dataDxfId="36" totalsRowDxfId="35"/>
    <tableColumn id="2" xr3:uid="{00000000-0010-0000-0900-000002000000}" name="Financiació Energia" dataDxfId="34" totalsRowDxfId="33"/>
    <tableColumn id="13" xr3:uid="{00000000-0010-0000-0900-00000D000000}" name="No. Días Energia" dataDxfId="32">
      <calculatedColumnFormula>+X2</calculatedColumnFormula>
    </tableColumn>
    <tableColumn id="15" xr3:uid="{00000000-0010-0000-0900-00000F000000}" name="Consumo_x000a_(KhW" dataDxfId="31"/>
    <tableColumn id="20" xr3:uid="{00000000-0010-0000-0900-000014000000}" name="Costo prom. Energia" dataDxfId="30">
      <calculatedColumnFormula>IFERROR(Opex9[[#This Row],[Energia]]/Opex9[[#This Row],[Consumo
(KhW]],0)</calculatedColumnFormula>
    </tableColumn>
    <tableColumn id="8" xr3:uid="{00000000-0010-0000-0900-000008000000}" name="Fecha corte enega" dataDxfId="29">
      <calculatedColumnFormula>+Opex9[[#This Row],[Arriendo]]-#REF!</calculatedColumnFormula>
    </tableColumn>
    <tableColumn id="21" xr3:uid="{00000000-0010-0000-0900-000015000000}" name="Día Energia" dataDxfId="28" dataCellStyle="Millares [0]">
      <calculatedColumnFormula>IFERROR(Opex9[[#This Row],[Energia]]/Opex9[[#This Row],[No. Días Arriendo]],0)</calculatedColumnFormula>
    </tableColumn>
  </tableColumns>
  <tableStyleInfo name="TableStyleMedium1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drawing" Target="../drawings/drawing3.xml"/><Relationship Id="rId7" Type="http://schemas.openxmlformats.org/officeDocument/2006/relationships/table" Target="../tables/table6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vmlDrawing" Target="../drawings/vmlDrawing2.vml"/><Relationship Id="rId9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7" Type="http://schemas.microsoft.com/office/2007/relationships/slicer" Target="../slicers/slicer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5.bin"/><Relationship Id="rId4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A1"/>
  <sheetViews>
    <sheetView showGridLines="0" zoomScale="115" zoomScaleNormal="115" workbookViewId="0">
      <selection activeCell="F8" sqref="F8"/>
    </sheetView>
  </sheetViews>
  <sheetFormatPr baseColWidth="10" defaultRowHeight="14.25" x14ac:dyDescent="0.2"/>
  <sheetData>
    <row r="1" spans="27:27" x14ac:dyDescent="0.2">
      <c r="AA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9"/>
  <sheetViews>
    <sheetView workbookViewId="0">
      <pane ySplit="2" topLeftCell="A3" activePane="bottomLeft" state="frozen"/>
      <selection pane="bottomLeft" activeCell="A13" sqref="A13"/>
    </sheetView>
  </sheetViews>
  <sheetFormatPr baseColWidth="10" defaultRowHeight="14.25" x14ac:dyDescent="0.2"/>
  <cols>
    <col min="1" max="1" width="10.875" bestFit="1" customWidth="1"/>
    <col min="2" max="2" width="15" bestFit="1" customWidth="1"/>
    <col min="3" max="3" width="7.375" style="3" bestFit="1" customWidth="1"/>
    <col min="4" max="4" width="7.375" style="3" customWidth="1"/>
    <col min="5" max="5" width="10.25" style="3" bestFit="1" customWidth="1"/>
    <col min="7" max="7" width="23.5" bestFit="1" customWidth="1"/>
    <col min="8" max="8" width="14.125" bestFit="1" customWidth="1"/>
    <col min="9" max="9" width="8.5" bestFit="1" customWidth="1"/>
    <col min="10" max="10" width="12.375" customWidth="1"/>
    <col min="11" max="11" width="12.375" bestFit="1" customWidth="1"/>
    <col min="12" max="12" width="11" style="152"/>
    <col min="13" max="13" width="17.875" style="152" customWidth="1"/>
    <col min="14" max="14" width="11.375" style="152" bestFit="1" customWidth="1"/>
    <col min="15" max="15" width="11.375" style="152" customWidth="1"/>
    <col min="16" max="17" width="11" style="152"/>
    <col min="18" max="18" width="12.625" style="152" customWidth="1"/>
    <col min="19" max="21" width="11" style="152"/>
    <col min="22" max="22" width="13.375" style="152" customWidth="1"/>
  </cols>
  <sheetData>
    <row r="1" spans="1:22" x14ac:dyDescent="0.2">
      <c r="L1" s="191">
        <v>8</v>
      </c>
      <c r="N1" s="191">
        <v>24</v>
      </c>
      <c r="O1" s="191">
        <v>13</v>
      </c>
      <c r="P1" s="191">
        <v>15</v>
      </c>
      <c r="Q1" s="191">
        <v>22</v>
      </c>
    </row>
    <row r="2" spans="1:22" ht="28.5" x14ac:dyDescent="0.2">
      <c r="A2" s="158" t="s">
        <v>38</v>
      </c>
      <c r="B2" s="194" t="s">
        <v>171</v>
      </c>
      <c r="C2" s="159" t="s">
        <v>201</v>
      </c>
      <c r="D2" s="4" t="s">
        <v>47</v>
      </c>
      <c r="E2" s="158" t="s">
        <v>110</v>
      </c>
      <c r="F2" s="158" t="s">
        <v>9</v>
      </c>
      <c r="G2" s="100" t="s">
        <v>203</v>
      </c>
      <c r="H2" s="174" t="s">
        <v>46</v>
      </c>
      <c r="I2" s="158" t="s">
        <v>133</v>
      </c>
      <c r="J2" s="158" t="s">
        <v>198</v>
      </c>
      <c r="K2" s="160" t="s">
        <v>224</v>
      </c>
      <c r="L2" s="161" t="s">
        <v>116</v>
      </c>
      <c r="M2" s="160" t="s">
        <v>200</v>
      </c>
      <c r="N2" s="162" t="s">
        <v>192</v>
      </c>
      <c r="O2" s="163" t="s">
        <v>117</v>
      </c>
      <c r="P2" s="164" t="s">
        <v>140</v>
      </c>
      <c r="Q2" s="165" t="s">
        <v>142</v>
      </c>
      <c r="R2" s="166" t="s">
        <v>143</v>
      </c>
      <c r="S2" s="167" t="s">
        <v>190</v>
      </c>
      <c r="T2" s="167" t="s">
        <v>191</v>
      </c>
      <c r="U2" s="167" t="s">
        <v>146</v>
      </c>
      <c r="V2"/>
    </row>
    <row r="3" spans="1:22" x14ac:dyDescent="0.2">
      <c r="A3" s="176">
        <v>46068</v>
      </c>
      <c r="B3" s="177">
        <v>0</v>
      </c>
      <c r="C3" s="177" t="str">
        <f>+TEXT(Opex_VE[[#This Row],[Fecha]],"ddd")</f>
        <v>dom</v>
      </c>
      <c r="D3" s="175" t="s">
        <v>216</v>
      </c>
      <c r="E3" s="14" t="s">
        <v>145</v>
      </c>
      <c r="F3" s="178">
        <v>0</v>
      </c>
      <c r="G3" s="180">
        <v>0</v>
      </c>
      <c r="H3" s="181">
        <f>+Opex_VE[[#This Row],[MG]]-Opex_VE[[#This Row],[Opex]]</f>
        <v>0</v>
      </c>
      <c r="I3" s="178" t="s">
        <v>134</v>
      </c>
      <c r="J3" s="180">
        <f>+Opex_VE[[#This Row],[Opex]]</f>
        <v>0</v>
      </c>
      <c r="K3" s="151">
        <v>0</v>
      </c>
      <c r="L3" s="179">
        <f>+VLOOKUP(Opex_VE[[#This Row],[Fecha]],Opex!$B:$Y,OPEX_SALES!L$1,1)</f>
        <v>61111.111111111109</v>
      </c>
      <c r="M3" s="151">
        <f>+SUM(Opex_VE[[#This Row],[Internet]:[Electricidad]])</f>
        <v>0</v>
      </c>
      <c r="N3" s="179">
        <f>+VLOOKUP(Opex_VE[[#This Row],[Fecha]],Opex!$B:$Y,OPEX_SALES!N$1,1)</f>
        <v>0</v>
      </c>
      <c r="O3" s="179">
        <f>+VLOOKUP(Opex_VE[[#This Row],[Fecha]],Opex!$B:$Y,OPEX_SALES!O$1,1)</f>
        <v>0</v>
      </c>
      <c r="P3" s="179">
        <f>+VLOOKUP(Opex_VE[[#This Row],[Fecha]],Opex!$B:$Y,OPEX_SALES!P$1,1)</f>
        <v>0</v>
      </c>
      <c r="Q3" s="179">
        <f>+VLOOKUP(Opex_VE[[#This Row],[Fecha]],Opex!$B:$Y,OPEX_SALES!Q$1,1)</f>
        <v>0</v>
      </c>
      <c r="R3" s="151">
        <f>+SUM(Opex_VE[[#This Row],[Cajero]:[Domiciliario]])</f>
        <v>0</v>
      </c>
      <c r="S3" s="179">
        <v>0</v>
      </c>
      <c r="T3" s="179">
        <v>0</v>
      </c>
      <c r="U3" s="179">
        <v>0</v>
      </c>
      <c r="V3"/>
    </row>
    <row r="4" spans="1:22" x14ac:dyDescent="0.2">
      <c r="A4" s="176">
        <v>46069</v>
      </c>
      <c r="B4" s="177">
        <v>1</v>
      </c>
      <c r="C4" s="177" t="str">
        <f>+TEXT(Opex_VE[[#This Row],[Fecha]],"ddd")</f>
        <v>lun</v>
      </c>
      <c r="D4" s="175" t="s">
        <v>216</v>
      </c>
      <c r="E4" s="14" t="s">
        <v>112</v>
      </c>
      <c r="F4" s="178">
        <v>0</v>
      </c>
      <c r="G4" s="180">
        <v>0</v>
      </c>
      <c r="H4" s="181">
        <f>+Opex_VE[[#This Row],[MG]]-Opex_VE[[#This Row],[Opex]]</f>
        <v>0</v>
      </c>
      <c r="I4" s="178" t="s">
        <v>134</v>
      </c>
      <c r="J4" s="180">
        <f>+Opex_VE[[#This Row],[Opex]]</f>
        <v>0</v>
      </c>
      <c r="K4" s="151">
        <v>0</v>
      </c>
      <c r="L4" s="179">
        <f>+VLOOKUP(Opex_VE[[#This Row],[Fecha]],Opex!$B:$Y,OPEX_SALES!L$1,1)</f>
        <v>61111.111111111109</v>
      </c>
      <c r="M4" s="151">
        <f>+SUM(Opex_VE[[#This Row],[Internet]:[Electricidad]])</f>
        <v>0</v>
      </c>
      <c r="N4" s="179">
        <f>+VLOOKUP(Opex_VE[[#This Row],[Fecha]],Opex!$B:$Y,OPEX_SALES!N$1,1)</f>
        <v>0</v>
      </c>
      <c r="O4" s="179">
        <f>+VLOOKUP(Opex_VE[[#This Row],[Fecha]],Opex!$B:$Y,OPEX_SALES!O$1,1)</f>
        <v>0</v>
      </c>
      <c r="P4" s="179">
        <f>+VLOOKUP(Opex_VE[[#This Row],[Fecha]],Opex!$B:$Y,OPEX_SALES!P$1,1)</f>
        <v>0</v>
      </c>
      <c r="Q4" s="179">
        <f>+VLOOKUP(Opex_VE[[#This Row],[Fecha]],Opex!$B:$Y,OPEX_SALES!Q$1,1)</f>
        <v>0</v>
      </c>
      <c r="R4" s="151">
        <f>+SUM(Opex_VE[[#This Row],[Cajero]:[Domiciliario]])</f>
        <v>0</v>
      </c>
      <c r="S4" s="179">
        <v>0</v>
      </c>
      <c r="T4" s="179">
        <v>0</v>
      </c>
      <c r="U4" s="179">
        <v>0</v>
      </c>
      <c r="V4"/>
    </row>
    <row r="5" spans="1:22" x14ac:dyDescent="0.2">
      <c r="A5" s="176">
        <v>46070</v>
      </c>
      <c r="B5" s="177">
        <v>1</v>
      </c>
      <c r="C5" s="177" t="str">
        <f>+TEXT(Opex_VE[[#This Row],[Fecha]],"ddd")</f>
        <v>mar</v>
      </c>
      <c r="D5" s="175" t="s">
        <v>216</v>
      </c>
      <c r="E5" s="14" t="s">
        <v>112</v>
      </c>
      <c r="F5" s="178">
        <v>0</v>
      </c>
      <c r="G5" s="180">
        <v>0</v>
      </c>
      <c r="H5" s="181">
        <f>+Opex_VE[[#This Row],[MG]]-Opex_VE[[#This Row],[Opex]]</f>
        <v>0</v>
      </c>
      <c r="I5" s="178" t="s">
        <v>134</v>
      </c>
      <c r="J5" s="180">
        <f>+Opex_VE[[#This Row],[Opex]]</f>
        <v>0</v>
      </c>
      <c r="K5" s="151">
        <v>0</v>
      </c>
      <c r="L5" s="179">
        <f>+VLOOKUP(Opex_VE[[#This Row],[Fecha]],Opex!$B:$Y,OPEX_SALES!L$1,1)</f>
        <v>61111.111111111109</v>
      </c>
      <c r="M5" s="151">
        <f>+SUM(Opex_VE[[#This Row],[Internet]:[Electricidad]])</f>
        <v>0</v>
      </c>
      <c r="N5" s="179">
        <f>+VLOOKUP(Opex_VE[[#This Row],[Fecha]],Opex!$B:$Y,OPEX_SALES!N$1,1)</f>
        <v>0</v>
      </c>
      <c r="O5" s="179">
        <f>+VLOOKUP(Opex_VE[[#This Row],[Fecha]],Opex!$B:$Y,OPEX_SALES!O$1,1)</f>
        <v>0</v>
      </c>
      <c r="P5" s="179">
        <f>+VLOOKUP(Opex_VE[[#This Row],[Fecha]],Opex!$B:$Y,OPEX_SALES!P$1,1)</f>
        <v>0</v>
      </c>
      <c r="Q5" s="179">
        <f>+VLOOKUP(Opex_VE[[#This Row],[Fecha]],Opex!$B:$Y,OPEX_SALES!Q$1,1)</f>
        <v>0</v>
      </c>
      <c r="R5" s="151">
        <f>+SUM(Opex_VE[[#This Row],[Cajero]:[Domiciliario]])</f>
        <v>0</v>
      </c>
      <c r="S5" s="179">
        <v>0</v>
      </c>
      <c r="T5" s="179">
        <v>0</v>
      </c>
      <c r="U5" s="179">
        <v>0</v>
      </c>
      <c r="V5"/>
    </row>
    <row r="6" spans="1:22" x14ac:dyDescent="0.2">
      <c r="A6" s="176">
        <v>46071</v>
      </c>
      <c r="B6" s="177">
        <v>1</v>
      </c>
      <c r="C6" s="177" t="str">
        <f>+TEXT(Opex_VE[[#This Row],[Fecha]],"ddd")</f>
        <v>mié</v>
      </c>
      <c r="D6" s="175" t="s">
        <v>216</v>
      </c>
      <c r="E6" s="14" t="s">
        <v>112</v>
      </c>
      <c r="F6" s="178">
        <v>0</v>
      </c>
      <c r="G6" s="180">
        <v>0</v>
      </c>
      <c r="H6" s="181">
        <f>+Opex_VE[[#This Row],[MG]]-Opex_VE[[#This Row],[Opex]]</f>
        <v>0</v>
      </c>
      <c r="I6" s="178" t="s">
        <v>134</v>
      </c>
      <c r="J6" s="180">
        <f>+Opex_VE[[#This Row],[Opex]]</f>
        <v>0</v>
      </c>
      <c r="K6" s="151">
        <v>0</v>
      </c>
      <c r="L6" s="179">
        <f>+VLOOKUP(Opex_VE[[#This Row],[Fecha]],Opex!$B:$Y,OPEX_SALES!L$1,1)</f>
        <v>61111.111111111109</v>
      </c>
      <c r="M6" s="151">
        <f>+SUM(Opex_VE[[#This Row],[Internet]:[Electricidad]])</f>
        <v>0</v>
      </c>
      <c r="N6" s="179">
        <f>+VLOOKUP(Opex_VE[[#This Row],[Fecha]],Opex!$B:$Y,OPEX_SALES!N$1,1)</f>
        <v>0</v>
      </c>
      <c r="O6" s="179">
        <f>+VLOOKUP(Opex_VE[[#This Row],[Fecha]],Opex!$B:$Y,OPEX_SALES!O$1,1)</f>
        <v>0</v>
      </c>
      <c r="P6" s="179">
        <f>+VLOOKUP(Opex_VE[[#This Row],[Fecha]],Opex!$B:$Y,OPEX_SALES!P$1,1)</f>
        <v>0</v>
      </c>
      <c r="Q6" s="179">
        <f>+VLOOKUP(Opex_VE[[#This Row],[Fecha]],Opex!$B:$Y,OPEX_SALES!Q$1,1)</f>
        <v>0</v>
      </c>
      <c r="R6" s="151">
        <f>+SUM(Opex_VE[[#This Row],[Cajero]:[Domiciliario]])</f>
        <v>0</v>
      </c>
      <c r="S6" s="179">
        <v>0</v>
      </c>
      <c r="T6" s="179">
        <v>0</v>
      </c>
      <c r="U6" s="179">
        <v>0</v>
      </c>
      <c r="V6"/>
    </row>
    <row r="7" spans="1:22" x14ac:dyDescent="0.2">
      <c r="A7" s="176">
        <v>46072</v>
      </c>
      <c r="B7" s="177">
        <v>1</v>
      </c>
      <c r="C7" s="177" t="str">
        <f>+TEXT(Opex_VE[[#This Row],[Fecha]],"ddd")</f>
        <v>jue</v>
      </c>
      <c r="D7" s="175" t="s">
        <v>216</v>
      </c>
      <c r="E7" s="14" t="s">
        <v>112</v>
      </c>
      <c r="F7" s="178">
        <v>0</v>
      </c>
      <c r="G7" s="180">
        <v>0</v>
      </c>
      <c r="H7" s="181">
        <f>+Opex_VE[[#This Row],[MG]]-Opex_VE[[#This Row],[Opex]]</f>
        <v>0</v>
      </c>
      <c r="I7" s="178" t="s">
        <v>134</v>
      </c>
      <c r="J7" s="180">
        <f>+Opex_VE[[#This Row],[Opex]]</f>
        <v>0</v>
      </c>
      <c r="K7" s="151">
        <v>0</v>
      </c>
      <c r="L7" s="179">
        <f>+VLOOKUP(Opex_VE[[#This Row],[Fecha]],Opex!$B:$Y,OPEX_SALES!L$1,1)</f>
        <v>61111.111111111109</v>
      </c>
      <c r="M7" s="151">
        <f>+SUM(Opex_VE[[#This Row],[Internet]:[Electricidad]])</f>
        <v>0</v>
      </c>
      <c r="N7" s="179">
        <f>+VLOOKUP(Opex_VE[[#This Row],[Fecha]],Opex!$B:$Y,OPEX_SALES!N$1,1)</f>
        <v>0</v>
      </c>
      <c r="O7" s="179">
        <f>+VLOOKUP(Opex_VE[[#This Row],[Fecha]],Opex!$B:$Y,OPEX_SALES!O$1,1)</f>
        <v>0</v>
      </c>
      <c r="P7" s="179">
        <f>+VLOOKUP(Opex_VE[[#This Row],[Fecha]],Opex!$B:$Y,OPEX_SALES!P$1,1)</f>
        <v>0</v>
      </c>
      <c r="Q7" s="179">
        <f>+VLOOKUP(Opex_VE[[#This Row],[Fecha]],Opex!$B:$Y,OPEX_SALES!Q$1,1)</f>
        <v>0</v>
      </c>
      <c r="R7" s="151">
        <f>+SUM(Opex_VE[[#This Row],[Cajero]:[Domiciliario]])</f>
        <v>0</v>
      </c>
      <c r="S7" s="179">
        <v>0</v>
      </c>
      <c r="T7" s="179">
        <v>0</v>
      </c>
      <c r="U7" s="179">
        <v>0</v>
      </c>
      <c r="V7"/>
    </row>
    <row r="8" spans="1:22" x14ac:dyDescent="0.2">
      <c r="A8" s="176">
        <v>46073</v>
      </c>
      <c r="B8" s="177">
        <v>1</v>
      </c>
      <c r="C8" s="177" t="str">
        <f>+TEXT(Opex_VE[[#This Row],[Fecha]],"ddd")</f>
        <v>vie</v>
      </c>
      <c r="D8" s="175" t="s">
        <v>216</v>
      </c>
      <c r="E8" s="14" t="s">
        <v>217</v>
      </c>
      <c r="F8" s="178">
        <v>0</v>
      </c>
      <c r="G8" s="180">
        <v>0</v>
      </c>
      <c r="H8" s="181">
        <f>+Opex_VE[[#This Row],[MG]]-Opex_VE[[#This Row],[Opex]]</f>
        <v>0</v>
      </c>
      <c r="I8" s="178" t="s">
        <v>134</v>
      </c>
      <c r="J8" s="180">
        <f>+Opex_VE[[#This Row],[Opex]]</f>
        <v>0</v>
      </c>
      <c r="K8" s="151">
        <v>0</v>
      </c>
      <c r="L8" s="179">
        <f>+VLOOKUP(Opex_VE[[#This Row],[Fecha]],Opex!$B:$Y,OPEX_SALES!L$1,1)</f>
        <v>61111.111111111109</v>
      </c>
      <c r="M8" s="151">
        <f>+SUM(Opex_VE[[#This Row],[Internet]:[Electricidad]])</f>
        <v>0</v>
      </c>
      <c r="N8" s="179">
        <f>+VLOOKUP(Opex_VE[[#This Row],[Fecha]],Opex!$B:$Y,OPEX_SALES!N$1,1)</f>
        <v>0</v>
      </c>
      <c r="O8" s="179">
        <f>+VLOOKUP(Opex_VE[[#This Row],[Fecha]],Opex!$B:$Y,OPEX_SALES!O$1,1)</f>
        <v>0</v>
      </c>
      <c r="P8" s="179">
        <f>+VLOOKUP(Opex_VE[[#This Row],[Fecha]],Opex!$B:$Y,OPEX_SALES!P$1,1)</f>
        <v>0</v>
      </c>
      <c r="Q8" s="179">
        <f>+VLOOKUP(Opex_VE[[#This Row],[Fecha]],Opex!$B:$Y,OPEX_SALES!Q$1,1)</f>
        <v>0</v>
      </c>
      <c r="R8" s="151">
        <f>+SUM(Opex_VE[[#This Row],[Cajero]:[Domiciliario]])</f>
        <v>0</v>
      </c>
      <c r="S8" s="179">
        <v>0</v>
      </c>
      <c r="T8" s="179">
        <v>0</v>
      </c>
      <c r="U8" s="179">
        <v>0</v>
      </c>
      <c r="V8"/>
    </row>
    <row r="9" spans="1:22" x14ac:dyDescent="0.2">
      <c r="A9" s="176">
        <v>46074</v>
      </c>
      <c r="B9" s="177">
        <v>1</v>
      </c>
      <c r="C9" s="177" t="str">
        <f>+TEXT(Opex_VE[[#This Row],[Fecha]],"ddd")</f>
        <v>sáb</v>
      </c>
      <c r="D9" s="175" t="s">
        <v>216</v>
      </c>
      <c r="E9" s="14" t="s">
        <v>113</v>
      </c>
      <c r="F9" s="178">
        <v>0</v>
      </c>
      <c r="G9" s="180">
        <v>0</v>
      </c>
      <c r="H9" s="181">
        <f>+Opex_VE[[#This Row],[MG]]-Opex_VE[[#This Row],[Opex]]</f>
        <v>0</v>
      </c>
      <c r="I9" s="178" t="s">
        <v>134</v>
      </c>
      <c r="J9" s="180">
        <f>+Opex_VE[[#This Row],[Opex]]</f>
        <v>0</v>
      </c>
      <c r="K9" s="151">
        <v>0</v>
      </c>
      <c r="L9" s="179">
        <f>+VLOOKUP(Opex_VE[[#This Row],[Fecha]],Opex!$B:$Y,OPEX_SALES!L$1,1)</f>
        <v>61111.111111111109</v>
      </c>
      <c r="M9" s="151">
        <f>+SUM(Opex_VE[[#This Row],[Internet]:[Electricidad]])</f>
        <v>0</v>
      </c>
      <c r="N9" s="179">
        <f>+VLOOKUP(Opex_VE[[#This Row],[Fecha]],Opex!$B:$Y,OPEX_SALES!N$1,1)</f>
        <v>0</v>
      </c>
      <c r="O9" s="179">
        <f>+VLOOKUP(Opex_VE[[#This Row],[Fecha]],Opex!$B:$Y,OPEX_SALES!O$1,1)</f>
        <v>0</v>
      </c>
      <c r="P9" s="179">
        <f>+VLOOKUP(Opex_VE[[#This Row],[Fecha]],Opex!$B:$Y,OPEX_SALES!P$1,1)</f>
        <v>0</v>
      </c>
      <c r="Q9" s="179">
        <f>+VLOOKUP(Opex_VE[[#This Row],[Fecha]],Opex!$B:$Y,OPEX_SALES!Q$1,1)</f>
        <v>0</v>
      </c>
      <c r="R9" s="151">
        <f>+SUM(Opex_VE[[#This Row],[Cajero]:[Domiciliario]])</f>
        <v>0</v>
      </c>
      <c r="S9" s="179">
        <v>0</v>
      </c>
      <c r="T9" s="179">
        <v>0</v>
      </c>
      <c r="U9" s="179">
        <v>0</v>
      </c>
      <c r="V9"/>
    </row>
    <row r="10" spans="1:22" x14ac:dyDescent="0.2">
      <c r="A10" s="176">
        <v>46075</v>
      </c>
      <c r="B10" s="177">
        <v>1</v>
      </c>
      <c r="C10" s="177" t="str">
        <f>+TEXT(Opex_VE[[#This Row],[Fecha]],"ddd")</f>
        <v>dom</v>
      </c>
      <c r="D10" s="175" t="s">
        <v>216</v>
      </c>
      <c r="E10" s="14" t="s">
        <v>145</v>
      </c>
      <c r="F10" s="178">
        <v>0</v>
      </c>
      <c r="G10" s="180">
        <v>0</v>
      </c>
      <c r="H10" s="181">
        <f>+Opex_VE[[#This Row],[MG]]-Opex_VE[[#This Row],[Opex]]</f>
        <v>0</v>
      </c>
      <c r="I10" s="178" t="s">
        <v>134</v>
      </c>
      <c r="J10" s="180">
        <f>+Opex_VE[[#This Row],[Opex]]</f>
        <v>0</v>
      </c>
      <c r="K10" s="151">
        <v>0</v>
      </c>
      <c r="L10" s="179">
        <f>+VLOOKUP(Opex_VE[[#This Row],[Fecha]],Opex!$B:$Y,OPEX_SALES!L$1,1)</f>
        <v>61111.111111111109</v>
      </c>
      <c r="M10" s="151">
        <f>+SUM(Opex_VE[[#This Row],[Internet]:[Electricidad]])</f>
        <v>0</v>
      </c>
      <c r="N10" s="179">
        <f>+VLOOKUP(Opex_VE[[#This Row],[Fecha]],Opex!$B:$Y,OPEX_SALES!N$1,1)</f>
        <v>0</v>
      </c>
      <c r="O10" s="179">
        <f>+VLOOKUP(Opex_VE[[#This Row],[Fecha]],Opex!$B:$Y,OPEX_SALES!O$1,1)</f>
        <v>0</v>
      </c>
      <c r="P10" s="179">
        <f>+VLOOKUP(Opex_VE[[#This Row],[Fecha]],Opex!$B:$Y,OPEX_SALES!P$1,1)</f>
        <v>0</v>
      </c>
      <c r="Q10" s="179">
        <f>+VLOOKUP(Opex_VE[[#This Row],[Fecha]],Opex!$B:$Y,OPEX_SALES!Q$1,1)</f>
        <v>0</v>
      </c>
      <c r="R10" s="151">
        <f>+SUM(Opex_VE[[#This Row],[Cajero]:[Domiciliario]])</f>
        <v>0</v>
      </c>
      <c r="S10" s="179">
        <v>0</v>
      </c>
      <c r="T10" s="179">
        <v>0</v>
      </c>
      <c r="U10" s="179">
        <v>0</v>
      </c>
      <c r="V10"/>
    </row>
    <row r="11" spans="1:22" x14ac:dyDescent="0.2">
      <c r="A11" s="176">
        <v>46082</v>
      </c>
      <c r="B11" s="177">
        <v>1</v>
      </c>
      <c r="C11" s="177" t="str">
        <f>+TEXT(Opex_VE[[#This Row],[Fecha]],"ddd")</f>
        <v>dom</v>
      </c>
      <c r="D11" s="175" t="s">
        <v>216</v>
      </c>
      <c r="E11" s="14" t="s">
        <v>145</v>
      </c>
      <c r="F11" s="178">
        <v>0</v>
      </c>
      <c r="G11" s="180">
        <v>0</v>
      </c>
      <c r="H11" s="181">
        <f>+Opex_VE[[#This Row],[MG]]-Opex_VE[[#This Row],[Opex]]</f>
        <v>0</v>
      </c>
      <c r="I11" s="178" t="s">
        <v>134</v>
      </c>
      <c r="J11" s="180">
        <f>+Opex_VE[[#This Row],[Opex]]</f>
        <v>0</v>
      </c>
      <c r="K11" s="151">
        <v>0</v>
      </c>
      <c r="L11" s="179">
        <f>+VLOOKUP(Opex_VE[[#This Row],[Fecha]],Opex!$B:$Y,OPEX_SALES!L$1,1)</f>
        <v>61111.111111111109</v>
      </c>
      <c r="M11" s="151">
        <f>+SUM(Opex_VE[[#This Row],[Internet]:[Electricidad]])</f>
        <v>0</v>
      </c>
      <c r="N11" s="179">
        <f>+VLOOKUP(Opex_VE[[#This Row],[Fecha]],Opex!$B:$Y,OPEX_SALES!N$1,1)</f>
        <v>0</v>
      </c>
      <c r="O11" s="179">
        <f>+VLOOKUP(Opex_VE[[#This Row],[Fecha]],Opex!$B:$Y,OPEX_SALES!O$1,1)</f>
        <v>0</v>
      </c>
      <c r="P11" s="179">
        <f>+VLOOKUP(Opex_VE[[#This Row],[Fecha]],Opex!$B:$Y,OPEX_SALES!P$1,1)</f>
        <v>0</v>
      </c>
      <c r="Q11" s="179">
        <f>+VLOOKUP(Opex_VE[[#This Row],[Fecha]],Opex!$B:$Y,OPEX_SALES!Q$1,1)</f>
        <v>0</v>
      </c>
      <c r="R11" s="151">
        <f>+SUM(Opex_VE[[#This Row],[Cajero]:[Domiciliario]])</f>
        <v>0</v>
      </c>
      <c r="S11" s="179">
        <v>0</v>
      </c>
      <c r="T11" s="179">
        <v>0</v>
      </c>
      <c r="U11" s="179">
        <v>0</v>
      </c>
      <c r="V11"/>
    </row>
    <row r="12" spans="1:22" x14ac:dyDescent="0.2">
      <c r="A12" s="176">
        <v>46087</v>
      </c>
      <c r="B12" s="177">
        <v>1</v>
      </c>
      <c r="C12" s="177" t="str">
        <f>+TEXT(Opex_VE[[#This Row],[Fecha]],"ddd")</f>
        <v>vie</v>
      </c>
      <c r="D12" s="175" t="s">
        <v>216</v>
      </c>
      <c r="E12" s="14" t="s">
        <v>217</v>
      </c>
      <c r="F12" s="178">
        <v>0</v>
      </c>
      <c r="G12" s="180">
        <v>0</v>
      </c>
      <c r="H12" s="181">
        <f>+Opex_VE[[#This Row],[MG]]-Opex_VE[[#This Row],[Opex]]</f>
        <v>0</v>
      </c>
      <c r="I12" s="178" t="s">
        <v>134</v>
      </c>
      <c r="J12" s="180">
        <f>+Opex_VE[[#This Row],[Opex]]</f>
        <v>0</v>
      </c>
      <c r="K12" s="151">
        <v>0</v>
      </c>
      <c r="L12" s="179">
        <f>+VLOOKUP(Opex_VE[[#This Row],[Fecha]],Opex!$B:$Y,OPEX_SALES!L$1,1)</f>
        <v>61111.111111111109</v>
      </c>
      <c r="M12" s="151">
        <f>+SUM(Opex_VE[[#This Row],[Internet]:[Electricidad]])</f>
        <v>0</v>
      </c>
      <c r="N12" s="179">
        <f>+VLOOKUP(Opex_VE[[#This Row],[Fecha]],Opex!$B:$Y,OPEX_SALES!N$1,1)</f>
        <v>0</v>
      </c>
      <c r="O12" s="179">
        <f>+VLOOKUP(Opex_VE[[#This Row],[Fecha]],Opex!$B:$Y,OPEX_SALES!O$1,1)</f>
        <v>0</v>
      </c>
      <c r="P12" s="179">
        <f>+VLOOKUP(Opex_VE[[#This Row],[Fecha]],Opex!$B:$Y,OPEX_SALES!P$1,1)</f>
        <v>0</v>
      </c>
      <c r="Q12" s="179">
        <f>+VLOOKUP(Opex_VE[[#This Row],[Fecha]],Opex!$B:$Y,OPEX_SALES!Q$1,1)</f>
        <v>0</v>
      </c>
      <c r="R12" s="151">
        <f>+SUM(Opex_VE[[#This Row],[Cajero]:[Domiciliario]])</f>
        <v>0</v>
      </c>
      <c r="S12" s="179">
        <v>0</v>
      </c>
      <c r="T12" s="179">
        <v>0</v>
      </c>
      <c r="U12" s="179">
        <v>0</v>
      </c>
      <c r="V12"/>
    </row>
    <row r="13" spans="1:22" x14ac:dyDescent="0.2">
      <c r="A13" s="149">
        <v>46076</v>
      </c>
      <c r="B13" s="3">
        <v>1</v>
      </c>
      <c r="C13" s="3" t="str">
        <f>+TEXT(Opex_VE[[#This Row],[Fecha]],"ddd")</f>
        <v>lun</v>
      </c>
      <c r="D13" s="184" t="s">
        <v>49</v>
      </c>
      <c r="E13" s="14" t="s">
        <v>112</v>
      </c>
      <c r="F13" s="168">
        <f>IFERROR(VLOOKUP(Opex_VE[[#This Row],[Fecha]],Historia!A:B,2,0),_xlfn.XLOOKUP(Opex_VE[[#This Row],[dia]],Forecast!I:I,Forecast!J:J))</f>
        <v>225000</v>
      </c>
      <c r="G13" s="168">
        <f>IFERROR(VLOOKUP(Opex_VE[[#This Row],[Fecha]],Historia!A:C,3,0),_xlfn.XLOOKUP(Opex_VE[[#This Row],[dia]],Forecast!I:I,Forecast!K:K))</f>
        <v>90000</v>
      </c>
      <c r="H13" s="182">
        <f>+Opex_VE[[#This Row],[MG]]-Opex_VE[[#This Row],[Opex]]</f>
        <v>-21111.111111111109</v>
      </c>
      <c r="I13" s="168" t="str">
        <f>IFERROR(VLOOKUP(Opex_VE[[#This Row],[Fecha]],Historia!A:D,4,0),"Forecast")</f>
        <v>Histórico</v>
      </c>
      <c r="J13" s="157">
        <f>+K13/0.4</f>
        <v>277777.77777777775</v>
      </c>
      <c r="K13" s="151">
        <f>+Opex_VE[[#This Row],[Arriendo]]+Opex_VE[[#This Row],[Servicios publicos]]+Opex_VE[[#This Row],[Nomina]]</f>
        <v>111111.11111111111</v>
      </c>
      <c r="L13" s="152">
        <f>+VLOOKUP(Opex_VE[[#This Row],[Fecha]],Opex!$B:$Y,OPEX_SALES!L$1,1)</f>
        <v>61111.111111111109</v>
      </c>
      <c r="M13" s="153">
        <f>+SUM(Opex_VE[[#This Row],[Internet]:[Electricidad]])</f>
        <v>0</v>
      </c>
      <c r="N13" s="152">
        <f>+VLOOKUP(Opex_VE[[#This Row],[Fecha]],Opex!$B:$Y,OPEX_SALES!N$1,1)</f>
        <v>0</v>
      </c>
      <c r="O13" s="152">
        <f>+VLOOKUP(Opex_VE[[#This Row],[Fecha]],Opex!$B:$Y,OPEX_SALES!O$1,1)</f>
        <v>0</v>
      </c>
      <c r="P13" s="152">
        <f>+VLOOKUP(Opex_VE[[#This Row],[Fecha]],Opex!$B:$Y,OPEX_SALES!P$1,1)</f>
        <v>0</v>
      </c>
      <c r="Q13" s="152">
        <f>+VLOOKUP(Opex_VE[[#This Row],[Fecha]],Opex!$B:$Y,OPEX_SALES!Q$1,1)</f>
        <v>0</v>
      </c>
      <c r="R13" s="153">
        <f>+SUM(Opex_VE[[#This Row],[Cajero]:[Domiciliario]])</f>
        <v>50000</v>
      </c>
      <c r="S13" s="152">
        <v>50000</v>
      </c>
      <c r="T13" s="152">
        <v>0</v>
      </c>
      <c r="U13" s="152">
        <v>0</v>
      </c>
      <c r="V13"/>
    </row>
    <row r="14" spans="1:22" x14ac:dyDescent="0.2">
      <c r="A14" s="149">
        <v>46077</v>
      </c>
      <c r="B14" s="3">
        <v>1</v>
      </c>
      <c r="C14" s="3" t="str">
        <f>+TEXT(Opex_VE[[#This Row],[Fecha]],"ddd")</f>
        <v>mar</v>
      </c>
      <c r="D14" s="184" t="s">
        <v>49</v>
      </c>
      <c r="E14" s="14" t="s">
        <v>112</v>
      </c>
      <c r="F14" s="168">
        <f>IFERROR(VLOOKUP(Opex_VE[[#This Row],[Fecha]],Historia!A:B,2,0),_xlfn.XLOOKUP(Opex_VE[[#This Row],[dia]],Forecast!I:I,Forecast!J:J))</f>
        <v>221500</v>
      </c>
      <c r="G14" s="168">
        <f>IFERROR(VLOOKUP(Opex_VE[[#This Row],[Fecha]],Historia!A:C,3,0),_xlfn.XLOOKUP(Opex_VE[[#This Row],[dia]],Forecast!I:I,Forecast!K:K))</f>
        <v>88600</v>
      </c>
      <c r="H14" s="182">
        <f>+Opex_VE[[#This Row],[MG]]-Opex_VE[[#This Row],[Opex]]</f>
        <v>-42511.111111111124</v>
      </c>
      <c r="I14" s="168" t="str">
        <f>IFERROR(VLOOKUP(Opex_VE[[#This Row],[Fecha]],Historia!A:D,4,0),"Forecast")</f>
        <v>Histórico</v>
      </c>
      <c r="J14" s="157">
        <f t="shared" ref="J14:J76" si="0">+K14/0.4</f>
        <v>327777.77777777781</v>
      </c>
      <c r="K14" s="151">
        <f>+Opex_VE[[#This Row],[Arriendo]]+Opex_VE[[#This Row],[Servicios publicos]]+Opex_VE[[#This Row],[Nomina]]</f>
        <v>131111.11111111112</v>
      </c>
      <c r="L14" s="152">
        <f>+VLOOKUP(Opex_VE[[#This Row],[Fecha]],Opex!$B:$Y,OPEX_SALES!L$1,1)</f>
        <v>61111.111111111109</v>
      </c>
      <c r="M14" s="153">
        <f>+SUM(Opex_VE[[#This Row],[Internet]:[Electricidad]])</f>
        <v>0</v>
      </c>
      <c r="N14" s="152">
        <f>+VLOOKUP(Opex_VE[[#This Row],[Fecha]],Opex!$B:$Y,OPEX_SALES!N$1,1)</f>
        <v>0</v>
      </c>
      <c r="O14" s="152">
        <f>+VLOOKUP(Opex_VE[[#This Row],[Fecha]],Opex!$B:$Y,OPEX_SALES!O$1,1)</f>
        <v>0</v>
      </c>
      <c r="P14" s="152">
        <f>+VLOOKUP(Opex_VE[[#This Row],[Fecha]],Opex!$B:$Y,OPEX_SALES!P$1,1)</f>
        <v>0</v>
      </c>
      <c r="Q14" s="152">
        <f>+VLOOKUP(Opex_VE[[#This Row],[Fecha]],Opex!$B:$Y,OPEX_SALES!Q$1,1)</f>
        <v>0</v>
      </c>
      <c r="R14" s="153">
        <f>+SUM(Opex_VE[[#This Row],[Cajero]:[Domiciliario]])</f>
        <v>70000</v>
      </c>
      <c r="S14" s="152">
        <v>70000</v>
      </c>
      <c r="T14" s="152">
        <v>0</v>
      </c>
      <c r="U14" s="152">
        <v>0</v>
      </c>
      <c r="V14"/>
    </row>
    <row r="15" spans="1:22" x14ac:dyDescent="0.2">
      <c r="A15" s="149">
        <v>46078</v>
      </c>
      <c r="B15" s="3">
        <v>1</v>
      </c>
      <c r="C15" s="3" t="str">
        <f>+TEXT(Opex_VE[[#This Row],[Fecha]],"ddd")</f>
        <v>mié</v>
      </c>
      <c r="D15" s="184" t="s">
        <v>49</v>
      </c>
      <c r="E15" s="14" t="s">
        <v>112</v>
      </c>
      <c r="F15" s="168">
        <f>IFERROR(VLOOKUP(Opex_VE[[#This Row],[Fecha]],Historia!A:B,2,0),_xlfn.XLOOKUP(Opex_VE[[#This Row],[dia]],Forecast!I:I,Forecast!J:J))</f>
        <v>390500</v>
      </c>
      <c r="G15" s="168">
        <f>IFERROR(VLOOKUP(Opex_VE[[#This Row],[Fecha]],Historia!A:C,3,0),_xlfn.XLOOKUP(Opex_VE[[#This Row],[dia]],Forecast!I:I,Forecast!K:K))</f>
        <v>156200</v>
      </c>
      <c r="H15" s="182">
        <f>+Opex_VE[[#This Row],[MG]]-Opex_VE[[#This Row],[Opex]]</f>
        <v>5088.888888888876</v>
      </c>
      <c r="I15" s="168" t="str">
        <f>IFERROR(VLOOKUP(Opex_VE[[#This Row],[Fecha]],Historia!A:D,4,0),"Forecast")</f>
        <v>Histórico</v>
      </c>
      <c r="J15" s="157">
        <f t="shared" si="0"/>
        <v>377777.77777777781</v>
      </c>
      <c r="K15" s="151">
        <f>+Opex_VE[[#This Row],[Arriendo]]+Opex_VE[[#This Row],[Servicios publicos]]+Opex_VE[[#This Row],[Nomina]]</f>
        <v>151111.11111111112</v>
      </c>
      <c r="L15" s="152">
        <f>+VLOOKUP(Opex_VE[[#This Row],[Fecha]],Opex!$B:$Y,OPEX_SALES!L$1,1)</f>
        <v>61111.111111111109</v>
      </c>
      <c r="M15" s="153">
        <f>+SUM(Opex_VE[[#This Row],[Internet]:[Electricidad]])</f>
        <v>0</v>
      </c>
      <c r="N15" s="152">
        <f>+VLOOKUP(Opex_VE[[#This Row],[Fecha]],Opex!$B:$Y,OPEX_SALES!N$1,1)</f>
        <v>0</v>
      </c>
      <c r="O15" s="152">
        <f>+VLOOKUP(Opex_VE[[#This Row],[Fecha]],Opex!$B:$Y,OPEX_SALES!O$1,1)</f>
        <v>0</v>
      </c>
      <c r="P15" s="152">
        <f>+VLOOKUP(Opex_VE[[#This Row],[Fecha]],Opex!$B:$Y,OPEX_SALES!P$1,1)</f>
        <v>0</v>
      </c>
      <c r="Q15" s="152">
        <f>+VLOOKUP(Opex_VE[[#This Row],[Fecha]],Opex!$B:$Y,OPEX_SALES!Q$1,1)</f>
        <v>0</v>
      </c>
      <c r="R15" s="153">
        <f>+SUM(Opex_VE[[#This Row],[Cajero]:[Domiciliario]])</f>
        <v>90000</v>
      </c>
      <c r="S15" s="152">
        <v>70000</v>
      </c>
      <c r="T15" s="152">
        <v>20000</v>
      </c>
      <c r="U15" s="152">
        <v>0</v>
      </c>
      <c r="V15"/>
    </row>
    <row r="16" spans="1:22" x14ac:dyDescent="0.2">
      <c r="A16" s="149">
        <v>46079</v>
      </c>
      <c r="B16" s="3">
        <v>1</v>
      </c>
      <c r="C16" s="3" t="str">
        <f>+TEXT(Opex_VE[[#This Row],[Fecha]],"ddd")</f>
        <v>jue</v>
      </c>
      <c r="E16" s="14" t="s">
        <v>112</v>
      </c>
      <c r="F16" s="168">
        <f>IFERROR(VLOOKUP(Opex_VE[[#This Row],[Fecha]],Historia!A:B,2,0),_xlfn.XLOOKUP(Opex_VE[[#This Row],[dia]],Forecast!I:I,Forecast!J:J))</f>
        <v>209000</v>
      </c>
      <c r="G16" s="168">
        <f>IFERROR(VLOOKUP(Opex_VE[[#This Row],[Fecha]],Historia!A:C,3,0),_xlfn.XLOOKUP(Opex_VE[[#This Row],[dia]],Forecast!I:I,Forecast!K:K))</f>
        <v>83600</v>
      </c>
      <c r="H16" s="182">
        <f>+Opex_VE[[#This Row],[MG]]-Opex_VE[[#This Row],[Opex]]</f>
        <v>-67511.111111111124</v>
      </c>
      <c r="I16" s="168" t="str">
        <f>IFERROR(VLOOKUP(Opex_VE[[#This Row],[Fecha]],Historia!A:D,4,0),"Forecast")</f>
        <v>Histórico</v>
      </c>
      <c r="J16" s="157">
        <f t="shared" si="0"/>
        <v>377777.77777777781</v>
      </c>
      <c r="K16" s="151">
        <f>+Opex_VE[[#This Row],[Arriendo]]+Opex_VE[[#This Row],[Servicios publicos]]+Opex_VE[[#This Row],[Nomina]]</f>
        <v>151111.11111111112</v>
      </c>
      <c r="L16" s="152">
        <f>+VLOOKUP(Opex_VE[[#This Row],[Fecha]],Opex!$B:$Y,OPEX_SALES!L$1,1)</f>
        <v>61111.111111111109</v>
      </c>
      <c r="M16" s="153">
        <f>+SUM(Opex_VE[[#This Row],[Internet]:[Electricidad]])</f>
        <v>0</v>
      </c>
      <c r="N16" s="152">
        <f>+VLOOKUP(Opex_VE[[#This Row],[Fecha]],Opex!$B:$Y,OPEX_SALES!N$1,1)</f>
        <v>0</v>
      </c>
      <c r="O16" s="152">
        <f>+VLOOKUP(Opex_VE[[#This Row],[Fecha]],Opex!$B:$Y,OPEX_SALES!O$1,1)</f>
        <v>0</v>
      </c>
      <c r="P16" s="152">
        <f>+VLOOKUP(Opex_VE[[#This Row],[Fecha]],Opex!$B:$Y,OPEX_SALES!P$1,1)</f>
        <v>0</v>
      </c>
      <c r="Q16" s="152">
        <f>+VLOOKUP(Opex_VE[[#This Row],[Fecha]],Opex!$B:$Y,OPEX_SALES!Q$1,1)</f>
        <v>0</v>
      </c>
      <c r="R16" s="153">
        <f>+SUM(Opex_VE[[#This Row],[Cajero]:[Domiciliario]])</f>
        <v>90000</v>
      </c>
      <c r="S16" s="152">
        <v>70000</v>
      </c>
      <c r="T16" s="152">
        <v>20000</v>
      </c>
      <c r="U16" s="152">
        <v>0</v>
      </c>
      <c r="V16"/>
    </row>
    <row r="17" spans="1:22" x14ac:dyDescent="0.2">
      <c r="A17" s="149">
        <v>46080</v>
      </c>
      <c r="B17" s="3">
        <v>1</v>
      </c>
      <c r="C17" s="3" t="str">
        <f>+TEXT(Opex_VE[[#This Row],[Fecha]],"ddd")</f>
        <v>vie</v>
      </c>
      <c r="E17" s="14" t="s">
        <v>217</v>
      </c>
      <c r="F17" s="168">
        <f>IFERROR(VLOOKUP(Opex_VE[[#This Row],[Fecha]],Historia!A:B,2,0),_xlfn.XLOOKUP(Opex_VE[[#This Row],[dia]],Forecast!I:I,Forecast!J:J))</f>
        <v>248500</v>
      </c>
      <c r="G17" s="168">
        <f>IFERROR(VLOOKUP(Opex_VE[[#This Row],[Fecha]],Historia!A:C,3,0),_xlfn.XLOOKUP(Opex_VE[[#This Row],[dia]],Forecast!I:I,Forecast!K:K))</f>
        <v>99400</v>
      </c>
      <c r="H17" s="182">
        <f>+Opex_VE[[#This Row],[MG]]-Opex_VE[[#This Row],[Opex]]</f>
        <v>-51711.111111111124</v>
      </c>
      <c r="I17" s="168" t="str">
        <f>IFERROR(VLOOKUP(Opex_VE[[#This Row],[Fecha]],Historia!A:D,4,0),"Forecast")</f>
        <v>Histórico</v>
      </c>
      <c r="J17" s="157">
        <f t="shared" si="0"/>
        <v>377777.77777777781</v>
      </c>
      <c r="K17" s="151">
        <f>+Opex_VE[[#This Row],[Arriendo]]+Opex_VE[[#This Row],[Servicios publicos]]+Opex_VE[[#This Row],[Nomina]]</f>
        <v>151111.11111111112</v>
      </c>
      <c r="L17" s="152">
        <f>+VLOOKUP(Opex_VE[[#This Row],[Fecha]],Opex!$B:$Y,OPEX_SALES!L$1,1)</f>
        <v>61111.111111111109</v>
      </c>
      <c r="M17" s="153">
        <f>+SUM(Opex_VE[[#This Row],[Internet]:[Electricidad]])</f>
        <v>0</v>
      </c>
      <c r="N17" s="152">
        <f>+VLOOKUP(Opex_VE[[#This Row],[Fecha]],Opex!$B:$Y,OPEX_SALES!N$1,1)</f>
        <v>0</v>
      </c>
      <c r="O17" s="152">
        <f>+VLOOKUP(Opex_VE[[#This Row],[Fecha]],Opex!$B:$Y,OPEX_SALES!O$1,1)</f>
        <v>0</v>
      </c>
      <c r="P17" s="152">
        <f>+VLOOKUP(Opex_VE[[#This Row],[Fecha]],Opex!$B:$Y,OPEX_SALES!P$1,1)</f>
        <v>0</v>
      </c>
      <c r="Q17" s="152">
        <f>+VLOOKUP(Opex_VE[[#This Row],[Fecha]],Opex!$B:$Y,OPEX_SALES!Q$1,1)</f>
        <v>0</v>
      </c>
      <c r="R17" s="153">
        <f>+SUM(Opex_VE[[#This Row],[Cajero]:[Domiciliario]])</f>
        <v>90000</v>
      </c>
      <c r="S17" s="152">
        <v>70000</v>
      </c>
      <c r="T17" s="152">
        <v>20000</v>
      </c>
      <c r="U17" s="152">
        <v>0</v>
      </c>
      <c r="V17"/>
    </row>
    <row r="18" spans="1:22" x14ac:dyDescent="0.2">
      <c r="A18" s="149">
        <v>46081</v>
      </c>
      <c r="B18" s="3">
        <v>1</v>
      </c>
      <c r="C18" s="3" t="str">
        <f>+TEXT(Opex_VE[[#This Row],[Fecha]],"ddd")</f>
        <v>sáb</v>
      </c>
      <c r="E18" s="14" t="s">
        <v>113</v>
      </c>
      <c r="F18" s="168">
        <f>IFERROR(VLOOKUP(Opex_VE[[#This Row],[Fecha]],Historia!A:B,2,0),_xlfn.XLOOKUP(Opex_VE[[#This Row],[dia]],Forecast!I:I,Forecast!J:J))</f>
        <v>504000</v>
      </c>
      <c r="G18" s="168">
        <f>IFERROR(VLOOKUP(Opex_VE[[#This Row],[Fecha]],Historia!A:C,3,0),_xlfn.XLOOKUP(Opex_VE[[#This Row],[dia]],Forecast!I:I,Forecast!K:K))</f>
        <v>201600</v>
      </c>
      <c r="H18" s="182">
        <f>+Opex_VE[[#This Row],[MG]]-Opex_VE[[#This Row],[Opex]]</f>
        <v>50488.888888888876</v>
      </c>
      <c r="I18" s="169" t="str">
        <f>IFERROR(VLOOKUP(Opex_VE[[#This Row],[Fecha]],Historia!A:D,4,0),"Forecast")</f>
        <v>Histórico</v>
      </c>
      <c r="J18" s="157">
        <f t="shared" si="0"/>
        <v>377777.77777777781</v>
      </c>
      <c r="K18" s="151">
        <f>+Opex_VE[[#This Row],[Arriendo]]+Opex_VE[[#This Row],[Servicios publicos]]+Opex_VE[[#This Row],[Nomina]]</f>
        <v>151111.11111111112</v>
      </c>
      <c r="L18" s="152">
        <f>+VLOOKUP(Opex_VE[[#This Row],[Fecha]],Opex!$B:$Y,OPEX_SALES!L$1,1)</f>
        <v>61111.111111111109</v>
      </c>
      <c r="M18" s="153">
        <f>+SUM(Opex_VE[[#This Row],[Internet]:[Electricidad]])</f>
        <v>0</v>
      </c>
      <c r="N18" s="152">
        <f>+VLOOKUP(Opex_VE[[#This Row],[Fecha]],Opex!$B:$Y,OPEX_SALES!N$1,1)</f>
        <v>0</v>
      </c>
      <c r="O18" s="152">
        <f>+VLOOKUP(Opex_VE[[#This Row],[Fecha]],Opex!$B:$Y,OPEX_SALES!O$1,1)</f>
        <v>0</v>
      </c>
      <c r="P18" s="152">
        <f>+VLOOKUP(Opex_VE[[#This Row],[Fecha]],Opex!$B:$Y,OPEX_SALES!P$1,1)</f>
        <v>0</v>
      </c>
      <c r="Q18" s="152">
        <f>+VLOOKUP(Opex_VE[[#This Row],[Fecha]],Opex!$B:$Y,OPEX_SALES!Q$1,1)</f>
        <v>0</v>
      </c>
      <c r="R18" s="153">
        <f>+SUM(Opex_VE[[#This Row],[Cajero]:[Domiciliario]])</f>
        <v>90000</v>
      </c>
      <c r="S18" s="152">
        <v>70000</v>
      </c>
      <c r="T18" s="152">
        <v>20000</v>
      </c>
      <c r="U18" s="152">
        <v>0</v>
      </c>
      <c r="V18"/>
    </row>
    <row r="19" spans="1:22" x14ac:dyDescent="0.2">
      <c r="A19" s="149">
        <v>46082</v>
      </c>
      <c r="B19" s="3">
        <v>1</v>
      </c>
      <c r="C19" s="3" t="str">
        <f>+TEXT(Opex_VE[[#This Row],[Fecha]],"ddd")</f>
        <v>dom</v>
      </c>
      <c r="E19" s="14" t="s">
        <v>145</v>
      </c>
      <c r="F19" s="168">
        <f>IFERROR(VLOOKUP(Opex_VE[[#This Row],[Fecha]],Historia!A:B,2,0),_xlfn.XLOOKUP(Opex_VE[[#This Row],[dia]],Forecast!I:I,Forecast!J:J))</f>
        <v>168750</v>
      </c>
      <c r="G19" s="168">
        <f>IFERROR(VLOOKUP(Opex_VE[[#This Row],[Fecha]],Historia!A:C,3,0),_xlfn.XLOOKUP(Opex_VE[[#This Row],[dia]],Forecast!I:I,Forecast!K:K))</f>
        <v>67500</v>
      </c>
      <c r="H19" s="182">
        <f>+Opex_VE[[#This Row],[MG]]-Opex_VE[[#This Row],[Opex]]</f>
        <v>6388.8888888888905</v>
      </c>
      <c r="I19" s="190" t="s">
        <v>134</v>
      </c>
      <c r="J19" s="157">
        <f t="shared" si="0"/>
        <v>152777.77777777775</v>
      </c>
      <c r="K19" s="151">
        <f>+Opex_VE[[#This Row],[Arriendo]]+Opex_VE[[#This Row],[Servicios publicos]]+Opex_VE[[#This Row],[Nomina]]</f>
        <v>61111.111111111109</v>
      </c>
      <c r="L19" s="152">
        <f>+VLOOKUP(Opex_VE[[#This Row],[Fecha]],Opex!$B:$Y,OPEX_SALES!L$1,1)</f>
        <v>61111.111111111109</v>
      </c>
      <c r="M19" s="153">
        <f>+SUM(Opex_VE[[#This Row],[Internet]:[Electricidad]])</f>
        <v>0</v>
      </c>
      <c r="N19" s="152">
        <f>+VLOOKUP(Opex_VE[[#This Row],[Fecha]],Opex!$B:$Y,OPEX_SALES!N$1,1)</f>
        <v>0</v>
      </c>
      <c r="O19" s="152">
        <f>+VLOOKUP(Opex_VE[[#This Row],[Fecha]],Opex!$B:$Y,OPEX_SALES!O$1,1)</f>
        <v>0</v>
      </c>
      <c r="P19" s="152">
        <f>+VLOOKUP(Opex_VE[[#This Row],[Fecha]],Opex!$B:$Y,OPEX_SALES!P$1,1)</f>
        <v>0</v>
      </c>
      <c r="Q19" s="152">
        <f>+VLOOKUP(Opex_VE[[#This Row],[Fecha]],Opex!$B:$Y,OPEX_SALES!Q$1,1)</f>
        <v>0</v>
      </c>
      <c r="R19" s="153">
        <f>+SUM(Opex_VE[[#This Row],[Cajero]:[Domiciliario]])</f>
        <v>0</v>
      </c>
      <c r="S19" s="152">
        <v>0</v>
      </c>
      <c r="T19" s="152">
        <v>0</v>
      </c>
      <c r="U19" s="152">
        <v>0</v>
      </c>
      <c r="V19"/>
    </row>
    <row r="20" spans="1:22" x14ac:dyDescent="0.2">
      <c r="A20" s="149">
        <v>46083</v>
      </c>
      <c r="B20" s="3">
        <f>+B13+1</f>
        <v>2</v>
      </c>
      <c r="C20" s="3" t="str">
        <f>+TEXT(Opex_VE[[#This Row],[Fecha]],"ddd")</f>
        <v>lun</v>
      </c>
      <c r="E20" s="14" t="s">
        <v>112</v>
      </c>
      <c r="F20" s="168">
        <f>IFERROR(VLOOKUP(Opex_VE[[#This Row],[Fecha]],Historia!A:B,2,0),_xlfn.XLOOKUP(Opex_VE[[#This Row],[dia]],Forecast!I:I,Forecast!J:J))</f>
        <v>60000</v>
      </c>
      <c r="G20" s="168">
        <f>IFERROR(VLOOKUP(Opex_VE[[#This Row],[Fecha]],Historia!A:C,3,0),_xlfn.XLOOKUP(Opex_VE[[#This Row],[dia]],Forecast!I:I,Forecast!K:K))</f>
        <v>24000</v>
      </c>
      <c r="H20" s="182">
        <f>+Opex_VE[[#This Row],[MG]]-Opex_VE[[#This Row],[Opex]]</f>
        <v>-57111.111111111109</v>
      </c>
      <c r="I20" s="168" t="str">
        <f>IFERROR(VLOOKUP(Opex_VE[[#This Row],[Fecha]],Historia!A:D,4,0),"Forecast")</f>
        <v>Histórico</v>
      </c>
      <c r="J20" s="157">
        <f t="shared" si="0"/>
        <v>202777.77777777775</v>
      </c>
      <c r="K20" s="151">
        <f>+Opex_VE[[#This Row],[Arriendo]]+Opex_VE[[#This Row],[Servicios publicos]]+Opex_VE[[#This Row],[Nomina]]</f>
        <v>81111.111111111109</v>
      </c>
      <c r="L20" s="152">
        <f>+VLOOKUP(Opex_VE[[#This Row],[Fecha]],Opex!$B:$Y,OPEX_SALES!L$1,1)</f>
        <v>61111.111111111109</v>
      </c>
      <c r="M20" s="153">
        <f>+SUM(Opex_VE[[#This Row],[Internet]:[Electricidad]])</f>
        <v>0</v>
      </c>
      <c r="N20" s="152">
        <f>+VLOOKUP(Opex_VE[[#This Row],[Fecha]],Opex!$B:$Y,OPEX_SALES!N$1,1)</f>
        <v>0</v>
      </c>
      <c r="O20" s="152">
        <f>+VLOOKUP(Opex_VE[[#This Row],[Fecha]],Opex!$B:$Y,OPEX_SALES!O$1,1)</f>
        <v>0</v>
      </c>
      <c r="P20" s="152">
        <f>+VLOOKUP(Opex_VE[[#This Row],[Fecha]],Opex!$B:$Y,OPEX_SALES!P$1,1)</f>
        <v>0</v>
      </c>
      <c r="Q20" s="152">
        <f>+VLOOKUP(Opex_VE[[#This Row],[Fecha]],Opex!$B:$Y,OPEX_SALES!Q$1,1)</f>
        <v>0</v>
      </c>
      <c r="R20" s="153">
        <f>+SUM(Opex_VE[[#This Row],[Cajero]:[Domiciliario]])</f>
        <v>20000</v>
      </c>
      <c r="S20" s="152">
        <v>0</v>
      </c>
      <c r="T20" s="152">
        <v>20000</v>
      </c>
      <c r="U20" s="152">
        <v>0</v>
      </c>
      <c r="V20"/>
    </row>
    <row r="21" spans="1:22" x14ac:dyDescent="0.2">
      <c r="A21" s="149">
        <v>46084</v>
      </c>
      <c r="B21" s="3">
        <f t="shared" ref="B21:B84" si="1">+B14+1</f>
        <v>2</v>
      </c>
      <c r="C21" s="3" t="str">
        <f>+TEXT(Opex_VE[[#This Row],[Fecha]],"ddd")</f>
        <v>mar</v>
      </c>
      <c r="E21" s="14" t="s">
        <v>112</v>
      </c>
      <c r="F21" s="168">
        <f>IFERROR(VLOOKUP(Opex_VE[[#This Row],[Fecha]],Historia!A:B,2,0),_xlfn.XLOOKUP(Opex_VE[[#This Row],[dia]],Forecast!I:I,Forecast!J:J))</f>
        <v>169000</v>
      </c>
      <c r="G21" s="168">
        <f>IFERROR(VLOOKUP(Opex_VE[[#This Row],[Fecha]],Historia!A:C,3,0),_xlfn.XLOOKUP(Opex_VE[[#This Row],[dia]],Forecast!I:I,Forecast!K:K))</f>
        <v>67600</v>
      </c>
      <c r="H21" s="182">
        <f>+Opex_VE[[#This Row],[MG]]-Opex_VE[[#This Row],[Opex]]</f>
        <v>-13511.111111111109</v>
      </c>
      <c r="I21" s="168" t="str">
        <f>IFERROR(VLOOKUP(Opex_VE[[#This Row],[Fecha]],Historia!A:D,4,0),"Forecast")</f>
        <v>Histórico</v>
      </c>
      <c r="J21" s="157">
        <f t="shared" si="0"/>
        <v>202777.77777777775</v>
      </c>
      <c r="K21" s="151">
        <f>+Opex_VE[[#This Row],[Arriendo]]+Opex_VE[[#This Row],[Servicios publicos]]+Opex_VE[[#This Row],[Nomina]]</f>
        <v>81111.111111111109</v>
      </c>
      <c r="L21" s="152">
        <f>+VLOOKUP(Opex_VE[[#This Row],[Fecha]],Opex!$B:$Y,OPEX_SALES!L$1,1)</f>
        <v>61111.111111111109</v>
      </c>
      <c r="M21" s="153">
        <f>+SUM(Opex_VE[[#This Row],[Internet]:[Electricidad]])</f>
        <v>0</v>
      </c>
      <c r="N21" s="152">
        <f>+VLOOKUP(Opex_VE[[#This Row],[Fecha]],Opex!$B:$Y,OPEX_SALES!N$1,1)</f>
        <v>0</v>
      </c>
      <c r="O21" s="152">
        <f>+VLOOKUP(Opex_VE[[#This Row],[Fecha]],Opex!$B:$Y,OPEX_SALES!O$1,1)</f>
        <v>0</v>
      </c>
      <c r="P21" s="152">
        <f>+VLOOKUP(Opex_VE[[#This Row],[Fecha]],Opex!$B:$Y,OPEX_SALES!P$1,1)</f>
        <v>0</v>
      </c>
      <c r="Q21" s="152">
        <f>+VLOOKUP(Opex_VE[[#This Row],[Fecha]],Opex!$B:$Y,OPEX_SALES!Q$1,1)</f>
        <v>0</v>
      </c>
      <c r="R21" s="153">
        <f>+SUM(Opex_VE[[#This Row],[Cajero]:[Domiciliario]])</f>
        <v>20000</v>
      </c>
      <c r="S21" s="152">
        <v>0</v>
      </c>
      <c r="T21" s="152">
        <v>20000</v>
      </c>
      <c r="U21" s="152">
        <v>0</v>
      </c>
      <c r="V21"/>
    </row>
    <row r="22" spans="1:22" x14ac:dyDescent="0.2">
      <c r="A22" s="149">
        <v>46085</v>
      </c>
      <c r="B22" s="3">
        <f t="shared" si="1"/>
        <v>2</v>
      </c>
      <c r="C22" s="3" t="str">
        <f>+TEXT(Opex_VE[[#This Row],[Fecha]],"ddd")</f>
        <v>mié</v>
      </c>
      <c r="E22" s="14" t="s">
        <v>112</v>
      </c>
      <c r="F22" s="168">
        <f>IFERROR(VLOOKUP(Opex_VE[[#This Row],[Fecha]],Historia!A:B,2,0),_xlfn.XLOOKUP(Opex_VE[[#This Row],[dia]],Forecast!I:I,Forecast!J:J))</f>
        <v>344000</v>
      </c>
      <c r="G22" s="168">
        <f>IFERROR(VLOOKUP(Opex_VE[[#This Row],[Fecha]],Historia!A:C,3,0),_xlfn.XLOOKUP(Opex_VE[[#This Row],[dia]],Forecast!I:I,Forecast!K:K))</f>
        <v>137600</v>
      </c>
      <c r="H22" s="182">
        <f>+Opex_VE[[#This Row],[MG]]-Opex_VE[[#This Row],[Opex]]</f>
        <v>56488.888888888891</v>
      </c>
      <c r="I22" s="168" t="str">
        <f>IFERROR(VLOOKUP(Opex_VE[[#This Row],[Fecha]],Historia!A:D,4,0),"Forecast")</f>
        <v>Histórico</v>
      </c>
      <c r="J22" s="157">
        <f t="shared" si="0"/>
        <v>202777.77777777775</v>
      </c>
      <c r="K22" s="151">
        <f>+Opex_VE[[#This Row],[Arriendo]]+Opex_VE[[#This Row],[Servicios publicos]]+Opex_VE[[#This Row],[Nomina]]</f>
        <v>81111.111111111109</v>
      </c>
      <c r="L22" s="152">
        <f>+VLOOKUP(Opex_VE[[#This Row],[Fecha]],Opex!$B:$Y,OPEX_SALES!L$1,1)</f>
        <v>61111.111111111109</v>
      </c>
      <c r="M22" s="153">
        <f>+SUM(Opex_VE[[#This Row],[Internet]:[Electricidad]])</f>
        <v>0</v>
      </c>
      <c r="N22" s="152">
        <f>+VLOOKUP(Opex_VE[[#This Row],[Fecha]],Opex!$B:$Y,OPEX_SALES!N$1,1)</f>
        <v>0</v>
      </c>
      <c r="O22" s="152">
        <f>+VLOOKUP(Opex_VE[[#This Row],[Fecha]],Opex!$B:$Y,OPEX_SALES!O$1,1)</f>
        <v>0</v>
      </c>
      <c r="P22" s="152">
        <f>+VLOOKUP(Opex_VE[[#This Row],[Fecha]],Opex!$B:$Y,OPEX_SALES!P$1,1)</f>
        <v>0</v>
      </c>
      <c r="Q22" s="152">
        <f>+VLOOKUP(Opex_VE[[#This Row],[Fecha]],Opex!$B:$Y,OPEX_SALES!Q$1,1)</f>
        <v>0</v>
      </c>
      <c r="R22" s="153">
        <f>+SUM(Opex_VE[[#This Row],[Cajero]:[Domiciliario]])</f>
        <v>20000</v>
      </c>
      <c r="S22" s="152">
        <v>0</v>
      </c>
      <c r="T22" s="152">
        <v>20000</v>
      </c>
      <c r="U22" s="152">
        <v>0</v>
      </c>
      <c r="V22"/>
    </row>
    <row r="23" spans="1:22" x14ac:dyDescent="0.2">
      <c r="A23" s="149">
        <v>46086</v>
      </c>
      <c r="B23" s="3">
        <f t="shared" si="1"/>
        <v>2</v>
      </c>
      <c r="C23" s="3" t="str">
        <f>+TEXT(Opex_VE[[#This Row],[Fecha]],"ddd")</f>
        <v>jue</v>
      </c>
      <c r="E23" s="14" t="s">
        <v>112</v>
      </c>
      <c r="F23" s="168">
        <f>IFERROR(VLOOKUP(Opex_VE[[#This Row],[Fecha]],Historia!A:B,2,0),_xlfn.XLOOKUP(Opex_VE[[#This Row],[dia]],Forecast!I:I,Forecast!J:J))</f>
        <v>259000</v>
      </c>
      <c r="G23" s="168">
        <f>IFERROR(VLOOKUP(Opex_VE[[#This Row],[Fecha]],Historia!A:C,3,0),_xlfn.XLOOKUP(Opex_VE[[#This Row],[dia]],Forecast!I:I,Forecast!K:K))</f>
        <v>103600</v>
      </c>
      <c r="H23" s="182">
        <f>+Opex_VE[[#This Row],[MG]]-Opex_VE[[#This Row],[Opex]]</f>
        <v>22488.888888888891</v>
      </c>
      <c r="I23" s="168" t="str">
        <f>IFERROR(VLOOKUP(Opex_VE[[#This Row],[Fecha]],Historia!A:D,4,0),"Forecast")</f>
        <v>Histórico</v>
      </c>
      <c r="J23" s="157">
        <f t="shared" si="0"/>
        <v>202777.77777777775</v>
      </c>
      <c r="K23" s="151">
        <f>+Opex_VE[[#This Row],[Arriendo]]+Opex_VE[[#This Row],[Servicios publicos]]+Opex_VE[[#This Row],[Nomina]]</f>
        <v>81111.111111111109</v>
      </c>
      <c r="L23" s="152">
        <f>+VLOOKUP(Opex_VE[[#This Row],[Fecha]],Opex!$B:$Y,OPEX_SALES!L$1,1)</f>
        <v>61111.111111111109</v>
      </c>
      <c r="M23" s="153">
        <f>+SUM(Opex_VE[[#This Row],[Internet]:[Electricidad]])</f>
        <v>0</v>
      </c>
      <c r="N23" s="152">
        <f>+VLOOKUP(Opex_VE[[#This Row],[Fecha]],Opex!$B:$Y,OPEX_SALES!N$1,1)</f>
        <v>0</v>
      </c>
      <c r="O23" s="152">
        <f>+VLOOKUP(Opex_VE[[#This Row],[Fecha]],Opex!$B:$Y,OPEX_SALES!O$1,1)</f>
        <v>0</v>
      </c>
      <c r="P23" s="152">
        <f>+VLOOKUP(Opex_VE[[#This Row],[Fecha]],Opex!$B:$Y,OPEX_SALES!P$1,1)</f>
        <v>0</v>
      </c>
      <c r="Q23" s="152">
        <f>+VLOOKUP(Opex_VE[[#This Row],[Fecha]],Opex!$B:$Y,OPEX_SALES!Q$1,1)</f>
        <v>0</v>
      </c>
      <c r="R23" s="153">
        <f>+SUM(Opex_VE[[#This Row],[Cajero]:[Domiciliario]])</f>
        <v>20000</v>
      </c>
      <c r="S23" s="152">
        <v>0</v>
      </c>
      <c r="T23" s="152">
        <v>20000</v>
      </c>
      <c r="U23" s="152">
        <v>0</v>
      </c>
      <c r="V23"/>
    </row>
    <row r="24" spans="1:22" x14ac:dyDescent="0.2">
      <c r="A24" s="149">
        <v>46087</v>
      </c>
      <c r="B24" s="3">
        <f t="shared" si="1"/>
        <v>2</v>
      </c>
      <c r="C24" s="3" t="str">
        <f>+TEXT(Opex_VE[[#This Row],[Fecha]],"ddd")</f>
        <v>vie</v>
      </c>
      <c r="E24" s="14" t="s">
        <v>218</v>
      </c>
      <c r="F24" s="168">
        <f>IFERROR(VLOOKUP(Opex_VE[[#This Row],[Fecha]],Historia!A:B,2,0),_xlfn.XLOOKUP(Opex_VE[[#This Row],[dia]],Forecast!I:I,Forecast!J:J))</f>
        <v>184566.66666666666</v>
      </c>
      <c r="G24" s="168">
        <f>IFERROR(VLOOKUP(Opex_VE[[#This Row],[Fecha]],Historia!A:C,3,0),_xlfn.XLOOKUP(Opex_VE[[#This Row],[dia]],Forecast!I:I,Forecast!K:K))</f>
        <v>73826.666666666672</v>
      </c>
      <c r="H24" s="182">
        <f>+Opex_VE[[#This Row],[MG]]-Opex_VE[[#This Row],[Opex]]</f>
        <v>12715.555555555562</v>
      </c>
      <c r="I24" s="169" t="str">
        <f>IFERROR(VLOOKUP(Opex_VE[[#This Row],[Fecha]],Historia!A:D,4,0),"Forecast")</f>
        <v>Forecast</v>
      </c>
      <c r="J24" s="157">
        <f t="shared" si="0"/>
        <v>152777.77777777775</v>
      </c>
      <c r="K24" s="151">
        <f>+Opex_VE[[#This Row],[Arriendo]]+Opex_VE[[#This Row],[Servicios publicos]]+Opex_VE[[#This Row],[Nomina]]</f>
        <v>61111.111111111109</v>
      </c>
      <c r="L24" s="152">
        <f>+VLOOKUP(Opex_VE[[#This Row],[Fecha]],Opex!$B:$Y,OPEX_SALES!L$1,1)</f>
        <v>61111.111111111109</v>
      </c>
      <c r="M24" s="153">
        <f>+SUM(Opex_VE[[#This Row],[Internet]:[Electricidad]])</f>
        <v>0</v>
      </c>
      <c r="N24" s="152">
        <f>+VLOOKUP(Opex_VE[[#This Row],[Fecha]],Opex!$B:$Y,OPEX_SALES!N$1,1)</f>
        <v>0</v>
      </c>
      <c r="O24" s="152">
        <f>+VLOOKUP(Opex_VE[[#This Row],[Fecha]],Opex!$B:$Y,OPEX_SALES!O$1,1)</f>
        <v>0</v>
      </c>
      <c r="P24" s="152">
        <f>+VLOOKUP(Opex_VE[[#This Row],[Fecha]],Opex!$B:$Y,OPEX_SALES!P$1,1)</f>
        <v>0</v>
      </c>
      <c r="Q24" s="152">
        <f>+VLOOKUP(Opex_VE[[#This Row],[Fecha]],Opex!$B:$Y,OPEX_SALES!Q$1,1)</f>
        <v>0</v>
      </c>
      <c r="R24" s="153">
        <f>+SUM(Opex_VE[[#This Row],[Cajero]:[Domiciliario]])</f>
        <v>0</v>
      </c>
      <c r="S24" s="152">
        <v>0</v>
      </c>
      <c r="T24" s="152">
        <v>0</v>
      </c>
      <c r="U24" s="152">
        <v>0</v>
      </c>
      <c r="V24"/>
    </row>
    <row r="25" spans="1:22" x14ac:dyDescent="0.2">
      <c r="A25" s="149">
        <v>46088</v>
      </c>
      <c r="B25" s="3">
        <f t="shared" si="1"/>
        <v>2</v>
      </c>
      <c r="C25" s="3" t="str">
        <f>+TEXT(Opex_VE[[#This Row],[Fecha]],"ddd")</f>
        <v>sáb</v>
      </c>
      <c r="E25" s="14" t="s">
        <v>113</v>
      </c>
      <c r="F25" s="168">
        <f>IFERROR(VLOOKUP(Opex_VE[[#This Row],[Fecha]],Historia!A:B,2,0),_xlfn.XLOOKUP(Opex_VE[[#This Row],[dia]],Forecast!I:I,Forecast!J:J))</f>
        <v>298500</v>
      </c>
      <c r="G25" s="168">
        <f>IFERROR(VLOOKUP(Opex_VE[[#This Row],[Fecha]],Historia!A:C,3,0),_xlfn.XLOOKUP(Opex_VE[[#This Row],[dia]],Forecast!I:I,Forecast!K:K))</f>
        <v>119400</v>
      </c>
      <c r="H25" s="182">
        <f>+Opex_VE[[#This Row],[MG]]-Opex_VE[[#This Row],[Opex]]</f>
        <v>-33711.111111111124</v>
      </c>
      <c r="I25" s="190" t="s">
        <v>134</v>
      </c>
      <c r="J25" s="157">
        <f t="shared" si="0"/>
        <v>382777.77777777781</v>
      </c>
      <c r="K25" s="151">
        <f>+Opex_VE[[#This Row],[Arriendo]]+Opex_VE[[#This Row],[Servicios publicos]]+Opex_VE[[#This Row],[Nomina]]</f>
        <v>153111.11111111112</v>
      </c>
      <c r="L25" s="152">
        <f>+VLOOKUP(Opex_VE[[#This Row],[Fecha]],Opex!$B:$Y,OPEX_SALES!L$1,1)</f>
        <v>61111.111111111109</v>
      </c>
      <c r="M25" s="153">
        <f>+SUM(Opex_VE[[#This Row],[Internet]:[Electricidad]])</f>
        <v>0</v>
      </c>
      <c r="N25" s="152">
        <f>+VLOOKUP(Opex_VE[[#This Row],[Fecha]],Opex!$B:$Y,OPEX_SALES!N$1,1)</f>
        <v>0</v>
      </c>
      <c r="O25" s="152">
        <f>+VLOOKUP(Opex_VE[[#This Row],[Fecha]],Opex!$B:$Y,OPEX_SALES!O$1,1)</f>
        <v>0</v>
      </c>
      <c r="P25" s="152">
        <f>+VLOOKUP(Opex_VE[[#This Row],[Fecha]],Opex!$B:$Y,OPEX_SALES!P$1,1)</f>
        <v>0</v>
      </c>
      <c r="Q25" s="152">
        <f>+VLOOKUP(Opex_VE[[#This Row],[Fecha]],Opex!$B:$Y,OPEX_SALES!Q$1,1)</f>
        <v>0</v>
      </c>
      <c r="R25" s="153">
        <f>+SUM(Opex_VE[[#This Row],[Cajero]:[Domiciliario]])</f>
        <v>92000</v>
      </c>
      <c r="S25" s="152">
        <v>70000</v>
      </c>
      <c r="T25" s="152">
        <v>22000</v>
      </c>
      <c r="U25" s="152">
        <v>0</v>
      </c>
      <c r="V25"/>
    </row>
    <row r="26" spans="1:22" x14ac:dyDescent="0.2">
      <c r="A26" s="149">
        <v>46089</v>
      </c>
      <c r="B26" s="3">
        <f t="shared" si="1"/>
        <v>2</v>
      </c>
      <c r="C26" s="3" t="str">
        <f>+TEXT(Opex_VE[[#This Row],[Fecha]],"ddd")</f>
        <v>dom</v>
      </c>
      <c r="E26" s="14" t="s">
        <v>145</v>
      </c>
      <c r="F26" s="168">
        <f>IFERROR(VLOOKUP(Opex_VE[[#This Row],[Fecha]],Historia!A:B,2,0),_xlfn.XLOOKUP(Opex_VE[[#This Row],[dia]],Forecast!I:I,Forecast!J:J))</f>
        <v>219500</v>
      </c>
      <c r="G26" s="168">
        <f>IFERROR(VLOOKUP(Opex_VE[[#This Row],[Fecha]],Historia!A:C,3,0),_xlfn.XLOOKUP(Opex_VE[[#This Row],[dia]],Forecast!I:I,Forecast!K:K))</f>
        <v>87800</v>
      </c>
      <c r="H26" s="182">
        <f>+Opex_VE[[#This Row],[MG]]-Opex_VE[[#This Row],[Opex]]</f>
        <v>-3311.1111111111095</v>
      </c>
      <c r="I26" s="168" t="str">
        <f>IFERROR(VLOOKUP(Opex_VE[[#This Row],[Fecha]],Historia!A:D,4,0),"Forecast")</f>
        <v>Histórico</v>
      </c>
      <c r="J26" s="157">
        <f t="shared" si="0"/>
        <v>227777.77777777775</v>
      </c>
      <c r="K26" s="151">
        <f>+Opex_VE[[#This Row],[Arriendo]]+Opex_VE[[#This Row],[Servicios publicos]]+Opex_VE[[#This Row],[Nomina]]</f>
        <v>91111.111111111109</v>
      </c>
      <c r="L26" s="152">
        <f>+VLOOKUP(Opex_VE[[#This Row],[Fecha]],Opex!$B:$Y,OPEX_SALES!L$1,1)</f>
        <v>61111.111111111109</v>
      </c>
      <c r="M26" s="153">
        <f>+SUM(Opex_VE[[#This Row],[Internet]:[Electricidad]])</f>
        <v>0</v>
      </c>
      <c r="N26" s="152">
        <f>+VLOOKUP(Opex_VE[[#This Row],[Fecha]],Opex!$B:$Y,OPEX_SALES!N$1,1)</f>
        <v>0</v>
      </c>
      <c r="O26" s="152">
        <f>+VLOOKUP(Opex_VE[[#This Row],[Fecha]],Opex!$B:$Y,OPEX_SALES!O$1,1)</f>
        <v>0</v>
      </c>
      <c r="P26" s="152">
        <f>+VLOOKUP(Opex_VE[[#This Row],[Fecha]],Opex!$B:$Y,OPEX_SALES!P$1,1)</f>
        <v>0</v>
      </c>
      <c r="Q26" s="152">
        <f>+VLOOKUP(Opex_VE[[#This Row],[Fecha]],Opex!$B:$Y,OPEX_SALES!Q$1,1)</f>
        <v>0</v>
      </c>
      <c r="R26" s="153">
        <f>+SUM(Opex_VE[[#This Row],[Cajero]:[Domiciliario]])</f>
        <v>30000</v>
      </c>
      <c r="S26" s="152">
        <v>20000</v>
      </c>
      <c r="T26" s="152">
        <v>10000</v>
      </c>
      <c r="U26" s="152">
        <v>0</v>
      </c>
      <c r="V26"/>
    </row>
    <row r="27" spans="1:22" x14ac:dyDescent="0.2">
      <c r="A27" s="149">
        <v>46090</v>
      </c>
      <c r="B27" s="3">
        <f t="shared" si="1"/>
        <v>3</v>
      </c>
      <c r="C27" s="3" t="str">
        <f>+TEXT(Opex_VE[[#This Row],[Fecha]],"ddd")</f>
        <v>lun</v>
      </c>
      <c r="E27" s="14" t="s">
        <v>112</v>
      </c>
      <c r="F27" s="168">
        <f>IFERROR(VLOOKUP(Opex_VE[[#This Row],[Fecha]],Historia!A:B,2,0),_xlfn.XLOOKUP(Opex_VE[[#This Row],[dia]],Forecast!I:I,Forecast!J:J))</f>
        <v>248500</v>
      </c>
      <c r="G27" s="168">
        <f>IFERROR(VLOOKUP(Opex_VE[[#This Row],[Fecha]],Historia!A:C,3,0),_xlfn.XLOOKUP(Opex_VE[[#This Row],[dia]],Forecast!I:I,Forecast!K:K))</f>
        <v>99400</v>
      </c>
      <c r="H27" s="182">
        <f>+Opex_VE[[#This Row],[MG]]-Opex_VE[[#This Row],[Opex]]</f>
        <v>-11711.111111111109</v>
      </c>
      <c r="I27" s="168" t="str">
        <f>IFERROR(VLOOKUP(Opex_VE[[#This Row],[Fecha]],Historia!A:D,4,0),"Forecast")</f>
        <v>Histórico</v>
      </c>
      <c r="J27" s="157">
        <f t="shared" si="0"/>
        <v>277777.77777777775</v>
      </c>
      <c r="K27" s="151">
        <f>+Opex_VE[[#This Row],[Arriendo]]+Opex_VE[[#This Row],[Servicios publicos]]+Opex_VE[[#This Row],[Nomina]]</f>
        <v>111111.11111111111</v>
      </c>
      <c r="L27" s="152">
        <f>+VLOOKUP(Opex_VE[[#This Row],[Fecha]],Opex!$B:$Y,OPEX_SALES!L$1,1)</f>
        <v>61111.111111111109</v>
      </c>
      <c r="M27" s="153">
        <f>+SUM(Opex_VE[[#This Row],[Internet]:[Electricidad]])</f>
        <v>0</v>
      </c>
      <c r="N27" s="152">
        <f>+VLOOKUP(Opex_VE[[#This Row],[Fecha]],Opex!$B:$Y,OPEX_SALES!N$1,1)</f>
        <v>0</v>
      </c>
      <c r="O27" s="152">
        <f>+VLOOKUP(Opex_VE[[#This Row],[Fecha]],Opex!$B:$Y,OPEX_SALES!O$1,1)</f>
        <v>0</v>
      </c>
      <c r="P27" s="152">
        <f>+VLOOKUP(Opex_VE[[#This Row],[Fecha]],Opex!$B:$Y,OPEX_SALES!P$1,1)</f>
        <v>0</v>
      </c>
      <c r="Q27" s="152">
        <f>+VLOOKUP(Opex_VE[[#This Row],[Fecha]],Opex!$B:$Y,OPEX_SALES!Q$1,1)</f>
        <v>0</v>
      </c>
      <c r="R27" s="153">
        <f>+SUM(Opex_VE[[#This Row],[Cajero]:[Domiciliario]])</f>
        <v>50000</v>
      </c>
      <c r="S27" s="152">
        <v>30000</v>
      </c>
      <c r="T27" s="152">
        <v>20000</v>
      </c>
      <c r="U27" s="152">
        <v>0</v>
      </c>
      <c r="V27"/>
    </row>
    <row r="28" spans="1:22" x14ac:dyDescent="0.2">
      <c r="A28" s="149">
        <v>46091</v>
      </c>
      <c r="B28" s="3">
        <f t="shared" si="1"/>
        <v>3</v>
      </c>
      <c r="C28" s="3" t="str">
        <f>+TEXT(Opex_VE[[#This Row],[Fecha]],"ddd")</f>
        <v>mar</v>
      </c>
      <c r="E28" s="14" t="s">
        <v>112</v>
      </c>
      <c r="F28" s="168">
        <f>IFERROR(VLOOKUP(Opex_VE[[#This Row],[Fecha]],Historia!A:B,2,0),_xlfn.XLOOKUP(Opex_VE[[#This Row],[dia]],Forecast!I:I,Forecast!J:J))</f>
        <v>94000</v>
      </c>
      <c r="G28" s="168">
        <f>IFERROR(VLOOKUP(Opex_VE[[#This Row],[Fecha]],Historia!A:C,3,0),_xlfn.XLOOKUP(Opex_VE[[#This Row],[dia]],Forecast!I:I,Forecast!K:K))</f>
        <v>37600</v>
      </c>
      <c r="H28" s="182">
        <f>+Opex_VE[[#This Row],[MG]]-Opex_VE[[#This Row],[Opex]]</f>
        <v>-73511.111111111109</v>
      </c>
      <c r="I28" s="168" t="str">
        <f>IFERROR(VLOOKUP(Opex_VE[[#This Row],[Fecha]],Historia!A:D,4,0),"Forecast")</f>
        <v>Histórico</v>
      </c>
      <c r="J28" s="157">
        <f t="shared" si="0"/>
        <v>277777.77777777775</v>
      </c>
      <c r="K28" s="151">
        <f>+Opex_VE[[#This Row],[Arriendo]]+Opex_VE[[#This Row],[Servicios publicos]]+Opex_VE[[#This Row],[Nomina]]</f>
        <v>111111.11111111111</v>
      </c>
      <c r="L28" s="152">
        <f>+VLOOKUP(Opex_VE[[#This Row],[Fecha]],Opex!$B:$Y,OPEX_SALES!L$1,1)</f>
        <v>61111.111111111109</v>
      </c>
      <c r="M28" s="153">
        <f>+SUM(Opex_VE[[#This Row],[Internet]:[Electricidad]])</f>
        <v>0</v>
      </c>
      <c r="N28" s="152">
        <f>+VLOOKUP(Opex_VE[[#This Row],[Fecha]],Opex!$B:$Y,OPEX_SALES!N$1,1)</f>
        <v>0</v>
      </c>
      <c r="O28" s="152">
        <f>+VLOOKUP(Opex_VE[[#This Row],[Fecha]],Opex!$B:$Y,OPEX_SALES!O$1,1)</f>
        <v>0</v>
      </c>
      <c r="P28" s="152">
        <f>+VLOOKUP(Opex_VE[[#This Row],[Fecha]],Opex!$B:$Y,OPEX_SALES!P$1,1)</f>
        <v>0</v>
      </c>
      <c r="Q28" s="152">
        <f>+VLOOKUP(Opex_VE[[#This Row],[Fecha]],Opex!$B:$Y,OPEX_SALES!Q$1,1)</f>
        <v>0</v>
      </c>
      <c r="R28" s="153">
        <f>+SUM(Opex_VE[[#This Row],[Cajero]:[Domiciliario]])</f>
        <v>50000</v>
      </c>
      <c r="S28" s="152">
        <v>30000</v>
      </c>
      <c r="T28" s="152">
        <v>20000</v>
      </c>
      <c r="U28" s="152">
        <v>0</v>
      </c>
      <c r="V28"/>
    </row>
    <row r="29" spans="1:22" x14ac:dyDescent="0.2">
      <c r="A29" s="149">
        <v>46092</v>
      </c>
      <c r="B29" s="3">
        <f t="shared" si="1"/>
        <v>3</v>
      </c>
      <c r="C29" s="3" t="str">
        <f>+TEXT(Opex_VE[[#This Row],[Fecha]],"ddd")</f>
        <v>mié</v>
      </c>
      <c r="E29" s="14" t="s">
        <v>112</v>
      </c>
      <c r="F29" s="168">
        <f>IFERROR(VLOOKUP(Opex_VE[[#This Row],[Fecha]],Historia!A:B,2,0),_xlfn.XLOOKUP(Opex_VE[[#This Row],[dia]],Forecast!I:I,Forecast!J:J))</f>
        <v>473500</v>
      </c>
      <c r="G29" s="168">
        <f>IFERROR(VLOOKUP(Opex_VE[[#This Row],[Fecha]],Historia!A:C,3,0),_xlfn.XLOOKUP(Opex_VE[[#This Row],[dia]],Forecast!I:I,Forecast!K:K))</f>
        <v>189400</v>
      </c>
      <c r="H29" s="182">
        <f>+Opex_VE[[#This Row],[MG]]-Opex_VE[[#This Row],[Opex]]</f>
        <v>88288.888888888891</v>
      </c>
      <c r="I29" s="168" t="str">
        <f>IFERROR(VLOOKUP(Opex_VE[[#This Row],[Fecha]],Historia!A:D,4,0),"Forecast")</f>
        <v>Histórico</v>
      </c>
      <c r="J29" s="157">
        <f t="shared" si="0"/>
        <v>252777.77777777775</v>
      </c>
      <c r="K29" s="151">
        <f>+Opex_VE[[#This Row],[Arriendo]]+Opex_VE[[#This Row],[Servicios publicos]]+Opex_VE[[#This Row],[Nomina]]</f>
        <v>101111.11111111111</v>
      </c>
      <c r="L29" s="152">
        <f>+VLOOKUP(Opex_VE[[#This Row],[Fecha]],Opex!$B:$Y,OPEX_SALES!L$1,1)</f>
        <v>61111.111111111109</v>
      </c>
      <c r="M29" s="153">
        <f>+SUM(Opex_VE[[#This Row],[Internet]:[Electricidad]])</f>
        <v>0</v>
      </c>
      <c r="N29" s="152">
        <f>+VLOOKUP(Opex_VE[[#This Row],[Fecha]],Opex!$B:$Y,OPEX_SALES!N$1,1)</f>
        <v>0</v>
      </c>
      <c r="O29" s="152">
        <f>+VLOOKUP(Opex_VE[[#This Row],[Fecha]],Opex!$B:$Y,OPEX_SALES!O$1,1)</f>
        <v>0</v>
      </c>
      <c r="P29" s="152">
        <f>+VLOOKUP(Opex_VE[[#This Row],[Fecha]],Opex!$B:$Y,OPEX_SALES!P$1,1)</f>
        <v>0</v>
      </c>
      <c r="Q29" s="152">
        <f>+VLOOKUP(Opex_VE[[#This Row],[Fecha]],Opex!$B:$Y,OPEX_SALES!Q$1,1)</f>
        <v>0</v>
      </c>
      <c r="R29" s="153">
        <f>+SUM(Opex_VE[[#This Row],[Cajero]:[Domiciliario]])</f>
        <v>40000</v>
      </c>
      <c r="S29" s="152">
        <v>20000</v>
      </c>
      <c r="T29" s="152">
        <v>20000</v>
      </c>
      <c r="U29" s="152">
        <v>0</v>
      </c>
      <c r="V29"/>
    </row>
    <row r="30" spans="1:22" x14ac:dyDescent="0.2">
      <c r="A30" s="149">
        <v>46093</v>
      </c>
      <c r="B30" s="3">
        <f t="shared" si="1"/>
        <v>3</v>
      </c>
      <c r="C30" s="3" t="str">
        <f>+TEXT(Opex_VE[[#This Row],[Fecha]],"ddd")</f>
        <v>jue</v>
      </c>
      <c r="E30" s="14" t="s">
        <v>112</v>
      </c>
      <c r="F30" s="168">
        <f>IFERROR(VLOOKUP(Opex_VE[[#This Row],[Fecha]],Historia!A:B,2,0),_xlfn.XLOOKUP(Opex_VE[[#This Row],[dia]],Forecast!I:I,Forecast!J:J))</f>
        <v>243000</v>
      </c>
      <c r="G30" s="168">
        <f>IFERROR(VLOOKUP(Opex_VE[[#This Row],[Fecha]],Historia!A:C,3,0),_xlfn.XLOOKUP(Opex_VE[[#This Row],[dia]],Forecast!I:I,Forecast!K:K))</f>
        <v>97200</v>
      </c>
      <c r="H30" s="182">
        <f>+Opex_VE[[#This Row],[MG]]-Opex_VE[[#This Row],[Opex]]</f>
        <v>-13911.111111111109</v>
      </c>
      <c r="I30" s="168" t="str">
        <f>IFERROR(VLOOKUP(Opex_VE[[#This Row],[Fecha]],Historia!A:D,4,0),"Forecast")</f>
        <v>Histórico</v>
      </c>
      <c r="J30" s="157">
        <f t="shared" si="0"/>
        <v>277777.77777777775</v>
      </c>
      <c r="K30" s="151">
        <f>+Opex_VE[[#This Row],[Arriendo]]+Opex_VE[[#This Row],[Servicios publicos]]+Opex_VE[[#This Row],[Nomina]]</f>
        <v>111111.11111111111</v>
      </c>
      <c r="L30" s="152">
        <f>+VLOOKUP(Opex_VE[[#This Row],[Fecha]],Opex!$B:$Y,OPEX_SALES!L$1,1)</f>
        <v>61111.111111111109</v>
      </c>
      <c r="M30" s="153">
        <f>+SUM(Opex_VE[[#This Row],[Internet]:[Electricidad]])</f>
        <v>0</v>
      </c>
      <c r="N30" s="152">
        <f>+VLOOKUP(Opex_VE[[#This Row],[Fecha]],Opex!$B:$Y,OPEX_SALES!N$1,1)</f>
        <v>0</v>
      </c>
      <c r="O30" s="152">
        <f>+VLOOKUP(Opex_VE[[#This Row],[Fecha]],Opex!$B:$Y,OPEX_SALES!O$1,1)</f>
        <v>0</v>
      </c>
      <c r="P30" s="152">
        <f>+VLOOKUP(Opex_VE[[#This Row],[Fecha]],Opex!$B:$Y,OPEX_SALES!P$1,1)</f>
        <v>0</v>
      </c>
      <c r="Q30" s="152">
        <f>+VLOOKUP(Opex_VE[[#This Row],[Fecha]],Opex!$B:$Y,OPEX_SALES!Q$1,1)</f>
        <v>0</v>
      </c>
      <c r="R30" s="153">
        <f>+SUM(Opex_VE[[#This Row],[Cajero]:[Domiciliario]])</f>
        <v>50000</v>
      </c>
      <c r="S30" s="152">
        <v>30000</v>
      </c>
      <c r="T30" s="152">
        <v>20000</v>
      </c>
      <c r="U30" s="152">
        <v>0</v>
      </c>
      <c r="V30"/>
    </row>
    <row r="31" spans="1:22" x14ac:dyDescent="0.2">
      <c r="A31" s="149">
        <v>46094</v>
      </c>
      <c r="B31" s="3">
        <f t="shared" si="1"/>
        <v>3</v>
      </c>
      <c r="C31" s="3" t="str">
        <f>+TEXT(Opex_VE[[#This Row],[Fecha]],"ddd")</f>
        <v>vie</v>
      </c>
      <c r="E31" s="14" t="s">
        <v>217</v>
      </c>
      <c r="F31" s="168">
        <f>IFERROR(VLOOKUP(Opex_VE[[#This Row],[Fecha]],Historia!A:B,2,0),_xlfn.XLOOKUP(Opex_VE[[#This Row],[dia]],Forecast!I:I,Forecast!J:J))</f>
        <v>132500</v>
      </c>
      <c r="G31" s="168">
        <f>IFERROR(VLOOKUP(Opex_VE[[#This Row],[Fecha]],Historia!A:C,3,0),_xlfn.XLOOKUP(Opex_VE[[#This Row],[dia]],Forecast!I:I,Forecast!K:K))</f>
        <v>53000</v>
      </c>
      <c r="H31" s="182">
        <f>+Opex_VE[[#This Row],[MG]]-Opex_VE[[#This Row],[Opex]]</f>
        <v>-58111.111111111109</v>
      </c>
      <c r="I31" s="168" t="str">
        <f>IFERROR(VLOOKUP(Opex_VE[[#This Row],[Fecha]],Historia!A:D,4,0),"Forecast")</f>
        <v>Histórico</v>
      </c>
      <c r="J31" s="157">
        <f t="shared" si="0"/>
        <v>277777.77777777775</v>
      </c>
      <c r="K31" s="151">
        <f>+Opex_VE[[#This Row],[Arriendo]]+Opex_VE[[#This Row],[Servicios publicos]]+Opex_VE[[#This Row],[Nomina]]</f>
        <v>111111.11111111111</v>
      </c>
      <c r="L31" s="152">
        <f>+VLOOKUP(Opex_VE[[#This Row],[Fecha]],Opex!$B:$Y,OPEX_SALES!L$1,1)</f>
        <v>61111.111111111109</v>
      </c>
      <c r="M31" s="153">
        <f>+SUM(Opex_VE[[#This Row],[Internet]:[Electricidad]])</f>
        <v>0</v>
      </c>
      <c r="N31" s="152">
        <f>+VLOOKUP(Opex_VE[[#This Row],[Fecha]],Opex!$B:$Y,OPEX_SALES!N$1,1)</f>
        <v>0</v>
      </c>
      <c r="O31" s="152">
        <f>+VLOOKUP(Opex_VE[[#This Row],[Fecha]],Opex!$B:$Y,OPEX_SALES!O$1,1)</f>
        <v>0</v>
      </c>
      <c r="P31" s="152">
        <f>+VLOOKUP(Opex_VE[[#This Row],[Fecha]],Opex!$B:$Y,OPEX_SALES!P$1,1)</f>
        <v>0</v>
      </c>
      <c r="Q31" s="152">
        <f>+VLOOKUP(Opex_VE[[#This Row],[Fecha]],Opex!$B:$Y,OPEX_SALES!Q$1,1)</f>
        <v>0</v>
      </c>
      <c r="R31" s="153">
        <f>+SUM(Opex_VE[[#This Row],[Cajero]:[Domiciliario]])</f>
        <v>50000</v>
      </c>
      <c r="S31" s="152">
        <v>30000</v>
      </c>
      <c r="T31" s="152">
        <v>20000</v>
      </c>
      <c r="U31" s="152">
        <v>0</v>
      </c>
      <c r="V31"/>
    </row>
    <row r="32" spans="1:22" x14ac:dyDescent="0.2">
      <c r="A32" s="149">
        <v>46095</v>
      </c>
      <c r="B32" s="3">
        <f t="shared" si="1"/>
        <v>3</v>
      </c>
      <c r="C32" s="3" t="str">
        <f>+TEXT(Opex_VE[[#This Row],[Fecha]],"ddd")</f>
        <v>sáb</v>
      </c>
      <c r="E32" s="14" t="s">
        <v>113</v>
      </c>
      <c r="F32" s="168">
        <f>IFERROR(VLOOKUP(Opex_VE[[#This Row],[Fecha]],Historia!A:B,2,0),_xlfn.XLOOKUP(Opex_VE[[#This Row],[dia]],Forecast!I:I,Forecast!J:J))</f>
        <v>392500</v>
      </c>
      <c r="G32" s="168">
        <f>IFERROR(VLOOKUP(Opex_VE[[#This Row],[Fecha]],Historia!A:C,3,0),_xlfn.XLOOKUP(Opex_VE[[#This Row],[dia]],Forecast!I:I,Forecast!K:K))</f>
        <v>157000</v>
      </c>
      <c r="H32" s="182">
        <f>+Opex_VE[[#This Row],[MG]]-Opex_VE[[#This Row],[Opex]]</f>
        <v>45888.888888888891</v>
      </c>
      <c r="I32" s="169" t="str">
        <f>IFERROR(VLOOKUP(Opex_VE[[#This Row],[Fecha]],Historia!A:D,4,0),"Forecast")</f>
        <v>Histórico</v>
      </c>
      <c r="J32" s="157">
        <f t="shared" si="0"/>
        <v>277777.77777777775</v>
      </c>
      <c r="K32" s="151">
        <f>+Opex_VE[[#This Row],[Arriendo]]+Opex_VE[[#This Row],[Servicios publicos]]+Opex_VE[[#This Row],[Nomina]]</f>
        <v>111111.11111111111</v>
      </c>
      <c r="L32" s="152">
        <f>+VLOOKUP(Opex_VE[[#This Row],[Fecha]],Opex!$B:$Y,OPEX_SALES!L$1,1)</f>
        <v>61111.111111111109</v>
      </c>
      <c r="M32" s="153">
        <f>+SUM(Opex_VE[[#This Row],[Internet]:[Electricidad]])</f>
        <v>0</v>
      </c>
      <c r="N32" s="152">
        <f>+VLOOKUP(Opex_VE[[#This Row],[Fecha]],Opex!$B:$Y,OPEX_SALES!N$1,1)</f>
        <v>0</v>
      </c>
      <c r="O32" s="152">
        <f>+VLOOKUP(Opex_VE[[#This Row],[Fecha]],Opex!$B:$Y,OPEX_SALES!O$1,1)</f>
        <v>0</v>
      </c>
      <c r="P32" s="152">
        <f>+VLOOKUP(Opex_VE[[#This Row],[Fecha]],Opex!$B:$Y,OPEX_SALES!P$1,1)</f>
        <v>0</v>
      </c>
      <c r="Q32" s="152">
        <f>+VLOOKUP(Opex_VE[[#This Row],[Fecha]],Opex!$B:$Y,OPEX_SALES!Q$1,1)</f>
        <v>0</v>
      </c>
      <c r="R32" s="153">
        <f>+SUM(Opex_VE[[#This Row],[Cajero]:[Domiciliario]])</f>
        <v>50000</v>
      </c>
      <c r="S32" s="152">
        <v>30000</v>
      </c>
      <c r="T32" s="152">
        <v>20000</v>
      </c>
      <c r="U32" s="152">
        <v>0</v>
      </c>
      <c r="V32"/>
    </row>
    <row r="33" spans="1:22" x14ac:dyDescent="0.2">
      <c r="A33" s="149">
        <v>46096</v>
      </c>
      <c r="B33" s="3">
        <f t="shared" si="1"/>
        <v>3</v>
      </c>
      <c r="C33" s="3" t="str">
        <f>+TEXT(Opex_VE[[#This Row],[Fecha]],"ddd")</f>
        <v>dom</v>
      </c>
      <c r="E33" s="14" t="s">
        <v>145</v>
      </c>
      <c r="F33" s="168">
        <f>IFERROR(VLOOKUP(Opex_VE[[#This Row],[Fecha]],Historia!A:B,2,0),_xlfn.XLOOKUP(Opex_VE[[#This Row],[dia]],Forecast!I:I,Forecast!J:J))</f>
        <v>118000</v>
      </c>
      <c r="G33" s="168">
        <f>IFERROR(VLOOKUP(Opex_VE[[#This Row],[Fecha]],Historia!A:C,3,0),_xlfn.XLOOKUP(Opex_VE[[#This Row],[dia]],Forecast!I:I,Forecast!K:K))</f>
        <v>47200</v>
      </c>
      <c r="H33" s="182">
        <f>+Opex_VE[[#This Row],[MG]]-Opex_VE[[#This Row],[Opex]]</f>
        <v>-80678.966666666674</v>
      </c>
      <c r="I33" s="168" t="str">
        <f>IFERROR(VLOOKUP(Opex_VE[[#This Row],[Fecha]],Historia!A:D,4,0),"Forecast")</f>
        <v>Histórico</v>
      </c>
      <c r="J33" s="157">
        <f t="shared" si="0"/>
        <v>319697.41666666669</v>
      </c>
      <c r="K33" s="151">
        <f>+Opex_VE[[#This Row],[Arriendo]]+Opex_VE[[#This Row],[Servicios publicos]]+Opex_VE[[#This Row],[Nomina]]</f>
        <v>127878.96666666667</v>
      </c>
      <c r="L33" s="152">
        <f>+VLOOKUP(Opex_VE[[#This Row],[Fecha]],Opex!$B:$Y,OPEX_SALES!L$1,1)</f>
        <v>55000</v>
      </c>
      <c r="M33" s="153">
        <f>+SUM(Opex_VE[[#This Row],[Internet]:[Electricidad]])</f>
        <v>22878.966666666667</v>
      </c>
      <c r="N33" s="152">
        <f>+VLOOKUP(Opex_VE[[#This Row],[Fecha]],Opex!$B:$Y,OPEX_SALES!N$1,1)</f>
        <v>0</v>
      </c>
      <c r="O33" s="152">
        <f>+VLOOKUP(Opex_VE[[#This Row],[Fecha]],Opex!$B:$Y,OPEX_SALES!O$1,1)</f>
        <v>8243.9666666666672</v>
      </c>
      <c r="P33" s="152">
        <f>+VLOOKUP(Opex_VE[[#This Row],[Fecha]],Opex!$B:$Y,OPEX_SALES!P$1,1)</f>
        <v>4000</v>
      </c>
      <c r="Q33" s="152">
        <f>+VLOOKUP(Opex_VE[[#This Row],[Fecha]],Opex!$B:$Y,OPEX_SALES!Q$1,1)</f>
        <v>10635</v>
      </c>
      <c r="R33" s="153">
        <f>+SUM(Opex_VE[[#This Row],[Cajero]:[Domiciliario]])</f>
        <v>50000</v>
      </c>
      <c r="S33" s="152">
        <v>30000</v>
      </c>
      <c r="T33" s="152">
        <v>20000</v>
      </c>
      <c r="U33" s="152">
        <v>0</v>
      </c>
      <c r="V33"/>
    </row>
    <row r="34" spans="1:22" x14ac:dyDescent="0.2">
      <c r="A34" s="149">
        <v>46097</v>
      </c>
      <c r="B34" s="3">
        <f t="shared" si="1"/>
        <v>4</v>
      </c>
      <c r="C34" s="3" t="str">
        <f>+TEXT(Opex_VE[[#This Row],[Fecha]],"ddd")</f>
        <v>lun</v>
      </c>
      <c r="E34" s="14" t="s">
        <v>112</v>
      </c>
      <c r="F34" s="168">
        <f>IFERROR(VLOOKUP(Opex_VE[[#This Row],[Fecha]],Historia!A:B,2,0),_xlfn.XLOOKUP(Opex_VE[[#This Row],[dia]],Forecast!I:I,Forecast!J:J))</f>
        <v>124000</v>
      </c>
      <c r="G34" s="168">
        <f>IFERROR(VLOOKUP(Opex_VE[[#This Row],[Fecha]],Historia!A:C,3,0),_xlfn.XLOOKUP(Opex_VE[[#This Row],[dia]],Forecast!I:I,Forecast!K:K))</f>
        <v>49600</v>
      </c>
      <c r="H34" s="182">
        <f>+Opex_VE[[#This Row],[MG]]-Opex_VE[[#This Row],[Opex]]</f>
        <v>-78278.966666666674</v>
      </c>
      <c r="I34" s="168" t="str">
        <f>IFERROR(VLOOKUP(Opex_VE[[#This Row],[Fecha]],Historia!A:D,4,0),"Forecast")</f>
        <v>Histórico</v>
      </c>
      <c r="J34" s="157">
        <f t="shared" si="0"/>
        <v>319697.41666666669</v>
      </c>
      <c r="K34" s="151">
        <f>+Opex_VE[[#This Row],[Arriendo]]+Opex_VE[[#This Row],[Servicios publicos]]+Opex_VE[[#This Row],[Nomina]]</f>
        <v>127878.96666666667</v>
      </c>
      <c r="L34" s="152">
        <f>+VLOOKUP(Opex_VE[[#This Row],[Fecha]],Opex!$B:$Y,OPEX_SALES!L$1,1)</f>
        <v>55000</v>
      </c>
      <c r="M34" s="153">
        <f>+SUM(Opex_VE[[#This Row],[Internet]:[Electricidad]])</f>
        <v>22878.966666666667</v>
      </c>
      <c r="N34" s="152">
        <f>+VLOOKUP(Opex_VE[[#This Row],[Fecha]],Opex!$B:$Y,OPEX_SALES!N$1,1)</f>
        <v>0</v>
      </c>
      <c r="O34" s="152">
        <f>+VLOOKUP(Opex_VE[[#This Row],[Fecha]],Opex!$B:$Y,OPEX_SALES!O$1,1)</f>
        <v>8243.9666666666672</v>
      </c>
      <c r="P34" s="152">
        <f>+VLOOKUP(Opex_VE[[#This Row],[Fecha]],Opex!$B:$Y,OPEX_SALES!P$1,1)</f>
        <v>4000</v>
      </c>
      <c r="Q34" s="152">
        <f>+VLOOKUP(Opex_VE[[#This Row],[Fecha]],Opex!$B:$Y,OPEX_SALES!Q$1,1)</f>
        <v>10635</v>
      </c>
      <c r="R34" s="153">
        <f>+SUM(Opex_VE[[#This Row],[Cajero]:[Domiciliario]])</f>
        <v>50000</v>
      </c>
      <c r="S34" s="152">
        <v>30000</v>
      </c>
      <c r="T34" s="152">
        <v>20000</v>
      </c>
      <c r="U34" s="152">
        <v>0</v>
      </c>
      <c r="V34"/>
    </row>
    <row r="35" spans="1:22" x14ac:dyDescent="0.2">
      <c r="A35" s="149">
        <v>46098</v>
      </c>
      <c r="B35" s="3">
        <f t="shared" si="1"/>
        <v>4</v>
      </c>
      <c r="C35" s="3" t="str">
        <f>+TEXT(Opex_VE[[#This Row],[Fecha]],"ddd")</f>
        <v>mar</v>
      </c>
      <c r="E35" s="14" t="s">
        <v>112</v>
      </c>
      <c r="F35" s="168">
        <f>IFERROR(VLOOKUP(Opex_VE[[#This Row],[Fecha]],Historia!A:B,2,0),_xlfn.XLOOKUP(Opex_VE[[#This Row],[dia]],Forecast!I:I,Forecast!J:J))</f>
        <v>314000</v>
      </c>
      <c r="G35" s="168">
        <f>IFERROR(VLOOKUP(Opex_VE[[#This Row],[Fecha]],Historia!A:C,3,0),_xlfn.XLOOKUP(Opex_VE[[#This Row],[dia]],Forecast!I:I,Forecast!K:K))</f>
        <v>125600</v>
      </c>
      <c r="H35" s="182">
        <f>+Opex_VE[[#This Row],[MG]]-Opex_VE[[#This Row],[Opex]]</f>
        <v>-2278.9666666666744</v>
      </c>
      <c r="I35" s="168" t="str">
        <f>IFERROR(VLOOKUP(Opex_VE[[#This Row],[Fecha]],Historia!A:D,4,0),"Forecast")</f>
        <v>Histórico</v>
      </c>
      <c r="J35" s="157">
        <f t="shared" si="0"/>
        <v>319697.41666666669</v>
      </c>
      <c r="K35" s="151">
        <f>+Opex_VE[[#This Row],[Arriendo]]+Opex_VE[[#This Row],[Servicios publicos]]+Opex_VE[[#This Row],[Nomina]]</f>
        <v>127878.96666666667</v>
      </c>
      <c r="L35" s="152">
        <f>+VLOOKUP(Opex_VE[[#This Row],[Fecha]],Opex!$B:$Y,OPEX_SALES!L$1,1)</f>
        <v>55000</v>
      </c>
      <c r="M35" s="153">
        <f>+SUM(Opex_VE[[#This Row],[Internet]:[Electricidad]])</f>
        <v>22878.966666666667</v>
      </c>
      <c r="N35" s="152">
        <f>+VLOOKUP(Opex_VE[[#This Row],[Fecha]],Opex!$B:$Y,OPEX_SALES!N$1,1)</f>
        <v>0</v>
      </c>
      <c r="O35" s="152">
        <f>+VLOOKUP(Opex_VE[[#This Row],[Fecha]],Opex!$B:$Y,OPEX_SALES!O$1,1)</f>
        <v>8243.9666666666672</v>
      </c>
      <c r="P35" s="152">
        <f>+VLOOKUP(Opex_VE[[#This Row],[Fecha]],Opex!$B:$Y,OPEX_SALES!P$1,1)</f>
        <v>4000</v>
      </c>
      <c r="Q35" s="152">
        <f>+VLOOKUP(Opex_VE[[#This Row],[Fecha]],Opex!$B:$Y,OPEX_SALES!Q$1,1)</f>
        <v>10635</v>
      </c>
      <c r="R35" s="153">
        <f>+SUM(Opex_VE[[#This Row],[Cajero]:[Domiciliario]])</f>
        <v>50000</v>
      </c>
      <c r="S35" s="152">
        <v>30000</v>
      </c>
      <c r="T35" s="152">
        <v>20000</v>
      </c>
      <c r="U35" s="152">
        <v>0</v>
      </c>
      <c r="V35"/>
    </row>
    <row r="36" spans="1:22" x14ac:dyDescent="0.2">
      <c r="A36" s="149">
        <v>46099</v>
      </c>
      <c r="B36" s="3">
        <f t="shared" si="1"/>
        <v>4</v>
      </c>
      <c r="C36" s="3" t="str">
        <f>+TEXT(Opex_VE[[#This Row],[Fecha]],"ddd")</f>
        <v>mié</v>
      </c>
      <c r="E36" s="14" t="s">
        <v>112</v>
      </c>
      <c r="F36" s="168">
        <f>IFERROR(VLOOKUP(Opex_VE[[#This Row],[Fecha]],Historia!A:B,2,0),_xlfn.XLOOKUP(Opex_VE[[#This Row],[dia]],Forecast!I:I,Forecast!J:J))</f>
        <v>149000</v>
      </c>
      <c r="G36" s="168">
        <f>IFERROR(VLOOKUP(Opex_VE[[#This Row],[Fecha]],Historia!A:C,3,0),_xlfn.XLOOKUP(Opex_VE[[#This Row],[dia]],Forecast!I:I,Forecast!K:K))</f>
        <v>59600</v>
      </c>
      <c r="H36" s="182">
        <f>+Opex_VE[[#This Row],[MG]]-Opex_VE[[#This Row],[Opex]]</f>
        <v>-68278.966666666674</v>
      </c>
      <c r="I36" s="168" t="str">
        <f>IFERROR(VLOOKUP(Opex_VE[[#This Row],[Fecha]],Historia!A:D,4,0),"Forecast")</f>
        <v>Histórico</v>
      </c>
      <c r="J36" s="157">
        <f t="shared" si="0"/>
        <v>319697.41666666669</v>
      </c>
      <c r="K36" s="151">
        <f>+Opex_VE[[#This Row],[Arriendo]]+Opex_VE[[#This Row],[Servicios publicos]]+Opex_VE[[#This Row],[Nomina]]</f>
        <v>127878.96666666667</v>
      </c>
      <c r="L36" s="152">
        <f>+VLOOKUP(Opex_VE[[#This Row],[Fecha]],Opex!$B:$Y,OPEX_SALES!L$1,1)</f>
        <v>55000</v>
      </c>
      <c r="M36" s="153">
        <f>+SUM(Opex_VE[[#This Row],[Internet]:[Electricidad]])</f>
        <v>22878.966666666667</v>
      </c>
      <c r="N36" s="152">
        <f>+VLOOKUP(Opex_VE[[#This Row],[Fecha]],Opex!$B:$Y,OPEX_SALES!N$1,1)</f>
        <v>0</v>
      </c>
      <c r="O36" s="152">
        <f>+VLOOKUP(Opex_VE[[#This Row],[Fecha]],Opex!$B:$Y,OPEX_SALES!O$1,1)</f>
        <v>8243.9666666666672</v>
      </c>
      <c r="P36" s="152">
        <f>+VLOOKUP(Opex_VE[[#This Row],[Fecha]],Opex!$B:$Y,OPEX_SALES!P$1,1)</f>
        <v>4000</v>
      </c>
      <c r="Q36" s="152">
        <f>+VLOOKUP(Opex_VE[[#This Row],[Fecha]],Opex!$B:$Y,OPEX_SALES!Q$1,1)</f>
        <v>10635</v>
      </c>
      <c r="R36" s="153">
        <f>+SUM(Opex_VE[[#This Row],[Cajero]:[Domiciliario]])</f>
        <v>50000</v>
      </c>
      <c r="S36" s="152">
        <v>30000</v>
      </c>
      <c r="T36" s="152">
        <v>20000</v>
      </c>
      <c r="U36" s="152">
        <v>0</v>
      </c>
      <c r="V36"/>
    </row>
    <row r="37" spans="1:22" x14ac:dyDescent="0.2">
      <c r="A37" s="149">
        <v>46100</v>
      </c>
      <c r="B37" s="3">
        <f t="shared" si="1"/>
        <v>4</v>
      </c>
      <c r="C37" s="3" t="str">
        <f>+TEXT(Opex_VE[[#This Row],[Fecha]],"ddd")</f>
        <v>jue</v>
      </c>
      <c r="E37" s="14" t="s">
        <v>112</v>
      </c>
      <c r="F37" s="168">
        <f>IFERROR(VLOOKUP(Opex_VE[[#This Row],[Fecha]],Historia!A:B,2,0),_xlfn.XLOOKUP(Opex_VE[[#This Row],[dia]],Forecast!I:I,Forecast!J:J))</f>
        <v>388900</v>
      </c>
      <c r="G37" s="168">
        <f>IFERROR(VLOOKUP(Opex_VE[[#This Row],[Fecha]],Historia!A:C,3,0),_xlfn.XLOOKUP(Opex_VE[[#This Row],[dia]],Forecast!I:I,Forecast!K:K))</f>
        <v>155560</v>
      </c>
      <c r="H37" s="182">
        <f>+Opex_VE[[#This Row],[MG]]-Opex_VE[[#This Row],[Opex]]</f>
        <v>27681.033333333326</v>
      </c>
      <c r="I37" s="168" t="str">
        <f>IFERROR(VLOOKUP(Opex_VE[[#This Row],[Fecha]],Historia!A:D,4,0),"Forecast")</f>
        <v>Histórico</v>
      </c>
      <c r="J37" s="157">
        <f t="shared" si="0"/>
        <v>319697.41666666669</v>
      </c>
      <c r="K37" s="151">
        <f>+Opex_VE[[#This Row],[Arriendo]]+Opex_VE[[#This Row],[Servicios publicos]]+Opex_VE[[#This Row],[Nomina]]</f>
        <v>127878.96666666667</v>
      </c>
      <c r="L37" s="152">
        <f>+VLOOKUP(Opex_VE[[#This Row],[Fecha]],Opex!$B:$Y,OPEX_SALES!L$1,1)</f>
        <v>55000</v>
      </c>
      <c r="M37" s="153">
        <f>+SUM(Opex_VE[[#This Row],[Internet]:[Electricidad]])</f>
        <v>22878.966666666667</v>
      </c>
      <c r="N37" s="152">
        <f>+VLOOKUP(Opex_VE[[#This Row],[Fecha]],Opex!$B:$Y,OPEX_SALES!N$1,1)</f>
        <v>0</v>
      </c>
      <c r="O37" s="152">
        <f>+VLOOKUP(Opex_VE[[#This Row],[Fecha]],Opex!$B:$Y,OPEX_SALES!O$1,1)</f>
        <v>8243.9666666666672</v>
      </c>
      <c r="P37" s="152">
        <f>+VLOOKUP(Opex_VE[[#This Row],[Fecha]],Opex!$B:$Y,OPEX_SALES!P$1,1)</f>
        <v>4000</v>
      </c>
      <c r="Q37" s="152">
        <f>+VLOOKUP(Opex_VE[[#This Row],[Fecha]],Opex!$B:$Y,OPEX_SALES!Q$1,1)</f>
        <v>10635</v>
      </c>
      <c r="R37" s="153">
        <f>+SUM(Opex_VE[[#This Row],[Cajero]:[Domiciliario]])</f>
        <v>50000</v>
      </c>
      <c r="S37" s="152">
        <v>30000</v>
      </c>
      <c r="T37" s="152">
        <v>20000</v>
      </c>
      <c r="U37" s="152">
        <v>0</v>
      </c>
      <c r="V37"/>
    </row>
    <row r="38" spans="1:22" x14ac:dyDescent="0.2">
      <c r="A38" s="149">
        <v>46101</v>
      </c>
      <c r="B38" s="3">
        <f t="shared" si="1"/>
        <v>4</v>
      </c>
      <c r="C38" s="3" t="str">
        <f>+TEXT(Opex_VE[[#This Row],[Fecha]],"ddd")</f>
        <v>vie</v>
      </c>
      <c r="E38" s="14" t="s">
        <v>217</v>
      </c>
      <c r="F38" s="168">
        <f>IFERROR(VLOOKUP(Opex_VE[[#This Row],[Fecha]],Historia!A:B,2,0),_xlfn.XLOOKUP(Opex_VE[[#This Row],[dia]],Forecast!I:I,Forecast!J:J))</f>
        <v>172700</v>
      </c>
      <c r="G38" s="168">
        <f>IFERROR(VLOOKUP(Opex_VE[[#This Row],[Fecha]],Historia!A:C,3,0),_xlfn.XLOOKUP(Opex_VE[[#This Row],[dia]],Forecast!I:I,Forecast!K:K))</f>
        <v>69080</v>
      </c>
      <c r="H38" s="182">
        <f>+Opex_VE[[#This Row],[MG]]-Opex_VE[[#This Row],[Opex]]</f>
        <v>-58798.966666666674</v>
      </c>
      <c r="I38" s="168" t="str">
        <f>IFERROR(VLOOKUP(Opex_VE[[#This Row],[Fecha]],Historia!A:D,4,0),"Forecast")</f>
        <v>Histórico</v>
      </c>
      <c r="J38" s="157">
        <f t="shared" si="0"/>
        <v>319697.41666666669</v>
      </c>
      <c r="K38" s="151">
        <f>+Opex_VE[[#This Row],[Arriendo]]+Opex_VE[[#This Row],[Servicios publicos]]+Opex_VE[[#This Row],[Nomina]]</f>
        <v>127878.96666666667</v>
      </c>
      <c r="L38" s="152">
        <f>+VLOOKUP(Opex_VE[[#This Row],[Fecha]],Opex!$B:$Y,OPEX_SALES!L$1,1)</f>
        <v>55000</v>
      </c>
      <c r="M38" s="153">
        <f>+SUM(Opex_VE[[#This Row],[Internet]:[Electricidad]])</f>
        <v>22878.966666666667</v>
      </c>
      <c r="N38" s="152">
        <f>+VLOOKUP(Opex_VE[[#This Row],[Fecha]],Opex!$B:$Y,OPEX_SALES!N$1,1)</f>
        <v>0</v>
      </c>
      <c r="O38" s="152">
        <f>+VLOOKUP(Opex_VE[[#This Row],[Fecha]],Opex!$B:$Y,OPEX_SALES!O$1,1)</f>
        <v>8243.9666666666672</v>
      </c>
      <c r="P38" s="152">
        <f>+VLOOKUP(Opex_VE[[#This Row],[Fecha]],Opex!$B:$Y,OPEX_SALES!P$1,1)</f>
        <v>4000</v>
      </c>
      <c r="Q38" s="152">
        <f>+VLOOKUP(Opex_VE[[#This Row],[Fecha]],Opex!$B:$Y,OPEX_SALES!Q$1,1)</f>
        <v>10635</v>
      </c>
      <c r="R38" s="153">
        <f>+SUM(Opex_VE[[#This Row],[Cajero]:[Domiciliario]])</f>
        <v>50000</v>
      </c>
      <c r="S38" s="152">
        <v>30000</v>
      </c>
      <c r="T38" s="152">
        <v>20000</v>
      </c>
      <c r="U38" s="152">
        <v>0</v>
      </c>
      <c r="V38"/>
    </row>
    <row r="39" spans="1:22" x14ac:dyDescent="0.2">
      <c r="A39" s="149">
        <v>46102</v>
      </c>
      <c r="B39" s="3">
        <f t="shared" si="1"/>
        <v>4</v>
      </c>
      <c r="C39" s="3" t="str">
        <f>+TEXT(Opex_VE[[#This Row],[Fecha]],"ddd")</f>
        <v>sáb</v>
      </c>
      <c r="E39" s="14" t="s">
        <v>113</v>
      </c>
      <c r="F39" s="168">
        <f>IFERROR(VLOOKUP(Opex_VE[[#This Row],[Fecha]],Historia!A:B,2,0),_xlfn.XLOOKUP(Opex_VE[[#This Row],[dia]],Forecast!I:I,Forecast!J:J))</f>
        <v>398333.33333333331</v>
      </c>
      <c r="G39" s="168">
        <f>IFERROR(VLOOKUP(Opex_VE[[#This Row],[Fecha]],Historia!A:C,3,0),_xlfn.XLOOKUP(Opex_VE[[#This Row],[dia]],Forecast!I:I,Forecast!K:K))</f>
        <v>159333.33333333334</v>
      </c>
      <c r="H39" s="182">
        <f>+Opex_VE[[#This Row],[MG]]-Opex_VE[[#This Row],[Opex]]</f>
        <v>31454.366666666669</v>
      </c>
      <c r="I39" s="169" t="str">
        <f>IFERROR(VLOOKUP(Opex_VE[[#This Row],[Fecha]],Historia!A:D,4,0),"Forecast")</f>
        <v>Forecast</v>
      </c>
      <c r="J39" s="157">
        <f t="shared" si="0"/>
        <v>319697.41666666669</v>
      </c>
      <c r="K39" s="151">
        <f>+Opex_VE[[#This Row],[Arriendo]]+Opex_VE[[#This Row],[Servicios publicos]]+Opex_VE[[#This Row],[Nomina]]</f>
        <v>127878.96666666667</v>
      </c>
      <c r="L39" s="152">
        <f>+VLOOKUP(Opex_VE[[#This Row],[Fecha]],Opex!$B:$Y,OPEX_SALES!L$1,1)</f>
        <v>55000</v>
      </c>
      <c r="M39" s="153">
        <f>+SUM(Opex_VE[[#This Row],[Internet]:[Electricidad]])</f>
        <v>22878.966666666667</v>
      </c>
      <c r="N39" s="152">
        <f>+VLOOKUP(Opex_VE[[#This Row],[Fecha]],Opex!$B:$Y,OPEX_SALES!N$1,1)</f>
        <v>0</v>
      </c>
      <c r="O39" s="152">
        <f>+VLOOKUP(Opex_VE[[#This Row],[Fecha]],Opex!$B:$Y,OPEX_SALES!O$1,1)</f>
        <v>8243.9666666666672</v>
      </c>
      <c r="P39" s="152">
        <f>+VLOOKUP(Opex_VE[[#This Row],[Fecha]],Opex!$B:$Y,OPEX_SALES!P$1,1)</f>
        <v>4000</v>
      </c>
      <c r="Q39" s="152">
        <f>+VLOOKUP(Opex_VE[[#This Row],[Fecha]],Opex!$B:$Y,OPEX_SALES!Q$1,1)</f>
        <v>10635</v>
      </c>
      <c r="R39" s="153">
        <f>+SUM(Opex_VE[[#This Row],[Cajero]:[Domiciliario]])</f>
        <v>50000</v>
      </c>
      <c r="S39" s="152">
        <v>30000</v>
      </c>
      <c r="T39" s="152">
        <v>20000</v>
      </c>
      <c r="U39" s="152">
        <v>0</v>
      </c>
      <c r="V39"/>
    </row>
    <row r="40" spans="1:22" x14ac:dyDescent="0.2">
      <c r="A40" s="149">
        <v>46103</v>
      </c>
      <c r="B40" s="3">
        <f t="shared" si="1"/>
        <v>4</v>
      </c>
      <c r="C40" s="3" t="str">
        <f>+TEXT(Opex_VE[[#This Row],[Fecha]],"ddd")</f>
        <v>dom</v>
      </c>
      <c r="E40" s="14" t="s">
        <v>145</v>
      </c>
      <c r="F40" s="168">
        <f>IFERROR(VLOOKUP(Opex_VE[[#This Row],[Fecha]],Historia!A:B,2,0),_xlfn.XLOOKUP(Opex_VE[[#This Row],[dia]],Forecast!I:I,Forecast!J:J))</f>
        <v>11000</v>
      </c>
      <c r="G40" s="168">
        <f>IFERROR(VLOOKUP(Opex_VE[[#This Row],[Fecha]],Historia!A:C,3,0),_xlfn.XLOOKUP(Opex_VE[[#This Row],[dia]],Forecast!I:I,Forecast!K:K))</f>
        <v>4400</v>
      </c>
      <c r="H40" s="182">
        <f>+Opex_VE[[#This Row],[MG]]-Opex_VE[[#This Row],[Opex]]</f>
        <v>-123478.96666666667</v>
      </c>
      <c r="I40" s="168" t="str">
        <f>IFERROR(VLOOKUP(Opex_VE[[#This Row],[Fecha]],Historia!A:D,4,0),"Forecast")</f>
        <v>Histórico</v>
      </c>
      <c r="J40" s="157">
        <f t="shared" si="0"/>
        <v>319697.41666666669</v>
      </c>
      <c r="K40" s="151">
        <f>+Opex_VE[[#This Row],[Arriendo]]+Opex_VE[[#This Row],[Servicios publicos]]+Opex_VE[[#This Row],[Nomina]]</f>
        <v>127878.96666666667</v>
      </c>
      <c r="L40" s="152">
        <f>+VLOOKUP(Opex_VE[[#This Row],[Fecha]],Opex!$B:$Y,OPEX_SALES!L$1,1)</f>
        <v>55000</v>
      </c>
      <c r="M40" s="153">
        <f>+SUM(Opex_VE[[#This Row],[Internet]:[Electricidad]])</f>
        <v>22878.966666666667</v>
      </c>
      <c r="N40" s="152">
        <f>+VLOOKUP(Opex_VE[[#This Row],[Fecha]],Opex!$B:$Y,OPEX_SALES!N$1,1)</f>
        <v>0</v>
      </c>
      <c r="O40" s="152">
        <f>+VLOOKUP(Opex_VE[[#This Row],[Fecha]],Opex!$B:$Y,OPEX_SALES!O$1,1)</f>
        <v>8243.9666666666672</v>
      </c>
      <c r="P40" s="152">
        <f>+VLOOKUP(Opex_VE[[#This Row],[Fecha]],Opex!$B:$Y,OPEX_SALES!P$1,1)</f>
        <v>4000</v>
      </c>
      <c r="Q40" s="152">
        <f>+VLOOKUP(Opex_VE[[#This Row],[Fecha]],Opex!$B:$Y,OPEX_SALES!Q$1,1)</f>
        <v>10635</v>
      </c>
      <c r="R40" s="153">
        <f>+SUM(Opex_VE[[#This Row],[Cajero]:[Domiciliario]])</f>
        <v>50000</v>
      </c>
      <c r="S40" s="152">
        <v>30000</v>
      </c>
      <c r="T40" s="152">
        <v>20000</v>
      </c>
      <c r="U40" s="152">
        <v>0</v>
      </c>
      <c r="V40"/>
    </row>
    <row r="41" spans="1:22" x14ac:dyDescent="0.2">
      <c r="A41" s="149">
        <v>46104</v>
      </c>
      <c r="B41" s="3">
        <f t="shared" si="1"/>
        <v>5</v>
      </c>
      <c r="C41" s="3" t="str">
        <f>+TEXT(Opex_VE[[#This Row],[Fecha]],"ddd")</f>
        <v>lun</v>
      </c>
      <c r="E41" s="14" t="s">
        <v>112</v>
      </c>
      <c r="F41" s="168">
        <f>IFERROR(VLOOKUP(Opex_VE[[#This Row],[Fecha]],Historia!A:B,2,0),_xlfn.XLOOKUP(Opex_VE[[#This Row],[dia]],Forecast!I:I,Forecast!J:J))</f>
        <v>164375</v>
      </c>
      <c r="G41" s="168">
        <f>IFERROR(VLOOKUP(Opex_VE[[#This Row],[Fecha]],Historia!A:C,3,0),_xlfn.XLOOKUP(Opex_VE[[#This Row],[dia]],Forecast!I:I,Forecast!K:K))</f>
        <v>65750</v>
      </c>
      <c r="H41" s="182">
        <f>+Opex_VE[[#This Row],[MG]]-Opex_VE[[#This Row],[Opex]]</f>
        <v>-62128.966666666674</v>
      </c>
      <c r="I41" s="168" t="str">
        <f>IFERROR(VLOOKUP(Opex_VE[[#This Row],[Fecha]],Historia!A:D,4,0),"Forecast")</f>
        <v>Forecast</v>
      </c>
      <c r="J41" s="157">
        <f t="shared" si="0"/>
        <v>319697.41666666669</v>
      </c>
      <c r="K41" s="151">
        <f>+Opex_VE[[#This Row],[Arriendo]]+Opex_VE[[#This Row],[Servicios publicos]]+Opex_VE[[#This Row],[Nomina]]</f>
        <v>127878.96666666667</v>
      </c>
      <c r="L41" s="152">
        <f>+VLOOKUP(Opex_VE[[#This Row],[Fecha]],Opex!$B:$Y,OPEX_SALES!L$1,1)</f>
        <v>55000</v>
      </c>
      <c r="M41" s="153">
        <f>+SUM(Opex_VE[[#This Row],[Internet]:[Electricidad]])</f>
        <v>22878.966666666667</v>
      </c>
      <c r="N41" s="152">
        <f>+VLOOKUP(Opex_VE[[#This Row],[Fecha]],Opex!$B:$Y,OPEX_SALES!N$1,1)</f>
        <v>0</v>
      </c>
      <c r="O41" s="152">
        <f>+VLOOKUP(Opex_VE[[#This Row],[Fecha]],Opex!$B:$Y,OPEX_SALES!O$1,1)</f>
        <v>8243.9666666666672</v>
      </c>
      <c r="P41" s="152">
        <f>+VLOOKUP(Opex_VE[[#This Row],[Fecha]],Opex!$B:$Y,OPEX_SALES!P$1,1)</f>
        <v>4000</v>
      </c>
      <c r="Q41" s="152">
        <f>+VLOOKUP(Opex_VE[[#This Row],[Fecha]],Opex!$B:$Y,OPEX_SALES!Q$1,1)</f>
        <v>10635</v>
      </c>
      <c r="R41" s="153">
        <f>+SUM(Opex_VE[[#This Row],[Cajero]:[Domiciliario]])</f>
        <v>50000</v>
      </c>
      <c r="S41" s="152">
        <v>30000</v>
      </c>
      <c r="T41" s="152">
        <v>20000</v>
      </c>
      <c r="U41" s="152">
        <v>0</v>
      </c>
      <c r="V41"/>
    </row>
    <row r="42" spans="1:22" x14ac:dyDescent="0.2">
      <c r="A42" s="149">
        <v>46105</v>
      </c>
      <c r="B42" s="3">
        <f t="shared" si="1"/>
        <v>5</v>
      </c>
      <c r="C42" s="3" t="str">
        <f>+TEXT(Opex_VE[[#This Row],[Fecha]],"ddd")</f>
        <v>mar</v>
      </c>
      <c r="E42" s="14" t="s">
        <v>112</v>
      </c>
      <c r="F42" s="168">
        <f>IFERROR(VLOOKUP(Opex_VE[[#This Row],[Fecha]],Historia!A:B,2,0),_xlfn.XLOOKUP(Opex_VE[[#This Row],[dia]],Forecast!I:I,Forecast!J:J))</f>
        <v>199625</v>
      </c>
      <c r="G42" s="168">
        <f>IFERROR(VLOOKUP(Opex_VE[[#This Row],[Fecha]],Historia!A:C,3,0),_xlfn.XLOOKUP(Opex_VE[[#This Row],[dia]],Forecast!I:I,Forecast!K:K))</f>
        <v>79850</v>
      </c>
      <c r="H42" s="182">
        <f>+Opex_VE[[#This Row],[MG]]-Opex_VE[[#This Row],[Opex]]</f>
        <v>-48028.966666666674</v>
      </c>
      <c r="I42" s="168" t="str">
        <f>IFERROR(VLOOKUP(Opex_VE[[#This Row],[Fecha]],Historia!A:D,4,0),"Forecast")</f>
        <v>Forecast</v>
      </c>
      <c r="J42" s="157">
        <f t="shared" si="0"/>
        <v>319697.41666666669</v>
      </c>
      <c r="K42" s="151">
        <f>+Opex_VE[[#This Row],[Arriendo]]+Opex_VE[[#This Row],[Servicios publicos]]+Opex_VE[[#This Row],[Nomina]]</f>
        <v>127878.96666666667</v>
      </c>
      <c r="L42" s="152">
        <f>+VLOOKUP(Opex_VE[[#This Row],[Fecha]],Opex!$B:$Y,OPEX_SALES!L$1,1)</f>
        <v>55000</v>
      </c>
      <c r="M42" s="153">
        <f>+SUM(Opex_VE[[#This Row],[Internet]:[Electricidad]])</f>
        <v>22878.966666666667</v>
      </c>
      <c r="N42" s="152">
        <f>+VLOOKUP(Opex_VE[[#This Row],[Fecha]],Opex!$B:$Y,OPEX_SALES!N$1,1)</f>
        <v>0</v>
      </c>
      <c r="O42" s="152">
        <f>+VLOOKUP(Opex_VE[[#This Row],[Fecha]],Opex!$B:$Y,OPEX_SALES!O$1,1)</f>
        <v>8243.9666666666672</v>
      </c>
      <c r="P42" s="152">
        <f>+VLOOKUP(Opex_VE[[#This Row],[Fecha]],Opex!$B:$Y,OPEX_SALES!P$1,1)</f>
        <v>4000</v>
      </c>
      <c r="Q42" s="152">
        <f>+VLOOKUP(Opex_VE[[#This Row],[Fecha]],Opex!$B:$Y,OPEX_SALES!Q$1,1)</f>
        <v>10635</v>
      </c>
      <c r="R42" s="153">
        <f>+SUM(Opex_VE[[#This Row],[Cajero]:[Domiciliario]])</f>
        <v>50000</v>
      </c>
      <c r="S42" s="152">
        <v>30000</v>
      </c>
      <c r="T42" s="152">
        <v>20000</v>
      </c>
      <c r="U42" s="152">
        <v>0</v>
      </c>
      <c r="V42"/>
    </row>
    <row r="43" spans="1:22" x14ac:dyDescent="0.2">
      <c r="A43" s="149">
        <v>46106</v>
      </c>
      <c r="B43" s="3">
        <f t="shared" si="1"/>
        <v>5</v>
      </c>
      <c r="C43" s="3" t="str">
        <f>+TEXT(Opex_VE[[#This Row],[Fecha]],"ddd")</f>
        <v>mié</v>
      </c>
      <c r="E43" s="14" t="s">
        <v>112</v>
      </c>
      <c r="F43" s="168">
        <f>IFERROR(VLOOKUP(Opex_VE[[#This Row],[Fecha]],Historia!A:B,2,0),_xlfn.XLOOKUP(Opex_VE[[#This Row],[dia]],Forecast!I:I,Forecast!J:J))</f>
        <v>339250</v>
      </c>
      <c r="G43" s="168">
        <f>IFERROR(VLOOKUP(Opex_VE[[#This Row],[Fecha]],Historia!A:C,3,0),_xlfn.XLOOKUP(Opex_VE[[#This Row],[dia]],Forecast!I:I,Forecast!K:K))</f>
        <v>135700</v>
      </c>
      <c r="H43" s="182">
        <f>+Opex_VE[[#This Row],[MG]]-Opex_VE[[#This Row],[Opex]]</f>
        <v>7821.0333333333256</v>
      </c>
      <c r="I43" s="168" t="str">
        <f>IFERROR(VLOOKUP(Opex_VE[[#This Row],[Fecha]],Historia!A:D,4,0),"Forecast")</f>
        <v>Forecast</v>
      </c>
      <c r="J43" s="157">
        <f t="shared" si="0"/>
        <v>319697.41666666669</v>
      </c>
      <c r="K43" s="151">
        <f>+Opex_VE[[#This Row],[Arriendo]]+Opex_VE[[#This Row],[Servicios publicos]]+Opex_VE[[#This Row],[Nomina]]</f>
        <v>127878.96666666667</v>
      </c>
      <c r="L43" s="152">
        <f>+VLOOKUP(Opex_VE[[#This Row],[Fecha]],Opex!$B:$Y,OPEX_SALES!L$1,1)</f>
        <v>55000</v>
      </c>
      <c r="M43" s="153">
        <f>+SUM(Opex_VE[[#This Row],[Internet]:[Electricidad]])</f>
        <v>22878.966666666667</v>
      </c>
      <c r="N43" s="152">
        <f>+VLOOKUP(Opex_VE[[#This Row],[Fecha]],Opex!$B:$Y,OPEX_SALES!N$1,1)</f>
        <v>0</v>
      </c>
      <c r="O43" s="152">
        <f>+VLOOKUP(Opex_VE[[#This Row],[Fecha]],Opex!$B:$Y,OPEX_SALES!O$1,1)</f>
        <v>8243.9666666666672</v>
      </c>
      <c r="P43" s="152">
        <f>+VLOOKUP(Opex_VE[[#This Row],[Fecha]],Opex!$B:$Y,OPEX_SALES!P$1,1)</f>
        <v>4000</v>
      </c>
      <c r="Q43" s="152">
        <f>+VLOOKUP(Opex_VE[[#This Row],[Fecha]],Opex!$B:$Y,OPEX_SALES!Q$1,1)</f>
        <v>10635</v>
      </c>
      <c r="R43" s="153">
        <f>+SUM(Opex_VE[[#This Row],[Cajero]:[Domiciliario]])</f>
        <v>50000</v>
      </c>
      <c r="S43" s="152">
        <v>30000</v>
      </c>
      <c r="T43" s="152">
        <v>20000</v>
      </c>
      <c r="U43" s="152">
        <v>0</v>
      </c>
      <c r="V43"/>
    </row>
    <row r="44" spans="1:22" x14ac:dyDescent="0.2">
      <c r="A44" s="149">
        <v>46107</v>
      </c>
      <c r="B44" s="3">
        <f t="shared" si="1"/>
        <v>5</v>
      </c>
      <c r="C44" s="3" t="str">
        <f>+TEXT(Opex_VE[[#This Row],[Fecha]],"ddd")</f>
        <v>jue</v>
      </c>
      <c r="E44" s="14" t="s">
        <v>112</v>
      </c>
      <c r="F44" s="168">
        <f>IFERROR(VLOOKUP(Opex_VE[[#This Row],[Fecha]],Historia!A:B,2,0),_xlfn.XLOOKUP(Opex_VE[[#This Row],[dia]],Forecast!I:I,Forecast!J:J))</f>
        <v>274975</v>
      </c>
      <c r="G44" s="168">
        <f>IFERROR(VLOOKUP(Opex_VE[[#This Row],[Fecha]],Historia!A:C,3,0),_xlfn.XLOOKUP(Opex_VE[[#This Row],[dia]],Forecast!I:I,Forecast!K:K))</f>
        <v>109990</v>
      </c>
      <c r="H44" s="182">
        <f>+Opex_VE[[#This Row],[MG]]-Opex_VE[[#This Row],[Opex]]</f>
        <v>-17888.966666666674</v>
      </c>
      <c r="I44" s="168" t="str">
        <f>IFERROR(VLOOKUP(Opex_VE[[#This Row],[Fecha]],Historia!A:D,4,0),"Forecast")</f>
        <v>Forecast</v>
      </c>
      <c r="J44" s="157">
        <f t="shared" si="0"/>
        <v>319697.41666666669</v>
      </c>
      <c r="K44" s="151">
        <f>+Opex_VE[[#This Row],[Arriendo]]+Opex_VE[[#This Row],[Servicios publicos]]+Opex_VE[[#This Row],[Nomina]]</f>
        <v>127878.96666666667</v>
      </c>
      <c r="L44" s="152">
        <f>+VLOOKUP(Opex_VE[[#This Row],[Fecha]],Opex!$B:$Y,OPEX_SALES!L$1,1)</f>
        <v>55000</v>
      </c>
      <c r="M44" s="153">
        <f>+SUM(Opex_VE[[#This Row],[Internet]:[Electricidad]])</f>
        <v>22878.966666666667</v>
      </c>
      <c r="N44" s="152">
        <f>+VLOOKUP(Opex_VE[[#This Row],[Fecha]],Opex!$B:$Y,OPEX_SALES!N$1,1)</f>
        <v>0</v>
      </c>
      <c r="O44" s="152">
        <f>+VLOOKUP(Opex_VE[[#This Row],[Fecha]],Opex!$B:$Y,OPEX_SALES!O$1,1)</f>
        <v>8243.9666666666672</v>
      </c>
      <c r="P44" s="152">
        <f>+VLOOKUP(Opex_VE[[#This Row],[Fecha]],Opex!$B:$Y,OPEX_SALES!P$1,1)</f>
        <v>4000</v>
      </c>
      <c r="Q44" s="152">
        <f>+VLOOKUP(Opex_VE[[#This Row],[Fecha]],Opex!$B:$Y,OPEX_SALES!Q$1,1)</f>
        <v>10635</v>
      </c>
      <c r="R44" s="153">
        <f>+SUM(Opex_VE[[#This Row],[Cajero]:[Domiciliario]])</f>
        <v>50000</v>
      </c>
      <c r="S44" s="152">
        <v>30000</v>
      </c>
      <c r="T44" s="152">
        <v>20000</v>
      </c>
      <c r="U44" s="152">
        <v>0</v>
      </c>
      <c r="V44"/>
    </row>
    <row r="45" spans="1:22" x14ac:dyDescent="0.2">
      <c r="A45" s="149">
        <v>46108</v>
      </c>
      <c r="B45" s="3">
        <f t="shared" si="1"/>
        <v>5</v>
      </c>
      <c r="C45" s="3" t="str">
        <f>+TEXT(Opex_VE[[#This Row],[Fecha]],"ddd")</f>
        <v>vie</v>
      </c>
      <c r="E45" s="14" t="s">
        <v>217</v>
      </c>
      <c r="F45" s="168">
        <f>IFERROR(VLOOKUP(Opex_VE[[#This Row],[Fecha]],Historia!A:B,2,0),_xlfn.XLOOKUP(Opex_VE[[#This Row],[dia]],Forecast!I:I,Forecast!J:J))</f>
        <v>184566.66666666666</v>
      </c>
      <c r="G45" s="168">
        <f>IFERROR(VLOOKUP(Opex_VE[[#This Row],[Fecha]],Historia!A:C,3,0),_xlfn.XLOOKUP(Opex_VE[[#This Row],[dia]],Forecast!I:I,Forecast!K:K))</f>
        <v>73826.666666666672</v>
      </c>
      <c r="H45" s="182">
        <f>+Opex_VE[[#This Row],[MG]]-Opex_VE[[#This Row],[Opex]]</f>
        <v>-54052.3</v>
      </c>
      <c r="I45" s="168" t="str">
        <f>IFERROR(VLOOKUP(Opex_VE[[#This Row],[Fecha]],Historia!A:D,4,0),"Forecast")</f>
        <v>Forecast</v>
      </c>
      <c r="J45" s="157">
        <f t="shared" si="0"/>
        <v>319697.41666666669</v>
      </c>
      <c r="K45" s="151">
        <f>+Opex_VE[[#This Row],[Arriendo]]+Opex_VE[[#This Row],[Servicios publicos]]+Opex_VE[[#This Row],[Nomina]]</f>
        <v>127878.96666666667</v>
      </c>
      <c r="L45" s="152">
        <f>+VLOOKUP(Opex_VE[[#This Row],[Fecha]],Opex!$B:$Y,OPEX_SALES!L$1,1)</f>
        <v>55000</v>
      </c>
      <c r="M45" s="153">
        <f>+SUM(Opex_VE[[#This Row],[Internet]:[Electricidad]])</f>
        <v>22878.966666666667</v>
      </c>
      <c r="N45" s="152">
        <f>+VLOOKUP(Opex_VE[[#This Row],[Fecha]],Opex!$B:$Y,OPEX_SALES!N$1,1)</f>
        <v>0</v>
      </c>
      <c r="O45" s="152">
        <f>+VLOOKUP(Opex_VE[[#This Row],[Fecha]],Opex!$B:$Y,OPEX_SALES!O$1,1)</f>
        <v>8243.9666666666672</v>
      </c>
      <c r="P45" s="152">
        <f>+VLOOKUP(Opex_VE[[#This Row],[Fecha]],Opex!$B:$Y,OPEX_SALES!P$1,1)</f>
        <v>4000</v>
      </c>
      <c r="Q45" s="152">
        <f>+VLOOKUP(Opex_VE[[#This Row],[Fecha]],Opex!$B:$Y,OPEX_SALES!Q$1,1)</f>
        <v>10635</v>
      </c>
      <c r="R45" s="153">
        <f>+SUM(Opex_VE[[#This Row],[Cajero]:[Domiciliario]])</f>
        <v>50000</v>
      </c>
      <c r="S45" s="152">
        <v>30000</v>
      </c>
      <c r="T45" s="152">
        <v>20000</v>
      </c>
      <c r="U45" s="152">
        <v>0</v>
      </c>
      <c r="V45"/>
    </row>
    <row r="46" spans="1:22" x14ac:dyDescent="0.2">
      <c r="A46" s="149">
        <v>46109</v>
      </c>
      <c r="B46" s="3">
        <f t="shared" si="1"/>
        <v>5</v>
      </c>
      <c r="C46" s="3" t="str">
        <f>+TEXT(Opex_VE[[#This Row],[Fecha]],"ddd")</f>
        <v>sáb</v>
      </c>
      <c r="E46" s="14" t="s">
        <v>113</v>
      </c>
      <c r="F46" s="168">
        <f>IFERROR(VLOOKUP(Opex_VE[[#This Row],[Fecha]],Historia!A:B,2,0),_xlfn.XLOOKUP(Opex_VE[[#This Row],[dia]],Forecast!I:I,Forecast!J:J))</f>
        <v>398333.33333333331</v>
      </c>
      <c r="G46" s="168">
        <f>IFERROR(VLOOKUP(Opex_VE[[#This Row],[Fecha]],Historia!A:C,3,0),_xlfn.XLOOKUP(Opex_VE[[#This Row],[dia]],Forecast!I:I,Forecast!K:K))</f>
        <v>159333.33333333334</v>
      </c>
      <c r="H46" s="182">
        <f>+Opex_VE[[#This Row],[MG]]-Opex_VE[[#This Row],[Opex]]</f>
        <v>31454.366666666669</v>
      </c>
      <c r="I46" s="169" t="str">
        <f>IFERROR(VLOOKUP(Opex_VE[[#This Row],[Fecha]],Historia!A:D,4,0),"Forecast")</f>
        <v>Forecast</v>
      </c>
      <c r="J46" s="157">
        <f t="shared" si="0"/>
        <v>319697.41666666669</v>
      </c>
      <c r="K46" s="151">
        <f>+Opex_VE[[#This Row],[Arriendo]]+Opex_VE[[#This Row],[Servicios publicos]]+Opex_VE[[#This Row],[Nomina]]</f>
        <v>127878.96666666667</v>
      </c>
      <c r="L46" s="152">
        <f>+VLOOKUP(Opex_VE[[#This Row],[Fecha]],Opex!$B:$Y,OPEX_SALES!L$1,1)</f>
        <v>55000</v>
      </c>
      <c r="M46" s="153">
        <f>+SUM(Opex_VE[[#This Row],[Internet]:[Electricidad]])</f>
        <v>22878.966666666667</v>
      </c>
      <c r="N46" s="152">
        <f>+VLOOKUP(Opex_VE[[#This Row],[Fecha]],Opex!$B:$Y,OPEX_SALES!N$1,1)</f>
        <v>0</v>
      </c>
      <c r="O46" s="152">
        <f>+VLOOKUP(Opex_VE[[#This Row],[Fecha]],Opex!$B:$Y,OPEX_SALES!O$1,1)</f>
        <v>8243.9666666666672</v>
      </c>
      <c r="P46" s="152">
        <f>+VLOOKUP(Opex_VE[[#This Row],[Fecha]],Opex!$B:$Y,OPEX_SALES!P$1,1)</f>
        <v>4000</v>
      </c>
      <c r="Q46" s="152">
        <f>+VLOOKUP(Opex_VE[[#This Row],[Fecha]],Opex!$B:$Y,OPEX_SALES!Q$1,1)</f>
        <v>10635</v>
      </c>
      <c r="R46" s="153">
        <f>+SUM(Opex_VE[[#This Row],[Cajero]:[Domiciliario]])</f>
        <v>50000</v>
      </c>
      <c r="S46" s="152">
        <v>30000</v>
      </c>
      <c r="T46" s="152">
        <v>20000</v>
      </c>
      <c r="U46" s="152">
        <v>0</v>
      </c>
      <c r="V46"/>
    </row>
    <row r="47" spans="1:22" x14ac:dyDescent="0.2">
      <c r="A47" s="149">
        <v>46110</v>
      </c>
      <c r="B47" s="3">
        <f t="shared" si="1"/>
        <v>5</v>
      </c>
      <c r="C47" s="3" t="str">
        <f>+TEXT(Opex_VE[[#This Row],[Fecha]],"ddd")</f>
        <v>dom</v>
      </c>
      <c r="E47" s="14" t="s">
        <v>145</v>
      </c>
      <c r="F47" s="168">
        <f>IFERROR(VLOOKUP(Opex_VE[[#This Row],[Fecha]],Historia!A:B,2,0),_xlfn.XLOOKUP(Opex_VE[[#This Row],[dia]],Forecast!I:I,Forecast!J:J))</f>
        <v>168750</v>
      </c>
      <c r="G47" s="168">
        <f>IFERROR(VLOOKUP(Opex_VE[[#This Row],[Fecha]],Historia!A:C,3,0),_xlfn.XLOOKUP(Opex_VE[[#This Row],[dia]],Forecast!I:I,Forecast!K:K))</f>
        <v>67500</v>
      </c>
      <c r="H47" s="182">
        <f>+Opex_VE[[#This Row],[MG]]-Opex_VE[[#This Row],[Opex]]</f>
        <v>-60378.966666666674</v>
      </c>
      <c r="I47" s="168" t="str">
        <f>IFERROR(VLOOKUP(Opex_VE[[#This Row],[Fecha]],Historia!A:D,4,0),"Forecast")</f>
        <v>Forecast</v>
      </c>
      <c r="J47" s="157">
        <f t="shared" si="0"/>
        <v>319697.41666666669</v>
      </c>
      <c r="K47" s="151">
        <f>+Opex_VE[[#This Row],[Arriendo]]+Opex_VE[[#This Row],[Servicios publicos]]+Opex_VE[[#This Row],[Nomina]]</f>
        <v>127878.96666666667</v>
      </c>
      <c r="L47" s="152">
        <f>+VLOOKUP(Opex_VE[[#This Row],[Fecha]],Opex!$B:$Y,OPEX_SALES!L$1,1)</f>
        <v>55000</v>
      </c>
      <c r="M47" s="153">
        <f>+SUM(Opex_VE[[#This Row],[Internet]:[Electricidad]])</f>
        <v>22878.966666666667</v>
      </c>
      <c r="N47" s="152">
        <f>+VLOOKUP(Opex_VE[[#This Row],[Fecha]],Opex!$B:$Y,OPEX_SALES!N$1,1)</f>
        <v>0</v>
      </c>
      <c r="O47" s="152">
        <f>+VLOOKUP(Opex_VE[[#This Row],[Fecha]],Opex!$B:$Y,OPEX_SALES!O$1,1)</f>
        <v>8243.9666666666672</v>
      </c>
      <c r="P47" s="152">
        <f>+VLOOKUP(Opex_VE[[#This Row],[Fecha]],Opex!$B:$Y,OPEX_SALES!P$1,1)</f>
        <v>4000</v>
      </c>
      <c r="Q47" s="152">
        <f>+VLOOKUP(Opex_VE[[#This Row],[Fecha]],Opex!$B:$Y,OPEX_SALES!Q$1,1)</f>
        <v>10635</v>
      </c>
      <c r="R47" s="153">
        <f>+SUM(Opex_VE[[#This Row],[Cajero]:[Domiciliario]])</f>
        <v>50000</v>
      </c>
      <c r="S47" s="152">
        <v>30000</v>
      </c>
      <c r="T47" s="152">
        <v>20000</v>
      </c>
      <c r="U47" s="152">
        <v>0</v>
      </c>
      <c r="V47"/>
    </row>
    <row r="48" spans="1:22" x14ac:dyDescent="0.2">
      <c r="A48" s="149">
        <v>46111</v>
      </c>
      <c r="B48" s="3">
        <f t="shared" si="1"/>
        <v>6</v>
      </c>
      <c r="C48" s="3" t="str">
        <f>+TEXT(Opex_VE[[#This Row],[Fecha]],"ddd")</f>
        <v>lun</v>
      </c>
      <c r="E48" s="14" t="s">
        <v>112</v>
      </c>
      <c r="F48" s="168">
        <f>IFERROR(VLOOKUP(Opex_VE[[#This Row],[Fecha]],Historia!A:B,2,0),_xlfn.XLOOKUP(Opex_VE[[#This Row],[dia]],Forecast!I:I,Forecast!J:J))</f>
        <v>164375</v>
      </c>
      <c r="G48" s="168">
        <f>IFERROR(VLOOKUP(Opex_VE[[#This Row],[Fecha]],Historia!A:C,3,0),_xlfn.XLOOKUP(Opex_VE[[#This Row],[dia]],Forecast!I:I,Forecast!K:K))</f>
        <v>65750</v>
      </c>
      <c r="H48" s="182">
        <f>+Opex_VE[[#This Row],[MG]]-Opex_VE[[#This Row],[Opex]]</f>
        <v>-62128.966666666674</v>
      </c>
      <c r="I48" s="168" t="str">
        <f>IFERROR(VLOOKUP(Opex_VE[[#This Row],[Fecha]],Historia!A:D,4,0),"Forecast")</f>
        <v>Forecast</v>
      </c>
      <c r="J48" s="157">
        <f t="shared" si="0"/>
        <v>319697.41666666669</v>
      </c>
      <c r="K48" s="151">
        <f>+Opex_VE[[#This Row],[Arriendo]]+Opex_VE[[#This Row],[Servicios publicos]]+Opex_VE[[#This Row],[Nomina]]</f>
        <v>127878.96666666667</v>
      </c>
      <c r="L48" s="152">
        <f>+VLOOKUP(Opex_VE[[#This Row],[Fecha]],Opex!$B:$Y,OPEX_SALES!L$1,1)</f>
        <v>55000</v>
      </c>
      <c r="M48" s="153">
        <f>+SUM(Opex_VE[[#This Row],[Internet]:[Electricidad]])</f>
        <v>22878.966666666667</v>
      </c>
      <c r="N48" s="152">
        <f>+VLOOKUP(Opex_VE[[#This Row],[Fecha]],Opex!$B:$Y,OPEX_SALES!N$1,1)</f>
        <v>0</v>
      </c>
      <c r="O48" s="152">
        <f>+VLOOKUP(Opex_VE[[#This Row],[Fecha]],Opex!$B:$Y,OPEX_SALES!O$1,1)</f>
        <v>8243.9666666666672</v>
      </c>
      <c r="P48" s="152">
        <f>+VLOOKUP(Opex_VE[[#This Row],[Fecha]],Opex!$B:$Y,OPEX_SALES!P$1,1)</f>
        <v>4000</v>
      </c>
      <c r="Q48" s="152">
        <f>+VLOOKUP(Opex_VE[[#This Row],[Fecha]],Opex!$B:$Y,OPEX_SALES!Q$1,1)</f>
        <v>10635</v>
      </c>
      <c r="R48" s="153">
        <f>+SUM(Opex_VE[[#This Row],[Cajero]:[Domiciliario]])</f>
        <v>50000</v>
      </c>
      <c r="S48" s="152">
        <v>30000</v>
      </c>
      <c r="T48" s="152">
        <v>20000</v>
      </c>
      <c r="U48" s="152">
        <v>0</v>
      </c>
      <c r="V48"/>
    </row>
    <row r="49" spans="1:22" x14ac:dyDescent="0.2">
      <c r="A49" s="149">
        <v>46112</v>
      </c>
      <c r="B49" s="3">
        <f t="shared" si="1"/>
        <v>6</v>
      </c>
      <c r="C49" s="3" t="str">
        <f>+TEXT(Opex_VE[[#This Row],[Fecha]],"ddd")</f>
        <v>mar</v>
      </c>
      <c r="E49" s="14" t="s">
        <v>112</v>
      </c>
      <c r="F49" s="168">
        <f>IFERROR(VLOOKUP(Opex_VE[[#This Row],[Fecha]],Historia!A:B,2,0),_xlfn.XLOOKUP(Opex_VE[[#This Row],[dia]],Forecast!I:I,Forecast!J:J))</f>
        <v>199625</v>
      </c>
      <c r="G49" s="168">
        <f>IFERROR(VLOOKUP(Opex_VE[[#This Row],[Fecha]],Historia!A:C,3,0),_xlfn.XLOOKUP(Opex_VE[[#This Row],[dia]],Forecast!I:I,Forecast!K:K))</f>
        <v>79850</v>
      </c>
      <c r="H49" s="182">
        <f>+Opex_VE[[#This Row],[MG]]-Opex_VE[[#This Row],[Opex]]</f>
        <v>-48028.966666666674</v>
      </c>
      <c r="I49" s="168" t="str">
        <f>IFERROR(VLOOKUP(Opex_VE[[#This Row],[Fecha]],Historia!A:D,4,0),"Forecast")</f>
        <v>Forecast</v>
      </c>
      <c r="J49" s="157">
        <f t="shared" si="0"/>
        <v>319697.41666666669</v>
      </c>
      <c r="K49" s="151">
        <f>+Opex_VE[[#This Row],[Arriendo]]+Opex_VE[[#This Row],[Servicios publicos]]+Opex_VE[[#This Row],[Nomina]]</f>
        <v>127878.96666666667</v>
      </c>
      <c r="L49" s="152">
        <f>+VLOOKUP(Opex_VE[[#This Row],[Fecha]],Opex!$B:$Y,OPEX_SALES!L$1,1)</f>
        <v>55000</v>
      </c>
      <c r="M49" s="153">
        <f>+SUM(Opex_VE[[#This Row],[Internet]:[Electricidad]])</f>
        <v>22878.966666666667</v>
      </c>
      <c r="N49" s="152">
        <f>+VLOOKUP(Opex_VE[[#This Row],[Fecha]],Opex!$B:$Y,OPEX_SALES!N$1,1)</f>
        <v>0</v>
      </c>
      <c r="O49" s="152">
        <f>+VLOOKUP(Opex_VE[[#This Row],[Fecha]],Opex!$B:$Y,OPEX_SALES!O$1,1)</f>
        <v>8243.9666666666672</v>
      </c>
      <c r="P49" s="152">
        <f>+VLOOKUP(Opex_VE[[#This Row],[Fecha]],Opex!$B:$Y,OPEX_SALES!P$1,1)</f>
        <v>4000</v>
      </c>
      <c r="Q49" s="152">
        <f>+VLOOKUP(Opex_VE[[#This Row],[Fecha]],Opex!$B:$Y,OPEX_SALES!Q$1,1)</f>
        <v>10635</v>
      </c>
      <c r="R49" s="153">
        <f>+SUM(Opex_VE[[#This Row],[Cajero]:[Domiciliario]])</f>
        <v>50000</v>
      </c>
      <c r="S49" s="152">
        <v>30000</v>
      </c>
      <c r="T49" s="152">
        <v>20000</v>
      </c>
      <c r="U49" s="152">
        <v>0</v>
      </c>
      <c r="V49"/>
    </row>
    <row r="50" spans="1:22" x14ac:dyDescent="0.2">
      <c r="A50" s="149">
        <v>46113</v>
      </c>
      <c r="B50" s="3">
        <f t="shared" si="1"/>
        <v>6</v>
      </c>
      <c r="C50" s="3" t="str">
        <f>+TEXT(Opex_VE[[#This Row],[Fecha]],"ddd")</f>
        <v>mié</v>
      </c>
      <c r="E50" s="14" t="s">
        <v>112</v>
      </c>
      <c r="F50" s="168">
        <f>IFERROR(VLOOKUP(Opex_VE[[#This Row],[Fecha]],Historia!A:B,2,0),_xlfn.XLOOKUP(Opex_VE[[#This Row],[dia]],Forecast!I:I,Forecast!J:J))</f>
        <v>339250</v>
      </c>
      <c r="G50" s="168">
        <f>IFERROR(VLOOKUP(Opex_VE[[#This Row],[Fecha]],Historia!A:C,3,0),_xlfn.XLOOKUP(Opex_VE[[#This Row],[dia]],Forecast!I:I,Forecast!K:K))</f>
        <v>135700</v>
      </c>
      <c r="H50" s="182">
        <f>+Opex_VE[[#This Row],[MG]]-Opex_VE[[#This Row],[Opex]]</f>
        <v>7821.0333333333256</v>
      </c>
      <c r="I50" s="168" t="str">
        <f>IFERROR(VLOOKUP(Opex_VE[[#This Row],[Fecha]],Historia!A:D,4,0),"Forecast")</f>
        <v>Forecast</v>
      </c>
      <c r="J50" s="157">
        <f t="shared" si="0"/>
        <v>319697.41666666669</v>
      </c>
      <c r="K50" s="151">
        <f>+Opex_VE[[#This Row],[Arriendo]]+Opex_VE[[#This Row],[Servicios publicos]]+Opex_VE[[#This Row],[Nomina]]</f>
        <v>127878.96666666667</v>
      </c>
      <c r="L50" s="152">
        <f>+VLOOKUP(Opex_VE[[#This Row],[Fecha]],Opex!$B:$Y,OPEX_SALES!L$1,1)</f>
        <v>55000</v>
      </c>
      <c r="M50" s="153">
        <f>+SUM(Opex_VE[[#This Row],[Internet]:[Electricidad]])</f>
        <v>22878.966666666667</v>
      </c>
      <c r="N50" s="152">
        <f>+VLOOKUP(Opex_VE[[#This Row],[Fecha]],Opex!$B:$Y,OPEX_SALES!N$1,1)</f>
        <v>0</v>
      </c>
      <c r="O50" s="152">
        <f>+VLOOKUP(Opex_VE[[#This Row],[Fecha]],Opex!$B:$Y,OPEX_SALES!O$1,1)</f>
        <v>8243.9666666666672</v>
      </c>
      <c r="P50" s="152">
        <f>+VLOOKUP(Opex_VE[[#This Row],[Fecha]],Opex!$B:$Y,OPEX_SALES!P$1,1)</f>
        <v>4000</v>
      </c>
      <c r="Q50" s="152">
        <f>+VLOOKUP(Opex_VE[[#This Row],[Fecha]],Opex!$B:$Y,OPEX_SALES!Q$1,1)</f>
        <v>10635</v>
      </c>
      <c r="R50" s="153">
        <f>+SUM(Opex_VE[[#This Row],[Cajero]:[Domiciliario]])</f>
        <v>50000</v>
      </c>
      <c r="S50" s="152">
        <v>30000</v>
      </c>
      <c r="T50" s="152">
        <v>20000</v>
      </c>
      <c r="U50" s="152">
        <v>0</v>
      </c>
      <c r="V50"/>
    </row>
    <row r="51" spans="1:22" x14ac:dyDescent="0.2">
      <c r="A51" s="149">
        <v>46114</v>
      </c>
      <c r="B51" s="3">
        <f t="shared" si="1"/>
        <v>6</v>
      </c>
      <c r="C51" s="3" t="str">
        <f>+TEXT(Opex_VE[[#This Row],[Fecha]],"ddd")</f>
        <v>jue</v>
      </c>
      <c r="E51" s="14" t="s">
        <v>218</v>
      </c>
      <c r="F51" s="168">
        <f>IFERROR(VLOOKUP(Opex_VE[[#This Row],[Fecha]],Historia!A:B,2,0),_xlfn.XLOOKUP(Opex_VE[[#This Row],[dia]],Forecast!I:I,Forecast!J:J))</f>
        <v>274975</v>
      </c>
      <c r="G51" s="168">
        <f>IFERROR(VLOOKUP(Opex_VE[[#This Row],[Fecha]],Historia!A:C,3,0),_xlfn.XLOOKUP(Opex_VE[[#This Row],[dia]],Forecast!I:I,Forecast!K:K))</f>
        <v>109990</v>
      </c>
      <c r="H51" s="182">
        <f>+Opex_VE[[#This Row],[MG]]-Opex_VE[[#This Row],[Opex]]</f>
        <v>-17888.966666666674</v>
      </c>
      <c r="I51" s="168" t="str">
        <f>IFERROR(VLOOKUP(Opex_VE[[#This Row],[Fecha]],Historia!A:D,4,0),"Forecast")</f>
        <v>Forecast</v>
      </c>
      <c r="J51" s="157">
        <f t="shared" si="0"/>
        <v>319697.41666666669</v>
      </c>
      <c r="K51" s="151">
        <f>+Opex_VE[[#This Row],[Arriendo]]+Opex_VE[[#This Row],[Servicios publicos]]+Opex_VE[[#This Row],[Nomina]]</f>
        <v>127878.96666666667</v>
      </c>
      <c r="L51" s="152">
        <f>+VLOOKUP(Opex_VE[[#This Row],[Fecha]],Opex!$B:$Y,OPEX_SALES!L$1,1)</f>
        <v>55000</v>
      </c>
      <c r="M51" s="153">
        <f>+SUM(Opex_VE[[#This Row],[Internet]:[Electricidad]])</f>
        <v>22878.966666666667</v>
      </c>
      <c r="N51" s="152">
        <f>+VLOOKUP(Opex_VE[[#This Row],[Fecha]],Opex!$B:$Y,OPEX_SALES!N$1,1)</f>
        <v>0</v>
      </c>
      <c r="O51" s="152">
        <f>+VLOOKUP(Opex_VE[[#This Row],[Fecha]],Opex!$B:$Y,OPEX_SALES!O$1,1)</f>
        <v>8243.9666666666672</v>
      </c>
      <c r="P51" s="152">
        <f>+VLOOKUP(Opex_VE[[#This Row],[Fecha]],Opex!$B:$Y,OPEX_SALES!P$1,1)</f>
        <v>4000</v>
      </c>
      <c r="Q51" s="152">
        <f>+VLOOKUP(Opex_VE[[#This Row],[Fecha]],Opex!$B:$Y,OPEX_SALES!Q$1,1)</f>
        <v>10635</v>
      </c>
      <c r="R51" s="153">
        <f>+SUM(Opex_VE[[#This Row],[Cajero]:[Domiciliario]])</f>
        <v>50000</v>
      </c>
      <c r="S51" s="152">
        <v>30000</v>
      </c>
      <c r="T51" s="152">
        <v>20000</v>
      </c>
      <c r="U51" s="152">
        <v>0</v>
      </c>
      <c r="V51"/>
    </row>
    <row r="52" spans="1:22" x14ac:dyDescent="0.2">
      <c r="A52" s="149">
        <v>46115</v>
      </c>
      <c r="B52" s="3">
        <f t="shared" si="1"/>
        <v>6</v>
      </c>
      <c r="C52" s="3" t="str">
        <f>+TEXT(Opex_VE[[#This Row],[Fecha]],"ddd")</f>
        <v>vie</v>
      </c>
      <c r="E52" s="14" t="s">
        <v>218</v>
      </c>
      <c r="F52" s="168">
        <f>IFERROR(VLOOKUP(Opex_VE[[#This Row],[Fecha]],Historia!A:B,2,0),_xlfn.XLOOKUP(Opex_VE[[#This Row],[dia]],Forecast!I:I,Forecast!J:J))</f>
        <v>184566.66666666666</v>
      </c>
      <c r="G52" s="168">
        <f>IFERROR(VLOOKUP(Opex_VE[[#This Row],[Fecha]],Historia!A:C,3,0),_xlfn.XLOOKUP(Opex_VE[[#This Row],[dia]],Forecast!I:I,Forecast!K:K))</f>
        <v>73826.666666666672</v>
      </c>
      <c r="H52" s="182">
        <f>+Opex_VE[[#This Row],[MG]]-Opex_VE[[#This Row],[Opex]]</f>
        <v>-54052.3</v>
      </c>
      <c r="I52" s="168" t="str">
        <f>IFERROR(VLOOKUP(Opex_VE[[#This Row],[Fecha]],Historia!A:D,4,0),"Forecast")</f>
        <v>Forecast</v>
      </c>
      <c r="J52" s="157">
        <f t="shared" si="0"/>
        <v>319697.41666666669</v>
      </c>
      <c r="K52" s="151">
        <f>+Opex_VE[[#This Row],[Arriendo]]+Opex_VE[[#This Row],[Servicios publicos]]+Opex_VE[[#This Row],[Nomina]]</f>
        <v>127878.96666666667</v>
      </c>
      <c r="L52" s="152">
        <f>+VLOOKUP(Opex_VE[[#This Row],[Fecha]],Opex!$B:$Y,OPEX_SALES!L$1,1)</f>
        <v>55000</v>
      </c>
      <c r="M52" s="153">
        <f>+SUM(Opex_VE[[#This Row],[Internet]:[Electricidad]])</f>
        <v>22878.966666666667</v>
      </c>
      <c r="N52" s="152">
        <f>+VLOOKUP(Opex_VE[[#This Row],[Fecha]],Opex!$B:$Y,OPEX_SALES!N$1,1)</f>
        <v>0</v>
      </c>
      <c r="O52" s="152">
        <f>+VLOOKUP(Opex_VE[[#This Row],[Fecha]],Opex!$B:$Y,OPEX_SALES!O$1,1)</f>
        <v>8243.9666666666672</v>
      </c>
      <c r="P52" s="152">
        <f>+VLOOKUP(Opex_VE[[#This Row],[Fecha]],Opex!$B:$Y,OPEX_SALES!P$1,1)</f>
        <v>4000</v>
      </c>
      <c r="Q52" s="152">
        <f>+VLOOKUP(Opex_VE[[#This Row],[Fecha]],Opex!$B:$Y,OPEX_SALES!Q$1,1)</f>
        <v>10635</v>
      </c>
      <c r="R52" s="153">
        <f>+SUM(Opex_VE[[#This Row],[Cajero]:[Domiciliario]])</f>
        <v>50000</v>
      </c>
      <c r="S52" s="152">
        <v>30000</v>
      </c>
      <c r="T52" s="152">
        <v>20000</v>
      </c>
      <c r="U52" s="152">
        <v>0</v>
      </c>
      <c r="V52"/>
    </row>
    <row r="53" spans="1:22" x14ac:dyDescent="0.2">
      <c r="A53" s="149">
        <v>46116</v>
      </c>
      <c r="B53" s="3">
        <f t="shared" si="1"/>
        <v>6</v>
      </c>
      <c r="C53" s="3" t="str">
        <f>+TEXT(Opex_VE[[#This Row],[Fecha]],"ddd")</f>
        <v>sáb</v>
      </c>
      <c r="E53" s="14" t="s">
        <v>113</v>
      </c>
      <c r="F53" s="168">
        <f>IFERROR(VLOOKUP(Opex_VE[[#This Row],[Fecha]],Historia!A:B,2,0),_xlfn.XLOOKUP(Opex_VE[[#This Row],[dia]],Forecast!I:I,Forecast!J:J))</f>
        <v>398333.33333333331</v>
      </c>
      <c r="G53" s="168">
        <f>IFERROR(VLOOKUP(Opex_VE[[#This Row],[Fecha]],Historia!A:C,3,0),_xlfn.XLOOKUP(Opex_VE[[#This Row],[dia]],Forecast!I:I,Forecast!K:K))</f>
        <v>159333.33333333334</v>
      </c>
      <c r="H53" s="182">
        <f>+Opex_VE[[#This Row],[MG]]-Opex_VE[[#This Row],[Opex]]</f>
        <v>31454.366666666669</v>
      </c>
      <c r="I53" s="169" t="str">
        <f>IFERROR(VLOOKUP(Opex_VE[[#This Row],[Fecha]],Historia!A:D,4,0),"Forecast")</f>
        <v>Forecast</v>
      </c>
      <c r="J53" s="157">
        <f t="shared" si="0"/>
        <v>319697.41666666669</v>
      </c>
      <c r="K53" s="151">
        <f>+Opex_VE[[#This Row],[Arriendo]]+Opex_VE[[#This Row],[Servicios publicos]]+Opex_VE[[#This Row],[Nomina]]</f>
        <v>127878.96666666667</v>
      </c>
      <c r="L53" s="152">
        <f>+VLOOKUP(Opex_VE[[#This Row],[Fecha]],Opex!$B:$Y,OPEX_SALES!L$1,1)</f>
        <v>55000</v>
      </c>
      <c r="M53" s="153">
        <f>+SUM(Opex_VE[[#This Row],[Internet]:[Electricidad]])</f>
        <v>22878.966666666667</v>
      </c>
      <c r="N53" s="152">
        <f>+VLOOKUP(Opex_VE[[#This Row],[Fecha]],Opex!$B:$Y,OPEX_SALES!N$1,1)</f>
        <v>0</v>
      </c>
      <c r="O53" s="152">
        <f>+VLOOKUP(Opex_VE[[#This Row],[Fecha]],Opex!$B:$Y,OPEX_SALES!O$1,1)</f>
        <v>8243.9666666666672</v>
      </c>
      <c r="P53" s="152">
        <f>+VLOOKUP(Opex_VE[[#This Row],[Fecha]],Opex!$B:$Y,OPEX_SALES!P$1,1)</f>
        <v>4000</v>
      </c>
      <c r="Q53" s="152">
        <f>+VLOOKUP(Opex_VE[[#This Row],[Fecha]],Opex!$B:$Y,OPEX_SALES!Q$1,1)</f>
        <v>10635</v>
      </c>
      <c r="R53" s="153">
        <f>+SUM(Opex_VE[[#This Row],[Cajero]:[Domiciliario]])</f>
        <v>50000</v>
      </c>
      <c r="S53" s="152">
        <v>30000</v>
      </c>
      <c r="T53" s="152">
        <v>20000</v>
      </c>
      <c r="U53" s="152">
        <v>0</v>
      </c>
      <c r="V53"/>
    </row>
    <row r="54" spans="1:22" x14ac:dyDescent="0.2">
      <c r="A54" s="149">
        <v>46117</v>
      </c>
      <c r="B54" s="3">
        <f t="shared" si="1"/>
        <v>6</v>
      </c>
      <c r="C54" s="3" t="str">
        <f>+TEXT(Opex_VE[[#This Row],[Fecha]],"ddd")</f>
        <v>dom</v>
      </c>
      <c r="E54" s="14" t="s">
        <v>145</v>
      </c>
      <c r="F54" s="168">
        <f>IFERROR(VLOOKUP(Opex_VE[[#This Row],[Fecha]],Historia!A:B,2,0),_xlfn.XLOOKUP(Opex_VE[[#This Row],[dia]],Forecast!I:I,Forecast!J:J))</f>
        <v>168750</v>
      </c>
      <c r="G54" s="168">
        <f>IFERROR(VLOOKUP(Opex_VE[[#This Row],[Fecha]],Historia!A:C,3,0),_xlfn.XLOOKUP(Opex_VE[[#This Row],[dia]],Forecast!I:I,Forecast!K:K))</f>
        <v>67500</v>
      </c>
      <c r="H54" s="182">
        <f>+Opex_VE[[#This Row],[MG]]-Opex_VE[[#This Row],[Opex]]</f>
        <v>-60378.966666666674</v>
      </c>
      <c r="I54" s="168" t="str">
        <f>IFERROR(VLOOKUP(Opex_VE[[#This Row],[Fecha]],Historia!A:D,4,0),"Forecast")</f>
        <v>Forecast</v>
      </c>
      <c r="J54" s="157">
        <f t="shared" si="0"/>
        <v>319697.41666666669</v>
      </c>
      <c r="K54" s="151">
        <f>+Opex_VE[[#This Row],[Arriendo]]+Opex_VE[[#This Row],[Servicios publicos]]+Opex_VE[[#This Row],[Nomina]]</f>
        <v>127878.96666666667</v>
      </c>
      <c r="L54" s="152">
        <f>+VLOOKUP(Opex_VE[[#This Row],[Fecha]],Opex!$B:$Y,OPEX_SALES!L$1,1)</f>
        <v>55000</v>
      </c>
      <c r="M54" s="153">
        <f>+SUM(Opex_VE[[#This Row],[Internet]:[Electricidad]])</f>
        <v>22878.966666666667</v>
      </c>
      <c r="N54" s="152">
        <f>+VLOOKUP(Opex_VE[[#This Row],[Fecha]],Opex!$B:$Y,OPEX_SALES!N$1,1)</f>
        <v>0</v>
      </c>
      <c r="O54" s="152">
        <f>+VLOOKUP(Opex_VE[[#This Row],[Fecha]],Opex!$B:$Y,OPEX_SALES!O$1,1)</f>
        <v>8243.9666666666672</v>
      </c>
      <c r="P54" s="152">
        <f>+VLOOKUP(Opex_VE[[#This Row],[Fecha]],Opex!$B:$Y,OPEX_SALES!P$1,1)</f>
        <v>4000</v>
      </c>
      <c r="Q54" s="152">
        <f>+VLOOKUP(Opex_VE[[#This Row],[Fecha]],Opex!$B:$Y,OPEX_SALES!Q$1,1)</f>
        <v>10635</v>
      </c>
      <c r="R54" s="153">
        <f>+SUM(Opex_VE[[#This Row],[Cajero]:[Domiciliario]])</f>
        <v>50000</v>
      </c>
      <c r="S54" s="152">
        <v>30000</v>
      </c>
      <c r="T54" s="152">
        <v>20000</v>
      </c>
      <c r="U54" s="152">
        <v>0</v>
      </c>
      <c r="V54"/>
    </row>
    <row r="55" spans="1:22" x14ac:dyDescent="0.2">
      <c r="A55" s="149">
        <v>46118</v>
      </c>
      <c r="B55" s="3">
        <f t="shared" si="1"/>
        <v>7</v>
      </c>
      <c r="C55" s="3" t="str">
        <f>+TEXT(Opex_VE[[#This Row],[Fecha]],"ddd")</f>
        <v>lun</v>
      </c>
      <c r="E55" s="14" t="s">
        <v>112</v>
      </c>
      <c r="F55" s="168">
        <f>IFERROR(VLOOKUP(Opex_VE[[#This Row],[Fecha]],Historia!A:B,2,0),_xlfn.XLOOKUP(Opex_VE[[#This Row],[dia]],Forecast!I:I,Forecast!J:J))</f>
        <v>164375</v>
      </c>
      <c r="G55" s="168">
        <f>IFERROR(VLOOKUP(Opex_VE[[#This Row],[Fecha]],Historia!A:C,3,0),_xlfn.XLOOKUP(Opex_VE[[#This Row],[dia]],Forecast!I:I,Forecast!K:K))</f>
        <v>65750</v>
      </c>
      <c r="H55" s="182">
        <f>+Opex_VE[[#This Row],[MG]]-Opex_VE[[#This Row],[Opex]]</f>
        <v>-62128.966666666674</v>
      </c>
      <c r="I55" s="168" t="str">
        <f>IFERROR(VLOOKUP(Opex_VE[[#This Row],[Fecha]],Historia!A:D,4,0),"Forecast")</f>
        <v>Forecast</v>
      </c>
      <c r="J55" s="157">
        <f t="shared" si="0"/>
        <v>319697.41666666669</v>
      </c>
      <c r="K55" s="151">
        <f>+Opex_VE[[#This Row],[Arriendo]]+Opex_VE[[#This Row],[Servicios publicos]]+Opex_VE[[#This Row],[Nomina]]</f>
        <v>127878.96666666667</v>
      </c>
      <c r="L55" s="152">
        <f>+VLOOKUP(Opex_VE[[#This Row],[Fecha]],Opex!$B:$Y,OPEX_SALES!L$1,1)</f>
        <v>55000</v>
      </c>
      <c r="M55" s="153">
        <f>+SUM(Opex_VE[[#This Row],[Internet]:[Electricidad]])</f>
        <v>22878.966666666667</v>
      </c>
      <c r="N55" s="152">
        <f>+VLOOKUP(Opex_VE[[#This Row],[Fecha]],Opex!$B:$Y,OPEX_SALES!N$1,1)</f>
        <v>0</v>
      </c>
      <c r="O55" s="152">
        <f>+VLOOKUP(Opex_VE[[#This Row],[Fecha]],Opex!$B:$Y,OPEX_SALES!O$1,1)</f>
        <v>8243.9666666666672</v>
      </c>
      <c r="P55" s="152">
        <f>+VLOOKUP(Opex_VE[[#This Row],[Fecha]],Opex!$B:$Y,OPEX_SALES!P$1,1)</f>
        <v>4000</v>
      </c>
      <c r="Q55" s="152">
        <f>+VLOOKUP(Opex_VE[[#This Row],[Fecha]],Opex!$B:$Y,OPEX_SALES!Q$1,1)</f>
        <v>10635</v>
      </c>
      <c r="R55" s="153">
        <f>+SUM(Opex_VE[[#This Row],[Cajero]:[Domiciliario]])</f>
        <v>50000</v>
      </c>
      <c r="S55" s="152">
        <v>30000</v>
      </c>
      <c r="T55" s="152">
        <v>20000</v>
      </c>
      <c r="U55" s="152">
        <v>0</v>
      </c>
      <c r="V55"/>
    </row>
    <row r="56" spans="1:22" x14ac:dyDescent="0.2">
      <c r="A56" s="149">
        <v>46119</v>
      </c>
      <c r="B56" s="3">
        <f t="shared" si="1"/>
        <v>7</v>
      </c>
      <c r="C56" s="3" t="str">
        <f>+TEXT(Opex_VE[[#This Row],[Fecha]],"ddd")</f>
        <v>mar</v>
      </c>
      <c r="E56" s="14" t="s">
        <v>112</v>
      </c>
      <c r="F56" s="168">
        <f>IFERROR(VLOOKUP(Opex_VE[[#This Row],[Fecha]],Historia!A:B,2,0),_xlfn.XLOOKUP(Opex_VE[[#This Row],[dia]],Forecast!I:I,Forecast!J:J))</f>
        <v>199625</v>
      </c>
      <c r="G56" s="168">
        <f>IFERROR(VLOOKUP(Opex_VE[[#This Row],[Fecha]],Historia!A:C,3,0),_xlfn.XLOOKUP(Opex_VE[[#This Row],[dia]],Forecast!I:I,Forecast!K:K))</f>
        <v>79850</v>
      </c>
      <c r="H56" s="182">
        <f>+Opex_VE[[#This Row],[MG]]-Opex_VE[[#This Row],[Opex]]</f>
        <v>-48028.966666666674</v>
      </c>
      <c r="I56" s="168" t="str">
        <f>IFERROR(VLOOKUP(Opex_VE[[#This Row],[Fecha]],Historia!A:D,4,0),"Forecast")</f>
        <v>Forecast</v>
      </c>
      <c r="J56" s="157">
        <f t="shared" si="0"/>
        <v>319697.41666666669</v>
      </c>
      <c r="K56" s="151">
        <f>+Opex_VE[[#This Row],[Arriendo]]+Opex_VE[[#This Row],[Servicios publicos]]+Opex_VE[[#This Row],[Nomina]]</f>
        <v>127878.96666666667</v>
      </c>
      <c r="L56" s="152">
        <f>+VLOOKUP(Opex_VE[[#This Row],[Fecha]],Opex!$B:$Y,OPEX_SALES!L$1,1)</f>
        <v>55000</v>
      </c>
      <c r="M56" s="153">
        <f>+SUM(Opex_VE[[#This Row],[Internet]:[Electricidad]])</f>
        <v>22878.966666666667</v>
      </c>
      <c r="N56" s="152">
        <f>+VLOOKUP(Opex_VE[[#This Row],[Fecha]],Opex!$B:$Y,OPEX_SALES!N$1,1)</f>
        <v>0</v>
      </c>
      <c r="O56" s="152">
        <f>+VLOOKUP(Opex_VE[[#This Row],[Fecha]],Opex!$B:$Y,OPEX_SALES!O$1,1)</f>
        <v>8243.9666666666672</v>
      </c>
      <c r="P56" s="152">
        <f>+VLOOKUP(Opex_VE[[#This Row],[Fecha]],Opex!$B:$Y,OPEX_SALES!P$1,1)</f>
        <v>4000</v>
      </c>
      <c r="Q56" s="152">
        <f>+VLOOKUP(Opex_VE[[#This Row],[Fecha]],Opex!$B:$Y,OPEX_SALES!Q$1,1)</f>
        <v>10635</v>
      </c>
      <c r="R56" s="153">
        <f>+SUM(Opex_VE[[#This Row],[Cajero]:[Domiciliario]])</f>
        <v>50000</v>
      </c>
      <c r="S56" s="152">
        <v>30000</v>
      </c>
      <c r="T56" s="152">
        <v>20000</v>
      </c>
      <c r="U56" s="152">
        <v>0</v>
      </c>
      <c r="V56"/>
    </row>
    <row r="57" spans="1:22" x14ac:dyDescent="0.2">
      <c r="A57" s="149">
        <v>46120</v>
      </c>
      <c r="B57" s="3">
        <f t="shared" si="1"/>
        <v>7</v>
      </c>
      <c r="C57" s="3" t="str">
        <f>+TEXT(Opex_VE[[#This Row],[Fecha]],"ddd")</f>
        <v>mié</v>
      </c>
      <c r="E57" s="14" t="s">
        <v>112</v>
      </c>
      <c r="F57" s="168">
        <f>IFERROR(VLOOKUP(Opex_VE[[#This Row],[Fecha]],Historia!A:B,2,0),_xlfn.XLOOKUP(Opex_VE[[#This Row],[dia]],Forecast!I:I,Forecast!J:J))</f>
        <v>339250</v>
      </c>
      <c r="G57" s="168">
        <f>IFERROR(VLOOKUP(Opex_VE[[#This Row],[Fecha]],Historia!A:C,3,0),_xlfn.XLOOKUP(Opex_VE[[#This Row],[dia]],Forecast!I:I,Forecast!K:K))</f>
        <v>135700</v>
      </c>
      <c r="H57" s="182">
        <f>+Opex_VE[[#This Row],[MG]]-Opex_VE[[#This Row],[Opex]]</f>
        <v>7821.0333333333256</v>
      </c>
      <c r="I57" s="168" t="str">
        <f>IFERROR(VLOOKUP(Opex_VE[[#This Row],[Fecha]],Historia!A:D,4,0),"Forecast")</f>
        <v>Forecast</v>
      </c>
      <c r="J57" s="157">
        <f t="shared" si="0"/>
        <v>319697.41666666669</v>
      </c>
      <c r="K57" s="151">
        <f>+Opex_VE[[#This Row],[Arriendo]]+Opex_VE[[#This Row],[Servicios publicos]]+Opex_VE[[#This Row],[Nomina]]</f>
        <v>127878.96666666667</v>
      </c>
      <c r="L57" s="152">
        <f>+VLOOKUP(Opex_VE[[#This Row],[Fecha]],Opex!$B:$Y,OPEX_SALES!L$1,1)</f>
        <v>55000</v>
      </c>
      <c r="M57" s="153">
        <f>+SUM(Opex_VE[[#This Row],[Internet]:[Electricidad]])</f>
        <v>22878.966666666667</v>
      </c>
      <c r="N57" s="152">
        <f>+VLOOKUP(Opex_VE[[#This Row],[Fecha]],Opex!$B:$Y,OPEX_SALES!N$1,1)</f>
        <v>0</v>
      </c>
      <c r="O57" s="152">
        <f>+VLOOKUP(Opex_VE[[#This Row],[Fecha]],Opex!$B:$Y,OPEX_SALES!O$1,1)</f>
        <v>8243.9666666666672</v>
      </c>
      <c r="P57" s="152">
        <f>+VLOOKUP(Opex_VE[[#This Row],[Fecha]],Opex!$B:$Y,OPEX_SALES!P$1,1)</f>
        <v>4000</v>
      </c>
      <c r="Q57" s="152">
        <f>+VLOOKUP(Opex_VE[[#This Row],[Fecha]],Opex!$B:$Y,OPEX_SALES!Q$1,1)</f>
        <v>10635</v>
      </c>
      <c r="R57" s="153">
        <f>+SUM(Opex_VE[[#This Row],[Cajero]:[Domiciliario]])</f>
        <v>50000</v>
      </c>
      <c r="S57" s="152">
        <v>30000</v>
      </c>
      <c r="T57" s="152">
        <v>20000</v>
      </c>
      <c r="U57" s="152">
        <v>0</v>
      </c>
      <c r="V57"/>
    </row>
    <row r="58" spans="1:22" x14ac:dyDescent="0.2">
      <c r="A58" s="149">
        <v>46121</v>
      </c>
      <c r="B58" s="3">
        <f t="shared" si="1"/>
        <v>7</v>
      </c>
      <c r="C58" s="3" t="str">
        <f>+TEXT(Opex_VE[[#This Row],[Fecha]],"ddd")</f>
        <v>jue</v>
      </c>
      <c r="E58" s="14" t="s">
        <v>112</v>
      </c>
      <c r="F58" s="168">
        <f>IFERROR(VLOOKUP(Opex_VE[[#This Row],[Fecha]],Historia!A:B,2,0),_xlfn.XLOOKUP(Opex_VE[[#This Row],[dia]],Forecast!I:I,Forecast!J:J))</f>
        <v>274975</v>
      </c>
      <c r="G58" s="168">
        <f>IFERROR(VLOOKUP(Opex_VE[[#This Row],[Fecha]],Historia!A:C,3,0),_xlfn.XLOOKUP(Opex_VE[[#This Row],[dia]],Forecast!I:I,Forecast!K:K))</f>
        <v>109990</v>
      </c>
      <c r="H58" s="182">
        <f>+Opex_VE[[#This Row],[MG]]-Opex_VE[[#This Row],[Opex]]</f>
        <v>-17888.966666666674</v>
      </c>
      <c r="I58" s="168" t="str">
        <f>IFERROR(VLOOKUP(Opex_VE[[#This Row],[Fecha]],Historia!A:D,4,0),"Forecast")</f>
        <v>Forecast</v>
      </c>
      <c r="J58" s="157">
        <f t="shared" si="0"/>
        <v>319697.41666666669</v>
      </c>
      <c r="K58" s="151">
        <f>+Opex_VE[[#This Row],[Arriendo]]+Opex_VE[[#This Row],[Servicios publicos]]+Opex_VE[[#This Row],[Nomina]]</f>
        <v>127878.96666666667</v>
      </c>
      <c r="L58" s="152">
        <f>+VLOOKUP(Opex_VE[[#This Row],[Fecha]],Opex!$B:$Y,OPEX_SALES!L$1,1)</f>
        <v>55000</v>
      </c>
      <c r="M58" s="153">
        <f>+SUM(Opex_VE[[#This Row],[Internet]:[Electricidad]])</f>
        <v>22878.966666666667</v>
      </c>
      <c r="N58" s="152">
        <f>+VLOOKUP(Opex_VE[[#This Row],[Fecha]],Opex!$B:$Y,OPEX_SALES!N$1,1)</f>
        <v>0</v>
      </c>
      <c r="O58" s="152">
        <f>+VLOOKUP(Opex_VE[[#This Row],[Fecha]],Opex!$B:$Y,OPEX_SALES!O$1,1)</f>
        <v>8243.9666666666672</v>
      </c>
      <c r="P58" s="152">
        <f>+VLOOKUP(Opex_VE[[#This Row],[Fecha]],Opex!$B:$Y,OPEX_SALES!P$1,1)</f>
        <v>4000</v>
      </c>
      <c r="Q58" s="152">
        <f>+VLOOKUP(Opex_VE[[#This Row],[Fecha]],Opex!$B:$Y,OPEX_SALES!Q$1,1)</f>
        <v>10635</v>
      </c>
      <c r="R58" s="153">
        <f>+SUM(Opex_VE[[#This Row],[Cajero]:[Domiciliario]])</f>
        <v>50000</v>
      </c>
      <c r="S58" s="152">
        <v>30000</v>
      </c>
      <c r="T58" s="152">
        <v>20000</v>
      </c>
      <c r="U58" s="152">
        <v>0</v>
      </c>
      <c r="V58"/>
    </row>
    <row r="59" spans="1:22" x14ac:dyDescent="0.2">
      <c r="A59" s="149">
        <v>46122</v>
      </c>
      <c r="B59" s="3">
        <f t="shared" si="1"/>
        <v>7</v>
      </c>
      <c r="C59" s="3" t="str">
        <f>+TEXT(Opex_VE[[#This Row],[Fecha]],"ddd")</f>
        <v>vie</v>
      </c>
      <c r="E59" s="14" t="s">
        <v>217</v>
      </c>
      <c r="F59" s="168">
        <f>IFERROR(VLOOKUP(Opex_VE[[#This Row],[Fecha]],Historia!A:B,2,0),_xlfn.XLOOKUP(Opex_VE[[#This Row],[dia]],Forecast!I:I,Forecast!J:J))</f>
        <v>184566.66666666666</v>
      </c>
      <c r="G59" s="168">
        <f>IFERROR(VLOOKUP(Opex_VE[[#This Row],[Fecha]],Historia!A:C,3,0),_xlfn.XLOOKUP(Opex_VE[[#This Row],[dia]],Forecast!I:I,Forecast!K:K))</f>
        <v>73826.666666666672</v>
      </c>
      <c r="H59" s="182">
        <f>+Opex_VE[[#This Row],[MG]]-Opex_VE[[#This Row],[Opex]]</f>
        <v>-54052.3</v>
      </c>
      <c r="I59" s="168" t="str">
        <f>IFERROR(VLOOKUP(Opex_VE[[#This Row],[Fecha]],Historia!A:D,4,0),"Forecast")</f>
        <v>Forecast</v>
      </c>
      <c r="J59" s="157">
        <f t="shared" si="0"/>
        <v>319697.41666666669</v>
      </c>
      <c r="K59" s="151">
        <f>+Opex_VE[[#This Row],[Arriendo]]+Opex_VE[[#This Row],[Servicios publicos]]+Opex_VE[[#This Row],[Nomina]]</f>
        <v>127878.96666666667</v>
      </c>
      <c r="L59" s="152">
        <f>+VLOOKUP(Opex_VE[[#This Row],[Fecha]],Opex!$B:$Y,OPEX_SALES!L$1,1)</f>
        <v>55000</v>
      </c>
      <c r="M59" s="153">
        <f>+SUM(Opex_VE[[#This Row],[Internet]:[Electricidad]])</f>
        <v>22878.966666666667</v>
      </c>
      <c r="N59" s="152">
        <f>+VLOOKUP(Opex_VE[[#This Row],[Fecha]],Opex!$B:$Y,OPEX_SALES!N$1,1)</f>
        <v>0</v>
      </c>
      <c r="O59" s="152">
        <f>+VLOOKUP(Opex_VE[[#This Row],[Fecha]],Opex!$B:$Y,OPEX_SALES!O$1,1)</f>
        <v>8243.9666666666672</v>
      </c>
      <c r="P59" s="152">
        <f>+VLOOKUP(Opex_VE[[#This Row],[Fecha]],Opex!$B:$Y,OPEX_SALES!P$1,1)</f>
        <v>4000</v>
      </c>
      <c r="Q59" s="152">
        <f>+VLOOKUP(Opex_VE[[#This Row],[Fecha]],Opex!$B:$Y,OPEX_SALES!Q$1,1)</f>
        <v>10635</v>
      </c>
      <c r="R59" s="153">
        <f>+SUM(Opex_VE[[#This Row],[Cajero]:[Domiciliario]])</f>
        <v>50000</v>
      </c>
      <c r="S59" s="152">
        <v>30000</v>
      </c>
      <c r="T59" s="152">
        <v>20000</v>
      </c>
      <c r="U59" s="152">
        <v>0</v>
      </c>
      <c r="V59"/>
    </row>
    <row r="60" spans="1:22" x14ac:dyDescent="0.2">
      <c r="A60" s="149">
        <v>46123</v>
      </c>
      <c r="B60" s="3">
        <f t="shared" si="1"/>
        <v>7</v>
      </c>
      <c r="C60" s="3" t="str">
        <f>+TEXT(Opex_VE[[#This Row],[Fecha]],"ddd")</f>
        <v>sáb</v>
      </c>
      <c r="E60" s="14" t="s">
        <v>113</v>
      </c>
      <c r="F60" s="168">
        <f>IFERROR(VLOOKUP(Opex_VE[[#This Row],[Fecha]],Historia!A:B,2,0),_xlfn.XLOOKUP(Opex_VE[[#This Row],[dia]],Forecast!I:I,Forecast!J:J))</f>
        <v>398333.33333333331</v>
      </c>
      <c r="G60" s="168">
        <f>IFERROR(VLOOKUP(Opex_VE[[#This Row],[Fecha]],Historia!A:C,3,0),_xlfn.XLOOKUP(Opex_VE[[#This Row],[dia]],Forecast!I:I,Forecast!K:K))</f>
        <v>159333.33333333334</v>
      </c>
      <c r="H60" s="182">
        <f>+Opex_VE[[#This Row],[MG]]-Opex_VE[[#This Row],[Opex]]</f>
        <v>31454.366666666669</v>
      </c>
      <c r="I60" s="169" t="str">
        <f>IFERROR(VLOOKUP(Opex_VE[[#This Row],[Fecha]],Historia!A:D,4,0),"Forecast")</f>
        <v>Forecast</v>
      </c>
      <c r="J60" s="157">
        <f t="shared" si="0"/>
        <v>319697.41666666669</v>
      </c>
      <c r="K60" s="151">
        <f>+Opex_VE[[#This Row],[Arriendo]]+Opex_VE[[#This Row],[Servicios publicos]]+Opex_VE[[#This Row],[Nomina]]</f>
        <v>127878.96666666667</v>
      </c>
      <c r="L60" s="152">
        <f>+VLOOKUP(Opex_VE[[#This Row],[Fecha]],Opex!$B:$Y,OPEX_SALES!L$1,1)</f>
        <v>55000</v>
      </c>
      <c r="M60" s="153">
        <f>+SUM(Opex_VE[[#This Row],[Internet]:[Electricidad]])</f>
        <v>22878.966666666667</v>
      </c>
      <c r="N60" s="152">
        <f>+VLOOKUP(Opex_VE[[#This Row],[Fecha]],Opex!$B:$Y,OPEX_SALES!N$1,1)</f>
        <v>0</v>
      </c>
      <c r="O60" s="152">
        <f>+VLOOKUP(Opex_VE[[#This Row],[Fecha]],Opex!$B:$Y,OPEX_SALES!O$1,1)</f>
        <v>8243.9666666666672</v>
      </c>
      <c r="P60" s="152">
        <f>+VLOOKUP(Opex_VE[[#This Row],[Fecha]],Opex!$B:$Y,OPEX_SALES!P$1,1)</f>
        <v>4000</v>
      </c>
      <c r="Q60" s="152">
        <f>+VLOOKUP(Opex_VE[[#This Row],[Fecha]],Opex!$B:$Y,OPEX_SALES!Q$1,1)</f>
        <v>10635</v>
      </c>
      <c r="R60" s="153">
        <f>+SUM(Opex_VE[[#This Row],[Cajero]:[Domiciliario]])</f>
        <v>50000</v>
      </c>
      <c r="S60" s="152">
        <v>30000</v>
      </c>
      <c r="T60" s="152">
        <v>20000</v>
      </c>
      <c r="U60" s="152">
        <v>0</v>
      </c>
      <c r="V60"/>
    </row>
    <row r="61" spans="1:22" x14ac:dyDescent="0.2">
      <c r="A61" s="149">
        <v>46124</v>
      </c>
      <c r="B61" s="3">
        <f t="shared" si="1"/>
        <v>7</v>
      </c>
      <c r="C61" s="3" t="str">
        <f>+TEXT(Opex_VE[[#This Row],[Fecha]],"ddd")</f>
        <v>dom</v>
      </c>
      <c r="E61" s="14" t="s">
        <v>145</v>
      </c>
      <c r="F61" s="168">
        <f>IFERROR(VLOOKUP(Opex_VE[[#This Row],[Fecha]],Historia!A:B,2,0),_xlfn.XLOOKUP(Opex_VE[[#This Row],[dia]],Forecast!I:I,Forecast!J:J))</f>
        <v>168750</v>
      </c>
      <c r="G61" s="168">
        <f>IFERROR(VLOOKUP(Opex_VE[[#This Row],[Fecha]],Historia!A:C,3,0),_xlfn.XLOOKUP(Opex_VE[[#This Row],[dia]],Forecast!I:I,Forecast!K:K))</f>
        <v>67500</v>
      </c>
      <c r="H61" s="182">
        <f>+Opex_VE[[#This Row],[MG]]-Opex_VE[[#This Row],[Opex]]</f>
        <v>-60378.966666666674</v>
      </c>
      <c r="I61" s="168" t="str">
        <f>IFERROR(VLOOKUP(Opex_VE[[#This Row],[Fecha]],Historia!A:D,4,0),"Forecast")</f>
        <v>Forecast</v>
      </c>
      <c r="J61" s="157">
        <f t="shared" si="0"/>
        <v>319697.41666666669</v>
      </c>
      <c r="K61" s="151">
        <f>+Opex_VE[[#This Row],[Arriendo]]+Opex_VE[[#This Row],[Servicios publicos]]+Opex_VE[[#This Row],[Nomina]]</f>
        <v>127878.96666666667</v>
      </c>
      <c r="L61" s="152">
        <f>+VLOOKUP(Opex_VE[[#This Row],[Fecha]],Opex!$B:$Y,OPEX_SALES!L$1,1)</f>
        <v>55000</v>
      </c>
      <c r="M61" s="153">
        <f>+SUM(Opex_VE[[#This Row],[Internet]:[Electricidad]])</f>
        <v>22878.966666666667</v>
      </c>
      <c r="N61" s="152">
        <f>+VLOOKUP(Opex_VE[[#This Row],[Fecha]],Opex!$B:$Y,OPEX_SALES!N$1,1)</f>
        <v>0</v>
      </c>
      <c r="O61" s="152">
        <f>+VLOOKUP(Opex_VE[[#This Row],[Fecha]],Opex!$B:$Y,OPEX_SALES!O$1,1)</f>
        <v>8243.9666666666672</v>
      </c>
      <c r="P61" s="152">
        <f>+VLOOKUP(Opex_VE[[#This Row],[Fecha]],Opex!$B:$Y,OPEX_SALES!P$1,1)</f>
        <v>4000</v>
      </c>
      <c r="Q61" s="152">
        <f>+VLOOKUP(Opex_VE[[#This Row],[Fecha]],Opex!$B:$Y,OPEX_SALES!Q$1,1)</f>
        <v>10635</v>
      </c>
      <c r="R61" s="153">
        <f>+SUM(Opex_VE[[#This Row],[Cajero]:[Domiciliario]])</f>
        <v>50000</v>
      </c>
      <c r="S61" s="152">
        <v>30000</v>
      </c>
      <c r="T61" s="152">
        <v>20000</v>
      </c>
      <c r="U61" s="152">
        <v>0</v>
      </c>
      <c r="V61"/>
    </row>
    <row r="62" spans="1:22" x14ac:dyDescent="0.2">
      <c r="A62" s="149">
        <v>46125</v>
      </c>
      <c r="B62" s="3">
        <f t="shared" si="1"/>
        <v>8</v>
      </c>
      <c r="C62" s="3" t="str">
        <f>+TEXT(Opex_VE[[#This Row],[Fecha]],"ddd")</f>
        <v>lun</v>
      </c>
      <c r="E62" s="14" t="s">
        <v>112</v>
      </c>
      <c r="F62" s="168">
        <f>IFERROR(VLOOKUP(Opex_VE[[#This Row],[Fecha]],Historia!A:B,2,0),_xlfn.XLOOKUP(Opex_VE[[#This Row],[dia]],Forecast!I:I,Forecast!J:J))</f>
        <v>164375</v>
      </c>
      <c r="G62" s="168">
        <f>IFERROR(VLOOKUP(Opex_VE[[#This Row],[Fecha]],Historia!A:C,3,0),_xlfn.XLOOKUP(Opex_VE[[#This Row],[dia]],Forecast!I:I,Forecast!K:K))</f>
        <v>65750</v>
      </c>
      <c r="H62" s="182">
        <f>+Opex_VE[[#This Row],[MG]]-Opex_VE[[#This Row],[Opex]]</f>
        <v>-62128.966666666674</v>
      </c>
      <c r="I62" s="168" t="str">
        <f>IFERROR(VLOOKUP(Opex_VE[[#This Row],[Fecha]],Historia!A:D,4,0),"Forecast")</f>
        <v>Forecast</v>
      </c>
      <c r="J62" s="157">
        <f t="shared" si="0"/>
        <v>319697.41666666669</v>
      </c>
      <c r="K62" s="151">
        <f>+Opex_VE[[#This Row],[Arriendo]]+Opex_VE[[#This Row],[Servicios publicos]]+Opex_VE[[#This Row],[Nomina]]</f>
        <v>127878.96666666667</v>
      </c>
      <c r="L62" s="152">
        <f>+VLOOKUP(Opex_VE[[#This Row],[Fecha]],Opex!$B:$Y,OPEX_SALES!L$1,1)</f>
        <v>55000</v>
      </c>
      <c r="M62" s="153">
        <f>+SUM(Opex_VE[[#This Row],[Internet]:[Electricidad]])</f>
        <v>22878.966666666667</v>
      </c>
      <c r="N62" s="152">
        <f>+VLOOKUP(Opex_VE[[#This Row],[Fecha]],Opex!$B:$Y,OPEX_SALES!N$1,1)</f>
        <v>0</v>
      </c>
      <c r="O62" s="152">
        <f>+VLOOKUP(Opex_VE[[#This Row],[Fecha]],Opex!$B:$Y,OPEX_SALES!O$1,1)</f>
        <v>8243.9666666666672</v>
      </c>
      <c r="P62" s="152">
        <f>+VLOOKUP(Opex_VE[[#This Row],[Fecha]],Opex!$B:$Y,OPEX_SALES!P$1,1)</f>
        <v>4000</v>
      </c>
      <c r="Q62" s="152">
        <f>+VLOOKUP(Opex_VE[[#This Row],[Fecha]],Opex!$B:$Y,OPEX_SALES!Q$1,1)</f>
        <v>10635</v>
      </c>
      <c r="R62" s="153">
        <f>+SUM(Opex_VE[[#This Row],[Cajero]:[Domiciliario]])</f>
        <v>50000</v>
      </c>
      <c r="S62" s="152">
        <v>30000</v>
      </c>
      <c r="T62" s="152">
        <v>20000</v>
      </c>
      <c r="U62" s="152">
        <v>0</v>
      </c>
      <c r="V62"/>
    </row>
    <row r="63" spans="1:22" x14ac:dyDescent="0.2">
      <c r="A63" s="149">
        <v>46126</v>
      </c>
      <c r="B63" s="3">
        <f t="shared" si="1"/>
        <v>8</v>
      </c>
      <c r="C63" s="3" t="str">
        <f>+TEXT(Opex_VE[[#This Row],[Fecha]],"ddd")</f>
        <v>mar</v>
      </c>
      <c r="E63" s="14" t="s">
        <v>112</v>
      </c>
      <c r="F63" s="168">
        <f>IFERROR(VLOOKUP(Opex_VE[[#This Row],[Fecha]],Historia!A:B,2,0),_xlfn.XLOOKUP(Opex_VE[[#This Row],[dia]],Forecast!I:I,Forecast!J:J))</f>
        <v>199625</v>
      </c>
      <c r="G63" s="168">
        <f>IFERROR(VLOOKUP(Opex_VE[[#This Row],[Fecha]],Historia!A:C,3,0),_xlfn.XLOOKUP(Opex_VE[[#This Row],[dia]],Forecast!I:I,Forecast!K:K))</f>
        <v>79850</v>
      </c>
      <c r="H63" s="182">
        <f>+Opex_VE[[#This Row],[MG]]-Opex_VE[[#This Row],[Opex]]</f>
        <v>-48028.966666666674</v>
      </c>
      <c r="I63" s="168" t="str">
        <f>IFERROR(VLOOKUP(Opex_VE[[#This Row],[Fecha]],Historia!A:D,4,0),"Forecast")</f>
        <v>Forecast</v>
      </c>
      <c r="J63" s="157">
        <f t="shared" si="0"/>
        <v>319697.41666666669</v>
      </c>
      <c r="K63" s="151">
        <f>+Opex_VE[[#This Row],[Arriendo]]+Opex_VE[[#This Row],[Servicios publicos]]+Opex_VE[[#This Row],[Nomina]]</f>
        <v>127878.96666666667</v>
      </c>
      <c r="L63" s="152">
        <f>+VLOOKUP(Opex_VE[[#This Row],[Fecha]],Opex!$B:$Y,OPEX_SALES!L$1,1)</f>
        <v>55000</v>
      </c>
      <c r="M63" s="153">
        <f>+SUM(Opex_VE[[#This Row],[Internet]:[Electricidad]])</f>
        <v>22878.966666666667</v>
      </c>
      <c r="N63" s="152">
        <f>+VLOOKUP(Opex_VE[[#This Row],[Fecha]],Opex!$B:$Y,OPEX_SALES!N$1,1)</f>
        <v>0</v>
      </c>
      <c r="O63" s="152">
        <f>+VLOOKUP(Opex_VE[[#This Row],[Fecha]],Opex!$B:$Y,OPEX_SALES!O$1,1)</f>
        <v>8243.9666666666672</v>
      </c>
      <c r="P63" s="152">
        <f>+VLOOKUP(Opex_VE[[#This Row],[Fecha]],Opex!$B:$Y,OPEX_SALES!P$1,1)</f>
        <v>4000</v>
      </c>
      <c r="Q63" s="152">
        <f>+VLOOKUP(Opex_VE[[#This Row],[Fecha]],Opex!$B:$Y,OPEX_SALES!Q$1,1)</f>
        <v>10635</v>
      </c>
      <c r="R63" s="153">
        <f>+SUM(Opex_VE[[#This Row],[Cajero]:[Domiciliario]])</f>
        <v>50000</v>
      </c>
      <c r="S63" s="152">
        <v>30000</v>
      </c>
      <c r="T63" s="152">
        <v>20000</v>
      </c>
      <c r="U63" s="152">
        <v>0</v>
      </c>
      <c r="V63"/>
    </row>
    <row r="64" spans="1:22" x14ac:dyDescent="0.2">
      <c r="A64" s="149">
        <v>46127</v>
      </c>
      <c r="B64" s="3">
        <f t="shared" si="1"/>
        <v>8</v>
      </c>
      <c r="C64" s="3" t="str">
        <f>+TEXT(Opex_VE[[#This Row],[Fecha]],"ddd")</f>
        <v>mié</v>
      </c>
      <c r="E64" s="14" t="s">
        <v>112</v>
      </c>
      <c r="F64" s="168">
        <f>IFERROR(VLOOKUP(Opex_VE[[#This Row],[Fecha]],Historia!A:B,2,0),_xlfn.XLOOKUP(Opex_VE[[#This Row],[dia]],Forecast!I:I,Forecast!J:J))</f>
        <v>339250</v>
      </c>
      <c r="G64" s="168">
        <f>IFERROR(VLOOKUP(Opex_VE[[#This Row],[Fecha]],Historia!A:C,3,0),_xlfn.XLOOKUP(Opex_VE[[#This Row],[dia]],Forecast!I:I,Forecast!K:K))</f>
        <v>135700</v>
      </c>
      <c r="H64" s="182">
        <f>+Opex_VE[[#This Row],[MG]]-Opex_VE[[#This Row],[Opex]]</f>
        <v>-88485.137931034493</v>
      </c>
      <c r="I64" s="168" t="str">
        <f>IFERROR(VLOOKUP(Opex_VE[[#This Row],[Fecha]],Historia!A:D,4,0),"Forecast")</f>
        <v>Forecast</v>
      </c>
      <c r="J64" s="157">
        <f t="shared" si="0"/>
        <v>560462.8448275862</v>
      </c>
      <c r="K64" s="151">
        <f>+Opex_VE[[#This Row],[Arriendo]]+Opex_VE[[#This Row],[Servicios publicos]]+Opex_VE[[#This Row],[Nomina]]</f>
        <v>224185.13793103449</v>
      </c>
      <c r="L64" s="152">
        <f>+VLOOKUP(Opex_VE[[#This Row],[Fecha]],Opex!$B:$Y,OPEX_SALES!L$1,1)</f>
        <v>56896.551724137928</v>
      </c>
      <c r="M64" s="153">
        <f>+SUM(Opex_VE[[#This Row],[Internet]:[Electricidad]])</f>
        <v>27288.586206896551</v>
      </c>
      <c r="N64" s="152">
        <f>+VLOOKUP(Opex_VE[[#This Row],[Fecha]],Opex!$B:$Y,OPEX_SALES!N$1,1)</f>
        <v>3620.6896551724139</v>
      </c>
      <c r="O64" s="152">
        <f>+VLOOKUP(Opex_VE[[#This Row],[Fecha]],Opex!$B:$Y,OPEX_SALES!O$1,1)</f>
        <v>8528.2413793103442</v>
      </c>
      <c r="P64" s="152">
        <f>+VLOOKUP(Opex_VE[[#This Row],[Fecha]],Opex!$B:$Y,OPEX_SALES!P$1,1)</f>
        <v>4137.9310344827591</v>
      </c>
      <c r="Q64" s="152">
        <f>+VLOOKUP(Opex_VE[[#This Row],[Fecha]],Opex!$B:$Y,OPEX_SALES!Q$1,1)</f>
        <v>11001.724137931034</v>
      </c>
      <c r="R64" s="153">
        <f>+SUM(Opex_VE[[#This Row],[Cajero]:[Domiciliario]])</f>
        <v>140000</v>
      </c>
      <c r="S64" s="152">
        <v>70000</v>
      </c>
      <c r="T64" s="152">
        <v>70000</v>
      </c>
      <c r="U64" s="152">
        <v>0</v>
      </c>
      <c r="V64"/>
    </row>
    <row r="65" spans="1:22" x14ac:dyDescent="0.2">
      <c r="A65" s="149">
        <v>46128</v>
      </c>
      <c r="B65" s="3">
        <f t="shared" si="1"/>
        <v>8</v>
      </c>
      <c r="C65" s="3" t="str">
        <f>+TEXT(Opex_VE[[#This Row],[Fecha]],"ddd")</f>
        <v>jue</v>
      </c>
      <c r="E65" s="14" t="s">
        <v>112</v>
      </c>
      <c r="F65" s="168">
        <f>IFERROR(VLOOKUP(Opex_VE[[#This Row],[Fecha]],Historia!A:B,2,0),_xlfn.XLOOKUP(Opex_VE[[#This Row],[dia]],Forecast!I:I,Forecast!J:J))</f>
        <v>274975</v>
      </c>
      <c r="G65" s="168">
        <f>IFERROR(VLOOKUP(Opex_VE[[#This Row],[Fecha]],Historia!A:C,3,0),_xlfn.XLOOKUP(Opex_VE[[#This Row],[dia]],Forecast!I:I,Forecast!K:K))</f>
        <v>109990</v>
      </c>
      <c r="H65" s="182">
        <f>+Opex_VE[[#This Row],[MG]]-Opex_VE[[#This Row],[Opex]]</f>
        <v>-114195.13793103449</v>
      </c>
      <c r="I65" s="168" t="str">
        <f>IFERROR(VLOOKUP(Opex_VE[[#This Row],[Fecha]],Historia!A:D,4,0),"Forecast")</f>
        <v>Forecast</v>
      </c>
      <c r="J65" s="157">
        <f t="shared" si="0"/>
        <v>560462.8448275862</v>
      </c>
      <c r="K65" s="151">
        <f>+Opex_VE[[#This Row],[Arriendo]]+Opex_VE[[#This Row],[Servicios publicos]]+Opex_VE[[#This Row],[Nomina]]</f>
        <v>224185.13793103449</v>
      </c>
      <c r="L65" s="152">
        <f>+VLOOKUP(Opex_VE[[#This Row],[Fecha]],Opex!$B:$Y,OPEX_SALES!L$1,1)</f>
        <v>56896.551724137928</v>
      </c>
      <c r="M65" s="153">
        <f>+SUM(Opex_VE[[#This Row],[Internet]:[Electricidad]])</f>
        <v>27288.586206896551</v>
      </c>
      <c r="N65" s="152">
        <f>+VLOOKUP(Opex_VE[[#This Row],[Fecha]],Opex!$B:$Y,OPEX_SALES!N$1,1)</f>
        <v>3620.6896551724139</v>
      </c>
      <c r="O65" s="152">
        <f>+VLOOKUP(Opex_VE[[#This Row],[Fecha]],Opex!$B:$Y,OPEX_SALES!O$1,1)</f>
        <v>8528.2413793103442</v>
      </c>
      <c r="P65" s="152">
        <f>+VLOOKUP(Opex_VE[[#This Row],[Fecha]],Opex!$B:$Y,OPEX_SALES!P$1,1)</f>
        <v>4137.9310344827591</v>
      </c>
      <c r="Q65" s="152">
        <f>+VLOOKUP(Opex_VE[[#This Row],[Fecha]],Opex!$B:$Y,OPEX_SALES!Q$1,1)</f>
        <v>11001.724137931034</v>
      </c>
      <c r="R65" s="153">
        <f>+SUM(Opex_VE[[#This Row],[Cajero]:[Domiciliario]])</f>
        <v>140000</v>
      </c>
      <c r="S65" s="152">
        <v>70000</v>
      </c>
      <c r="T65" s="152">
        <v>70000</v>
      </c>
      <c r="U65" s="152">
        <v>0</v>
      </c>
      <c r="V65"/>
    </row>
    <row r="66" spans="1:22" x14ac:dyDescent="0.2">
      <c r="A66" s="149">
        <v>46129</v>
      </c>
      <c r="B66" s="3">
        <f t="shared" si="1"/>
        <v>8</v>
      </c>
      <c r="C66" s="3" t="str">
        <f>+TEXT(Opex_VE[[#This Row],[Fecha]],"ddd")</f>
        <v>vie</v>
      </c>
      <c r="E66" s="14" t="s">
        <v>217</v>
      </c>
      <c r="F66" s="168">
        <f>IFERROR(VLOOKUP(Opex_VE[[#This Row],[Fecha]],Historia!A:B,2,0),_xlfn.XLOOKUP(Opex_VE[[#This Row],[dia]],Forecast!I:I,Forecast!J:J))</f>
        <v>184566.66666666666</v>
      </c>
      <c r="G66" s="168">
        <f>IFERROR(VLOOKUP(Opex_VE[[#This Row],[Fecha]],Historia!A:C,3,0),_xlfn.XLOOKUP(Opex_VE[[#This Row],[dia]],Forecast!I:I,Forecast!K:K))</f>
        <v>73826.666666666672</v>
      </c>
      <c r="H66" s="182">
        <f>+Opex_VE[[#This Row],[MG]]-Opex_VE[[#This Row],[Opex]]</f>
        <v>-150358.47126436781</v>
      </c>
      <c r="I66" s="168" t="str">
        <f>IFERROR(VLOOKUP(Opex_VE[[#This Row],[Fecha]],Historia!A:D,4,0),"Forecast")</f>
        <v>Forecast</v>
      </c>
      <c r="J66" s="157">
        <f t="shared" si="0"/>
        <v>560462.8448275862</v>
      </c>
      <c r="K66" s="151">
        <f>+Opex_VE[[#This Row],[Arriendo]]+Opex_VE[[#This Row],[Servicios publicos]]+Opex_VE[[#This Row],[Nomina]]</f>
        <v>224185.13793103449</v>
      </c>
      <c r="L66" s="152">
        <f>+VLOOKUP(Opex_VE[[#This Row],[Fecha]],Opex!$B:$Y,OPEX_SALES!L$1,1)</f>
        <v>56896.551724137928</v>
      </c>
      <c r="M66" s="153">
        <f>+SUM(Opex_VE[[#This Row],[Internet]:[Electricidad]])</f>
        <v>27288.586206896551</v>
      </c>
      <c r="N66" s="152">
        <f>+VLOOKUP(Opex_VE[[#This Row],[Fecha]],Opex!$B:$Y,OPEX_SALES!N$1,1)</f>
        <v>3620.6896551724139</v>
      </c>
      <c r="O66" s="152">
        <f>+VLOOKUP(Opex_VE[[#This Row],[Fecha]],Opex!$B:$Y,OPEX_SALES!O$1,1)</f>
        <v>8528.2413793103442</v>
      </c>
      <c r="P66" s="152">
        <f>+VLOOKUP(Opex_VE[[#This Row],[Fecha]],Opex!$B:$Y,OPEX_SALES!P$1,1)</f>
        <v>4137.9310344827591</v>
      </c>
      <c r="Q66" s="152">
        <f>+VLOOKUP(Opex_VE[[#This Row],[Fecha]],Opex!$B:$Y,OPEX_SALES!Q$1,1)</f>
        <v>11001.724137931034</v>
      </c>
      <c r="R66" s="153">
        <f>+SUM(Opex_VE[[#This Row],[Cajero]:[Domiciliario]])</f>
        <v>140000</v>
      </c>
      <c r="S66" s="152">
        <v>70000</v>
      </c>
      <c r="T66" s="152">
        <v>70000</v>
      </c>
      <c r="U66" s="152">
        <v>0</v>
      </c>
      <c r="V66"/>
    </row>
    <row r="67" spans="1:22" x14ac:dyDescent="0.2">
      <c r="A67" s="149">
        <v>46130</v>
      </c>
      <c r="B67" s="3">
        <f t="shared" si="1"/>
        <v>8</v>
      </c>
      <c r="C67" s="3" t="str">
        <f>+TEXT(Opex_VE[[#This Row],[Fecha]],"ddd")</f>
        <v>sáb</v>
      </c>
      <c r="E67" s="14" t="s">
        <v>113</v>
      </c>
      <c r="F67" s="168">
        <f>IFERROR(VLOOKUP(Opex_VE[[#This Row],[Fecha]],Historia!A:B,2,0),_xlfn.XLOOKUP(Opex_VE[[#This Row],[dia]],Forecast!I:I,Forecast!J:J))</f>
        <v>398333.33333333331</v>
      </c>
      <c r="G67" s="168">
        <f>IFERROR(VLOOKUP(Opex_VE[[#This Row],[Fecha]],Historia!A:C,3,0),_xlfn.XLOOKUP(Opex_VE[[#This Row],[dia]],Forecast!I:I,Forecast!K:K))</f>
        <v>159333.33333333334</v>
      </c>
      <c r="H67" s="182">
        <f>+Opex_VE[[#This Row],[MG]]-Opex_VE[[#This Row],[Opex]]</f>
        <v>-64851.80459770115</v>
      </c>
      <c r="I67" s="169" t="str">
        <f>IFERROR(VLOOKUP(Opex_VE[[#This Row],[Fecha]],Historia!A:D,4,0),"Forecast")</f>
        <v>Forecast</v>
      </c>
      <c r="J67" s="157">
        <f t="shared" si="0"/>
        <v>560462.8448275862</v>
      </c>
      <c r="K67" s="151">
        <f>+Opex_VE[[#This Row],[Arriendo]]+Opex_VE[[#This Row],[Servicios publicos]]+Opex_VE[[#This Row],[Nomina]]</f>
        <v>224185.13793103449</v>
      </c>
      <c r="L67" s="152">
        <f>+VLOOKUP(Opex_VE[[#This Row],[Fecha]],Opex!$B:$Y,OPEX_SALES!L$1,1)</f>
        <v>56896.551724137928</v>
      </c>
      <c r="M67" s="153">
        <f>+SUM(Opex_VE[[#This Row],[Internet]:[Electricidad]])</f>
        <v>27288.586206896551</v>
      </c>
      <c r="N67" s="152">
        <f>+VLOOKUP(Opex_VE[[#This Row],[Fecha]],Opex!$B:$Y,OPEX_SALES!N$1,1)</f>
        <v>3620.6896551724139</v>
      </c>
      <c r="O67" s="152">
        <f>+VLOOKUP(Opex_VE[[#This Row],[Fecha]],Opex!$B:$Y,OPEX_SALES!O$1,1)</f>
        <v>8528.2413793103442</v>
      </c>
      <c r="P67" s="152">
        <f>+VLOOKUP(Opex_VE[[#This Row],[Fecha]],Opex!$B:$Y,OPEX_SALES!P$1,1)</f>
        <v>4137.9310344827591</v>
      </c>
      <c r="Q67" s="152">
        <f>+VLOOKUP(Opex_VE[[#This Row],[Fecha]],Opex!$B:$Y,OPEX_SALES!Q$1,1)</f>
        <v>11001.724137931034</v>
      </c>
      <c r="R67" s="153">
        <f>+SUM(Opex_VE[[#This Row],[Cajero]:[Domiciliario]])</f>
        <v>140000</v>
      </c>
      <c r="S67" s="152">
        <v>70000</v>
      </c>
      <c r="T67" s="152">
        <v>70000</v>
      </c>
      <c r="U67" s="152">
        <v>0</v>
      </c>
      <c r="V67"/>
    </row>
    <row r="68" spans="1:22" x14ac:dyDescent="0.2">
      <c r="A68" s="149">
        <v>46131</v>
      </c>
      <c r="B68" s="3">
        <f t="shared" si="1"/>
        <v>8</v>
      </c>
      <c r="C68" s="3" t="str">
        <f>+TEXT(Opex_VE[[#This Row],[Fecha]],"ddd")</f>
        <v>dom</v>
      </c>
      <c r="E68" s="14" t="s">
        <v>145</v>
      </c>
      <c r="F68" s="168">
        <f>IFERROR(VLOOKUP(Opex_VE[[#This Row],[Fecha]],Historia!A:B,2,0),_xlfn.XLOOKUP(Opex_VE[[#This Row],[dia]],Forecast!I:I,Forecast!J:J))</f>
        <v>168750</v>
      </c>
      <c r="G68" s="168">
        <f>IFERROR(VLOOKUP(Opex_VE[[#This Row],[Fecha]],Historia!A:C,3,0),_xlfn.XLOOKUP(Opex_VE[[#This Row],[dia]],Forecast!I:I,Forecast!K:K))</f>
        <v>67500</v>
      </c>
      <c r="H68" s="182">
        <f>+Opex_VE[[#This Row],[MG]]-Opex_VE[[#This Row],[Opex]]</f>
        <v>-156685.13793103449</v>
      </c>
      <c r="I68" s="168" t="str">
        <f>IFERROR(VLOOKUP(Opex_VE[[#This Row],[Fecha]],Historia!A:D,4,0),"Forecast")</f>
        <v>Forecast</v>
      </c>
      <c r="J68" s="157">
        <f t="shared" si="0"/>
        <v>560462.8448275862</v>
      </c>
      <c r="K68" s="151">
        <f>+Opex_VE[[#This Row],[Arriendo]]+Opex_VE[[#This Row],[Servicios publicos]]+Opex_VE[[#This Row],[Nomina]]</f>
        <v>224185.13793103449</v>
      </c>
      <c r="L68" s="152">
        <f>+VLOOKUP(Opex_VE[[#This Row],[Fecha]],Opex!$B:$Y,OPEX_SALES!L$1,1)</f>
        <v>56896.551724137928</v>
      </c>
      <c r="M68" s="153">
        <f>+SUM(Opex_VE[[#This Row],[Internet]:[Electricidad]])</f>
        <v>27288.586206896551</v>
      </c>
      <c r="N68" s="152">
        <f>+VLOOKUP(Opex_VE[[#This Row],[Fecha]],Opex!$B:$Y,OPEX_SALES!N$1,1)</f>
        <v>3620.6896551724139</v>
      </c>
      <c r="O68" s="152">
        <f>+VLOOKUP(Opex_VE[[#This Row],[Fecha]],Opex!$B:$Y,OPEX_SALES!O$1,1)</f>
        <v>8528.2413793103442</v>
      </c>
      <c r="P68" s="152">
        <f>+VLOOKUP(Opex_VE[[#This Row],[Fecha]],Opex!$B:$Y,OPEX_SALES!P$1,1)</f>
        <v>4137.9310344827591</v>
      </c>
      <c r="Q68" s="152">
        <f>+VLOOKUP(Opex_VE[[#This Row],[Fecha]],Opex!$B:$Y,OPEX_SALES!Q$1,1)</f>
        <v>11001.724137931034</v>
      </c>
      <c r="R68" s="153">
        <f>+SUM(Opex_VE[[#This Row],[Cajero]:[Domiciliario]])</f>
        <v>140000</v>
      </c>
      <c r="S68" s="152">
        <v>70000</v>
      </c>
      <c r="T68" s="152">
        <v>70000</v>
      </c>
      <c r="U68" s="152">
        <v>0</v>
      </c>
      <c r="V68"/>
    </row>
    <row r="69" spans="1:22" x14ac:dyDescent="0.2">
      <c r="A69" s="149">
        <v>46132</v>
      </c>
      <c r="B69" s="3">
        <f t="shared" si="1"/>
        <v>9</v>
      </c>
      <c r="C69" s="3" t="str">
        <f>+TEXT(Opex_VE[[#This Row],[Fecha]],"ddd")</f>
        <v>lun</v>
      </c>
      <c r="E69" s="14" t="s">
        <v>112</v>
      </c>
      <c r="F69" s="168">
        <f>IFERROR(VLOOKUP(Opex_VE[[#This Row],[Fecha]],Historia!A:B,2,0),_xlfn.XLOOKUP(Opex_VE[[#This Row],[dia]],Forecast!I:I,Forecast!J:J))</f>
        <v>164375</v>
      </c>
      <c r="G69" s="168">
        <f>IFERROR(VLOOKUP(Opex_VE[[#This Row],[Fecha]],Historia!A:C,3,0),_xlfn.XLOOKUP(Opex_VE[[#This Row],[dia]],Forecast!I:I,Forecast!K:K))</f>
        <v>65750</v>
      </c>
      <c r="H69" s="182">
        <f>+Opex_VE[[#This Row],[MG]]-Opex_VE[[#This Row],[Opex]]</f>
        <v>-158435.13793103449</v>
      </c>
      <c r="I69" s="168" t="str">
        <f>IFERROR(VLOOKUP(Opex_VE[[#This Row],[Fecha]],Historia!A:D,4,0),"Forecast")</f>
        <v>Forecast</v>
      </c>
      <c r="J69" s="157">
        <f t="shared" si="0"/>
        <v>560462.8448275862</v>
      </c>
      <c r="K69" s="151">
        <f>+Opex_VE[[#This Row],[Arriendo]]+Opex_VE[[#This Row],[Servicios publicos]]+Opex_VE[[#This Row],[Nomina]]</f>
        <v>224185.13793103449</v>
      </c>
      <c r="L69" s="152">
        <f>+VLOOKUP(Opex_VE[[#This Row],[Fecha]],Opex!$B:$Y,OPEX_SALES!L$1,1)</f>
        <v>56896.551724137928</v>
      </c>
      <c r="M69" s="153">
        <f>+SUM(Opex_VE[[#This Row],[Internet]:[Electricidad]])</f>
        <v>27288.586206896551</v>
      </c>
      <c r="N69" s="152">
        <f>+VLOOKUP(Opex_VE[[#This Row],[Fecha]],Opex!$B:$Y,OPEX_SALES!N$1,1)</f>
        <v>3620.6896551724139</v>
      </c>
      <c r="O69" s="152">
        <f>+VLOOKUP(Opex_VE[[#This Row],[Fecha]],Opex!$B:$Y,OPEX_SALES!O$1,1)</f>
        <v>8528.2413793103442</v>
      </c>
      <c r="P69" s="152">
        <f>+VLOOKUP(Opex_VE[[#This Row],[Fecha]],Opex!$B:$Y,OPEX_SALES!P$1,1)</f>
        <v>4137.9310344827591</v>
      </c>
      <c r="Q69" s="152">
        <f>+VLOOKUP(Opex_VE[[#This Row],[Fecha]],Opex!$B:$Y,OPEX_SALES!Q$1,1)</f>
        <v>11001.724137931034</v>
      </c>
      <c r="R69" s="153">
        <f>+SUM(Opex_VE[[#This Row],[Cajero]:[Domiciliario]])</f>
        <v>140000</v>
      </c>
      <c r="S69" s="152">
        <v>70000</v>
      </c>
      <c r="T69" s="152">
        <v>70000</v>
      </c>
      <c r="U69" s="152">
        <v>0</v>
      </c>
      <c r="V69"/>
    </row>
    <row r="70" spans="1:22" x14ac:dyDescent="0.2">
      <c r="A70" s="149">
        <v>46133</v>
      </c>
      <c r="B70" s="3">
        <f t="shared" si="1"/>
        <v>9</v>
      </c>
      <c r="C70" s="3" t="str">
        <f>+TEXT(Opex_VE[[#This Row],[Fecha]],"ddd")</f>
        <v>mar</v>
      </c>
      <c r="E70" s="14" t="s">
        <v>112</v>
      </c>
      <c r="F70" s="168">
        <f>IFERROR(VLOOKUP(Opex_VE[[#This Row],[Fecha]],Historia!A:B,2,0),_xlfn.XLOOKUP(Opex_VE[[#This Row],[dia]],Forecast!I:I,Forecast!J:J))</f>
        <v>199625</v>
      </c>
      <c r="G70" s="168">
        <f>IFERROR(VLOOKUP(Opex_VE[[#This Row],[Fecha]],Historia!A:C,3,0),_xlfn.XLOOKUP(Opex_VE[[#This Row],[dia]],Forecast!I:I,Forecast!K:K))</f>
        <v>79850</v>
      </c>
      <c r="H70" s="182">
        <f>+Opex_VE[[#This Row],[MG]]-Opex_VE[[#This Row],[Opex]]</f>
        <v>-144335.13793103449</v>
      </c>
      <c r="I70" s="168" t="str">
        <f>IFERROR(VLOOKUP(Opex_VE[[#This Row],[Fecha]],Historia!A:D,4,0),"Forecast")</f>
        <v>Forecast</v>
      </c>
      <c r="J70" s="157">
        <f t="shared" si="0"/>
        <v>560462.8448275862</v>
      </c>
      <c r="K70" s="151">
        <f>+Opex_VE[[#This Row],[Arriendo]]+Opex_VE[[#This Row],[Servicios publicos]]+Opex_VE[[#This Row],[Nomina]]</f>
        <v>224185.13793103449</v>
      </c>
      <c r="L70" s="152">
        <f>+VLOOKUP(Opex_VE[[#This Row],[Fecha]],Opex!$B:$Y,OPEX_SALES!L$1,1)</f>
        <v>56896.551724137928</v>
      </c>
      <c r="M70" s="153">
        <f>+SUM(Opex_VE[[#This Row],[Internet]:[Electricidad]])</f>
        <v>27288.586206896551</v>
      </c>
      <c r="N70" s="152">
        <f>+VLOOKUP(Opex_VE[[#This Row],[Fecha]],Opex!$B:$Y,OPEX_SALES!N$1,1)</f>
        <v>3620.6896551724139</v>
      </c>
      <c r="O70" s="152">
        <f>+VLOOKUP(Opex_VE[[#This Row],[Fecha]],Opex!$B:$Y,OPEX_SALES!O$1,1)</f>
        <v>8528.2413793103442</v>
      </c>
      <c r="P70" s="152">
        <f>+VLOOKUP(Opex_VE[[#This Row],[Fecha]],Opex!$B:$Y,OPEX_SALES!P$1,1)</f>
        <v>4137.9310344827591</v>
      </c>
      <c r="Q70" s="152">
        <f>+VLOOKUP(Opex_VE[[#This Row],[Fecha]],Opex!$B:$Y,OPEX_SALES!Q$1,1)</f>
        <v>11001.724137931034</v>
      </c>
      <c r="R70" s="153">
        <f>+SUM(Opex_VE[[#This Row],[Cajero]:[Domiciliario]])</f>
        <v>140000</v>
      </c>
      <c r="S70" s="152">
        <v>70000</v>
      </c>
      <c r="T70" s="152">
        <v>70000</v>
      </c>
      <c r="U70" s="152">
        <v>0</v>
      </c>
      <c r="V70"/>
    </row>
    <row r="71" spans="1:22" x14ac:dyDescent="0.2">
      <c r="A71" s="149">
        <v>46134</v>
      </c>
      <c r="B71" s="3">
        <f t="shared" si="1"/>
        <v>9</v>
      </c>
      <c r="C71" s="3" t="str">
        <f>+TEXT(Opex_VE[[#This Row],[Fecha]],"ddd")</f>
        <v>mié</v>
      </c>
      <c r="E71" s="14" t="s">
        <v>112</v>
      </c>
      <c r="F71" s="168">
        <f>IFERROR(VLOOKUP(Opex_VE[[#This Row],[Fecha]],Historia!A:B,2,0),_xlfn.XLOOKUP(Opex_VE[[#This Row],[dia]],Forecast!I:I,Forecast!J:J))</f>
        <v>339250</v>
      </c>
      <c r="G71" s="168">
        <f>IFERROR(VLOOKUP(Opex_VE[[#This Row],[Fecha]],Historia!A:C,3,0),_xlfn.XLOOKUP(Opex_VE[[#This Row],[dia]],Forecast!I:I,Forecast!K:K))</f>
        <v>135700</v>
      </c>
      <c r="H71" s="182">
        <f>+Opex_VE[[#This Row],[MG]]-Opex_VE[[#This Row],[Opex]]</f>
        <v>-88485.137931034493</v>
      </c>
      <c r="I71" s="168" t="str">
        <f>IFERROR(VLOOKUP(Opex_VE[[#This Row],[Fecha]],Historia!A:D,4,0),"Forecast")</f>
        <v>Forecast</v>
      </c>
      <c r="J71" s="157">
        <f t="shared" si="0"/>
        <v>560462.8448275862</v>
      </c>
      <c r="K71" s="151">
        <f>+Opex_VE[[#This Row],[Arriendo]]+Opex_VE[[#This Row],[Servicios publicos]]+Opex_VE[[#This Row],[Nomina]]</f>
        <v>224185.13793103449</v>
      </c>
      <c r="L71" s="152">
        <f>+VLOOKUP(Opex_VE[[#This Row],[Fecha]],Opex!$B:$Y,OPEX_SALES!L$1,1)</f>
        <v>56896.551724137928</v>
      </c>
      <c r="M71" s="153">
        <f>+SUM(Opex_VE[[#This Row],[Internet]:[Electricidad]])</f>
        <v>27288.586206896551</v>
      </c>
      <c r="N71" s="152">
        <f>+VLOOKUP(Opex_VE[[#This Row],[Fecha]],Opex!$B:$Y,OPEX_SALES!N$1,1)</f>
        <v>3620.6896551724139</v>
      </c>
      <c r="O71" s="152">
        <f>+VLOOKUP(Opex_VE[[#This Row],[Fecha]],Opex!$B:$Y,OPEX_SALES!O$1,1)</f>
        <v>8528.2413793103442</v>
      </c>
      <c r="P71" s="152">
        <f>+VLOOKUP(Opex_VE[[#This Row],[Fecha]],Opex!$B:$Y,OPEX_SALES!P$1,1)</f>
        <v>4137.9310344827591</v>
      </c>
      <c r="Q71" s="152">
        <f>+VLOOKUP(Opex_VE[[#This Row],[Fecha]],Opex!$B:$Y,OPEX_SALES!Q$1,1)</f>
        <v>11001.724137931034</v>
      </c>
      <c r="R71" s="153">
        <f>+SUM(Opex_VE[[#This Row],[Cajero]:[Domiciliario]])</f>
        <v>140000</v>
      </c>
      <c r="S71" s="152">
        <v>70000</v>
      </c>
      <c r="T71" s="152">
        <v>70000</v>
      </c>
      <c r="U71" s="152">
        <v>0</v>
      </c>
      <c r="V71"/>
    </row>
    <row r="72" spans="1:22" x14ac:dyDescent="0.2">
      <c r="A72" s="149">
        <v>46135</v>
      </c>
      <c r="B72" s="3">
        <f t="shared" si="1"/>
        <v>9</v>
      </c>
      <c r="C72" s="3" t="str">
        <f>+TEXT(Opex_VE[[#This Row],[Fecha]],"ddd")</f>
        <v>jue</v>
      </c>
      <c r="E72" s="14" t="s">
        <v>112</v>
      </c>
      <c r="F72" s="168">
        <f>IFERROR(VLOOKUP(Opex_VE[[#This Row],[Fecha]],Historia!A:B,2,0),_xlfn.XLOOKUP(Opex_VE[[#This Row],[dia]],Forecast!I:I,Forecast!J:J))</f>
        <v>274975</v>
      </c>
      <c r="G72" s="168">
        <f>IFERROR(VLOOKUP(Opex_VE[[#This Row],[Fecha]],Historia!A:C,3,0),_xlfn.XLOOKUP(Opex_VE[[#This Row],[dia]],Forecast!I:I,Forecast!K:K))</f>
        <v>109990</v>
      </c>
      <c r="H72" s="182">
        <f>+Opex_VE[[#This Row],[MG]]-Opex_VE[[#This Row],[Opex]]</f>
        <v>-114195.13793103449</v>
      </c>
      <c r="I72" s="168" t="str">
        <f>IFERROR(VLOOKUP(Opex_VE[[#This Row],[Fecha]],Historia!A:D,4,0),"Forecast")</f>
        <v>Forecast</v>
      </c>
      <c r="J72" s="157">
        <f t="shared" si="0"/>
        <v>560462.8448275862</v>
      </c>
      <c r="K72" s="151">
        <f>+Opex_VE[[#This Row],[Arriendo]]+Opex_VE[[#This Row],[Servicios publicos]]+Opex_VE[[#This Row],[Nomina]]</f>
        <v>224185.13793103449</v>
      </c>
      <c r="L72" s="152">
        <f>+VLOOKUP(Opex_VE[[#This Row],[Fecha]],Opex!$B:$Y,OPEX_SALES!L$1,1)</f>
        <v>56896.551724137928</v>
      </c>
      <c r="M72" s="153">
        <f>+SUM(Opex_VE[[#This Row],[Internet]:[Electricidad]])</f>
        <v>27288.586206896551</v>
      </c>
      <c r="N72" s="152">
        <f>+VLOOKUP(Opex_VE[[#This Row],[Fecha]],Opex!$B:$Y,OPEX_SALES!N$1,1)</f>
        <v>3620.6896551724139</v>
      </c>
      <c r="O72" s="152">
        <f>+VLOOKUP(Opex_VE[[#This Row],[Fecha]],Opex!$B:$Y,OPEX_SALES!O$1,1)</f>
        <v>8528.2413793103442</v>
      </c>
      <c r="P72" s="152">
        <f>+VLOOKUP(Opex_VE[[#This Row],[Fecha]],Opex!$B:$Y,OPEX_SALES!P$1,1)</f>
        <v>4137.9310344827591</v>
      </c>
      <c r="Q72" s="152">
        <f>+VLOOKUP(Opex_VE[[#This Row],[Fecha]],Opex!$B:$Y,OPEX_SALES!Q$1,1)</f>
        <v>11001.724137931034</v>
      </c>
      <c r="R72" s="153">
        <f>+SUM(Opex_VE[[#This Row],[Cajero]:[Domiciliario]])</f>
        <v>140000</v>
      </c>
      <c r="S72" s="152">
        <v>70000</v>
      </c>
      <c r="T72" s="152">
        <v>70000</v>
      </c>
      <c r="U72" s="152">
        <v>0</v>
      </c>
      <c r="V72"/>
    </row>
    <row r="73" spans="1:22" x14ac:dyDescent="0.2">
      <c r="A73" s="149">
        <v>46136</v>
      </c>
      <c r="B73" s="3">
        <f t="shared" si="1"/>
        <v>9</v>
      </c>
      <c r="C73" s="3" t="str">
        <f>+TEXT(Opex_VE[[#This Row],[Fecha]],"ddd")</f>
        <v>vie</v>
      </c>
      <c r="E73" s="14" t="s">
        <v>217</v>
      </c>
      <c r="F73" s="168">
        <f>IFERROR(VLOOKUP(Opex_VE[[#This Row],[Fecha]],Historia!A:B,2,0),_xlfn.XLOOKUP(Opex_VE[[#This Row],[dia]],Forecast!I:I,Forecast!J:J))</f>
        <v>184566.66666666666</v>
      </c>
      <c r="G73" s="168">
        <f>IFERROR(VLOOKUP(Opex_VE[[#This Row],[Fecha]],Historia!A:C,3,0),_xlfn.XLOOKUP(Opex_VE[[#This Row],[dia]],Forecast!I:I,Forecast!K:K))</f>
        <v>73826.666666666672</v>
      </c>
      <c r="H73" s="182">
        <f>+Opex_VE[[#This Row],[MG]]-Opex_VE[[#This Row],[Opex]]</f>
        <v>-150358.47126436781</v>
      </c>
      <c r="I73" s="168" t="str">
        <f>IFERROR(VLOOKUP(Opex_VE[[#This Row],[Fecha]],Historia!A:D,4,0),"Forecast")</f>
        <v>Forecast</v>
      </c>
      <c r="J73" s="157">
        <f t="shared" si="0"/>
        <v>560462.8448275862</v>
      </c>
      <c r="K73" s="151">
        <f>+Opex_VE[[#This Row],[Arriendo]]+Opex_VE[[#This Row],[Servicios publicos]]+Opex_VE[[#This Row],[Nomina]]</f>
        <v>224185.13793103449</v>
      </c>
      <c r="L73" s="152">
        <f>+VLOOKUP(Opex_VE[[#This Row],[Fecha]],Opex!$B:$Y,OPEX_SALES!L$1,1)</f>
        <v>56896.551724137928</v>
      </c>
      <c r="M73" s="153">
        <f>+SUM(Opex_VE[[#This Row],[Internet]:[Electricidad]])</f>
        <v>27288.586206896551</v>
      </c>
      <c r="N73" s="152">
        <f>+VLOOKUP(Opex_VE[[#This Row],[Fecha]],Opex!$B:$Y,OPEX_SALES!N$1,1)</f>
        <v>3620.6896551724139</v>
      </c>
      <c r="O73" s="152">
        <f>+VLOOKUP(Opex_VE[[#This Row],[Fecha]],Opex!$B:$Y,OPEX_SALES!O$1,1)</f>
        <v>8528.2413793103442</v>
      </c>
      <c r="P73" s="152">
        <f>+VLOOKUP(Opex_VE[[#This Row],[Fecha]],Opex!$B:$Y,OPEX_SALES!P$1,1)</f>
        <v>4137.9310344827591</v>
      </c>
      <c r="Q73" s="152">
        <f>+VLOOKUP(Opex_VE[[#This Row],[Fecha]],Opex!$B:$Y,OPEX_SALES!Q$1,1)</f>
        <v>11001.724137931034</v>
      </c>
      <c r="R73" s="153">
        <f>+SUM(Opex_VE[[#This Row],[Cajero]:[Domiciliario]])</f>
        <v>140000</v>
      </c>
      <c r="S73" s="152">
        <v>70000</v>
      </c>
      <c r="T73" s="152">
        <v>70000</v>
      </c>
      <c r="U73" s="152">
        <v>0</v>
      </c>
      <c r="V73"/>
    </row>
    <row r="74" spans="1:22" x14ac:dyDescent="0.2">
      <c r="A74" s="149">
        <v>46137</v>
      </c>
      <c r="B74" s="3">
        <f t="shared" si="1"/>
        <v>9</v>
      </c>
      <c r="C74" s="3" t="str">
        <f>+TEXT(Opex_VE[[#This Row],[Fecha]],"ddd")</f>
        <v>sáb</v>
      </c>
      <c r="E74" s="14" t="s">
        <v>113</v>
      </c>
      <c r="F74" s="168">
        <f>IFERROR(VLOOKUP(Opex_VE[[#This Row],[Fecha]],Historia!A:B,2,0),_xlfn.XLOOKUP(Opex_VE[[#This Row],[dia]],Forecast!I:I,Forecast!J:J))</f>
        <v>398333.33333333331</v>
      </c>
      <c r="G74" s="168">
        <f>IFERROR(VLOOKUP(Opex_VE[[#This Row],[Fecha]],Historia!A:C,3,0),_xlfn.XLOOKUP(Opex_VE[[#This Row],[dia]],Forecast!I:I,Forecast!K:K))</f>
        <v>159333.33333333334</v>
      </c>
      <c r="H74" s="182">
        <f>+Opex_VE[[#This Row],[MG]]-Opex_VE[[#This Row],[Opex]]</f>
        <v>-64851.80459770115</v>
      </c>
      <c r="I74" s="169" t="str">
        <f>IFERROR(VLOOKUP(Opex_VE[[#This Row],[Fecha]],Historia!A:D,4,0),"Forecast")</f>
        <v>Forecast</v>
      </c>
      <c r="J74" s="157">
        <f t="shared" si="0"/>
        <v>560462.8448275862</v>
      </c>
      <c r="K74" s="151">
        <f>+Opex_VE[[#This Row],[Arriendo]]+Opex_VE[[#This Row],[Servicios publicos]]+Opex_VE[[#This Row],[Nomina]]</f>
        <v>224185.13793103449</v>
      </c>
      <c r="L74" s="152">
        <f>+VLOOKUP(Opex_VE[[#This Row],[Fecha]],Opex!$B:$Y,OPEX_SALES!L$1,1)</f>
        <v>56896.551724137928</v>
      </c>
      <c r="M74" s="153">
        <f>+SUM(Opex_VE[[#This Row],[Internet]:[Electricidad]])</f>
        <v>27288.586206896551</v>
      </c>
      <c r="N74" s="152">
        <f>+VLOOKUP(Opex_VE[[#This Row],[Fecha]],Opex!$B:$Y,OPEX_SALES!N$1,1)</f>
        <v>3620.6896551724139</v>
      </c>
      <c r="O74" s="152">
        <f>+VLOOKUP(Opex_VE[[#This Row],[Fecha]],Opex!$B:$Y,OPEX_SALES!O$1,1)</f>
        <v>8528.2413793103442</v>
      </c>
      <c r="P74" s="152">
        <f>+VLOOKUP(Opex_VE[[#This Row],[Fecha]],Opex!$B:$Y,OPEX_SALES!P$1,1)</f>
        <v>4137.9310344827591</v>
      </c>
      <c r="Q74" s="152">
        <f>+VLOOKUP(Opex_VE[[#This Row],[Fecha]],Opex!$B:$Y,OPEX_SALES!Q$1,1)</f>
        <v>11001.724137931034</v>
      </c>
      <c r="R74" s="153">
        <f>+SUM(Opex_VE[[#This Row],[Cajero]:[Domiciliario]])</f>
        <v>140000</v>
      </c>
      <c r="S74" s="152">
        <v>70000</v>
      </c>
      <c r="T74" s="152">
        <v>70000</v>
      </c>
      <c r="U74" s="152">
        <v>0</v>
      </c>
      <c r="V74"/>
    </row>
    <row r="75" spans="1:22" x14ac:dyDescent="0.2">
      <c r="A75" s="149">
        <v>46138</v>
      </c>
      <c r="B75" s="3">
        <f t="shared" si="1"/>
        <v>9</v>
      </c>
      <c r="C75" s="3" t="str">
        <f>+TEXT(Opex_VE[[#This Row],[Fecha]],"ddd")</f>
        <v>dom</v>
      </c>
      <c r="E75" s="14" t="s">
        <v>145</v>
      </c>
      <c r="F75" s="168">
        <f>IFERROR(VLOOKUP(Opex_VE[[#This Row],[Fecha]],Historia!A:B,2,0),_xlfn.XLOOKUP(Opex_VE[[#This Row],[dia]],Forecast!I:I,Forecast!J:J))</f>
        <v>168750</v>
      </c>
      <c r="G75" s="168">
        <f>IFERROR(VLOOKUP(Opex_VE[[#This Row],[Fecha]],Historia!A:C,3,0),_xlfn.XLOOKUP(Opex_VE[[#This Row],[dia]],Forecast!I:I,Forecast!K:K))</f>
        <v>67500</v>
      </c>
      <c r="H75" s="182">
        <f>+Opex_VE[[#This Row],[MG]]-Opex_VE[[#This Row],[Opex]]</f>
        <v>-156685.13793103449</v>
      </c>
      <c r="I75" s="168" t="str">
        <f>IFERROR(VLOOKUP(Opex_VE[[#This Row],[Fecha]],Historia!A:D,4,0),"Forecast")</f>
        <v>Forecast</v>
      </c>
      <c r="J75" s="157">
        <f t="shared" si="0"/>
        <v>560462.8448275862</v>
      </c>
      <c r="K75" s="151">
        <f>+Opex_VE[[#This Row],[Arriendo]]+Opex_VE[[#This Row],[Servicios publicos]]+Opex_VE[[#This Row],[Nomina]]</f>
        <v>224185.13793103449</v>
      </c>
      <c r="L75" s="152">
        <f>+VLOOKUP(Opex_VE[[#This Row],[Fecha]],Opex!$B:$Y,OPEX_SALES!L$1,1)</f>
        <v>56896.551724137928</v>
      </c>
      <c r="M75" s="153">
        <f>+SUM(Opex_VE[[#This Row],[Internet]:[Electricidad]])</f>
        <v>27288.586206896551</v>
      </c>
      <c r="N75" s="152">
        <f>+VLOOKUP(Opex_VE[[#This Row],[Fecha]],Opex!$B:$Y,OPEX_SALES!N$1,1)</f>
        <v>3620.6896551724139</v>
      </c>
      <c r="O75" s="152">
        <f>+VLOOKUP(Opex_VE[[#This Row],[Fecha]],Opex!$B:$Y,OPEX_SALES!O$1,1)</f>
        <v>8528.2413793103442</v>
      </c>
      <c r="P75" s="152">
        <f>+VLOOKUP(Opex_VE[[#This Row],[Fecha]],Opex!$B:$Y,OPEX_SALES!P$1,1)</f>
        <v>4137.9310344827591</v>
      </c>
      <c r="Q75" s="152">
        <f>+VLOOKUP(Opex_VE[[#This Row],[Fecha]],Opex!$B:$Y,OPEX_SALES!Q$1,1)</f>
        <v>11001.724137931034</v>
      </c>
      <c r="R75" s="153">
        <f>+SUM(Opex_VE[[#This Row],[Cajero]:[Domiciliario]])</f>
        <v>140000</v>
      </c>
      <c r="S75" s="152">
        <v>70000</v>
      </c>
      <c r="T75" s="152">
        <v>70000</v>
      </c>
      <c r="U75" s="152">
        <v>0</v>
      </c>
      <c r="V75"/>
    </row>
    <row r="76" spans="1:22" x14ac:dyDescent="0.2">
      <c r="A76" s="149">
        <v>46139</v>
      </c>
      <c r="B76" s="3">
        <f t="shared" si="1"/>
        <v>10</v>
      </c>
      <c r="C76" s="3" t="str">
        <f>+TEXT(Opex_VE[[#This Row],[Fecha]],"ddd")</f>
        <v>lun</v>
      </c>
      <c r="E76" s="14" t="s">
        <v>112</v>
      </c>
      <c r="F76" s="168">
        <f>IFERROR(VLOOKUP(Opex_VE[[#This Row],[Fecha]],Historia!A:B,2,0),_xlfn.XLOOKUP(Opex_VE[[#This Row],[dia]],Forecast!I:I,Forecast!J:J))</f>
        <v>164375</v>
      </c>
      <c r="G76" s="168">
        <f>IFERROR(VLOOKUP(Opex_VE[[#This Row],[Fecha]],Historia!A:C,3,0),_xlfn.XLOOKUP(Opex_VE[[#This Row],[dia]],Forecast!I:I,Forecast!K:K))</f>
        <v>65750</v>
      </c>
      <c r="H76" s="182">
        <f>+Opex_VE[[#This Row],[MG]]-Opex_VE[[#This Row],[Opex]]</f>
        <v>-158435.13793103449</v>
      </c>
      <c r="I76" s="168" t="str">
        <f>IFERROR(VLOOKUP(Opex_VE[[#This Row],[Fecha]],Historia!A:D,4,0),"Forecast")</f>
        <v>Forecast</v>
      </c>
      <c r="J76" s="157">
        <f t="shared" si="0"/>
        <v>560462.8448275862</v>
      </c>
      <c r="K76" s="151">
        <f>+Opex_VE[[#This Row],[Arriendo]]+Opex_VE[[#This Row],[Servicios publicos]]+Opex_VE[[#This Row],[Nomina]]</f>
        <v>224185.13793103449</v>
      </c>
      <c r="L76" s="152">
        <f>+VLOOKUP(Opex_VE[[#This Row],[Fecha]],Opex!$B:$Y,OPEX_SALES!L$1,1)</f>
        <v>56896.551724137928</v>
      </c>
      <c r="M76" s="153">
        <f>+SUM(Opex_VE[[#This Row],[Internet]:[Electricidad]])</f>
        <v>27288.586206896551</v>
      </c>
      <c r="N76" s="152">
        <f>+VLOOKUP(Opex_VE[[#This Row],[Fecha]],Opex!$B:$Y,OPEX_SALES!N$1,1)</f>
        <v>3620.6896551724139</v>
      </c>
      <c r="O76" s="152">
        <f>+VLOOKUP(Opex_VE[[#This Row],[Fecha]],Opex!$B:$Y,OPEX_SALES!O$1,1)</f>
        <v>8528.2413793103442</v>
      </c>
      <c r="P76" s="152">
        <f>+VLOOKUP(Opex_VE[[#This Row],[Fecha]],Opex!$B:$Y,OPEX_SALES!P$1,1)</f>
        <v>4137.9310344827591</v>
      </c>
      <c r="Q76" s="152">
        <f>+VLOOKUP(Opex_VE[[#This Row],[Fecha]],Opex!$B:$Y,OPEX_SALES!Q$1,1)</f>
        <v>11001.724137931034</v>
      </c>
      <c r="R76" s="153">
        <f>+SUM(Opex_VE[[#This Row],[Cajero]:[Domiciliario]])</f>
        <v>140000</v>
      </c>
      <c r="S76" s="152">
        <v>70000</v>
      </c>
      <c r="T76" s="152">
        <v>70000</v>
      </c>
      <c r="U76" s="152">
        <v>0</v>
      </c>
      <c r="V76"/>
    </row>
    <row r="77" spans="1:22" x14ac:dyDescent="0.2">
      <c r="A77" s="149">
        <v>46140</v>
      </c>
      <c r="B77" s="3">
        <f t="shared" si="1"/>
        <v>10</v>
      </c>
      <c r="C77" s="3" t="str">
        <f>+TEXT(Opex_VE[[#This Row],[Fecha]],"ddd")</f>
        <v>mar</v>
      </c>
      <c r="E77" s="14" t="s">
        <v>112</v>
      </c>
      <c r="F77" s="168">
        <f>IFERROR(VLOOKUP(Opex_VE[[#This Row],[Fecha]],Historia!A:B,2,0),_xlfn.XLOOKUP(Opex_VE[[#This Row],[dia]],Forecast!I:I,Forecast!J:J))</f>
        <v>199625</v>
      </c>
      <c r="G77" s="168">
        <f>IFERROR(VLOOKUP(Opex_VE[[#This Row],[Fecha]],Historia!A:C,3,0),_xlfn.XLOOKUP(Opex_VE[[#This Row],[dia]],Forecast!I:I,Forecast!K:K))</f>
        <v>79850</v>
      </c>
      <c r="H77" s="182">
        <f>+Opex_VE[[#This Row],[MG]]-Opex_VE[[#This Row],[Opex]]</f>
        <v>-144335.13793103449</v>
      </c>
      <c r="I77" s="168" t="str">
        <f>IFERROR(VLOOKUP(Opex_VE[[#This Row],[Fecha]],Historia!A:D,4,0),"Forecast")</f>
        <v>Forecast</v>
      </c>
      <c r="J77" s="157">
        <f t="shared" ref="J77:J140" si="2">+K77/0.4</f>
        <v>560462.8448275862</v>
      </c>
      <c r="K77" s="151">
        <f>+Opex_VE[[#This Row],[Arriendo]]+Opex_VE[[#This Row],[Servicios publicos]]+Opex_VE[[#This Row],[Nomina]]</f>
        <v>224185.13793103449</v>
      </c>
      <c r="L77" s="152">
        <f>+VLOOKUP(Opex_VE[[#This Row],[Fecha]],Opex!$B:$Y,OPEX_SALES!L$1,1)</f>
        <v>56896.551724137928</v>
      </c>
      <c r="M77" s="153">
        <f>+SUM(Opex_VE[[#This Row],[Internet]:[Electricidad]])</f>
        <v>27288.586206896551</v>
      </c>
      <c r="N77" s="152">
        <f>+VLOOKUP(Opex_VE[[#This Row],[Fecha]],Opex!$B:$Y,OPEX_SALES!N$1,1)</f>
        <v>3620.6896551724139</v>
      </c>
      <c r="O77" s="152">
        <f>+VLOOKUP(Opex_VE[[#This Row],[Fecha]],Opex!$B:$Y,OPEX_SALES!O$1,1)</f>
        <v>8528.2413793103442</v>
      </c>
      <c r="P77" s="152">
        <f>+VLOOKUP(Opex_VE[[#This Row],[Fecha]],Opex!$B:$Y,OPEX_SALES!P$1,1)</f>
        <v>4137.9310344827591</v>
      </c>
      <c r="Q77" s="152">
        <f>+VLOOKUP(Opex_VE[[#This Row],[Fecha]],Opex!$B:$Y,OPEX_SALES!Q$1,1)</f>
        <v>11001.724137931034</v>
      </c>
      <c r="R77" s="153">
        <f>+SUM(Opex_VE[[#This Row],[Cajero]:[Domiciliario]])</f>
        <v>140000</v>
      </c>
      <c r="S77" s="152">
        <v>70000</v>
      </c>
      <c r="T77" s="152">
        <v>70000</v>
      </c>
      <c r="U77" s="152">
        <v>0</v>
      </c>
      <c r="V77"/>
    </row>
    <row r="78" spans="1:22" x14ac:dyDescent="0.2">
      <c r="A78" s="149">
        <v>46141</v>
      </c>
      <c r="B78" s="3">
        <f t="shared" si="1"/>
        <v>10</v>
      </c>
      <c r="C78" s="3" t="str">
        <f>+TEXT(Opex_VE[[#This Row],[Fecha]],"ddd")</f>
        <v>mié</v>
      </c>
      <c r="E78" s="14" t="s">
        <v>112</v>
      </c>
      <c r="F78" s="168">
        <f>IFERROR(VLOOKUP(Opex_VE[[#This Row],[Fecha]],Historia!A:B,2,0),_xlfn.XLOOKUP(Opex_VE[[#This Row],[dia]],Forecast!I:I,Forecast!J:J))</f>
        <v>339250</v>
      </c>
      <c r="G78" s="168">
        <f>IFERROR(VLOOKUP(Opex_VE[[#This Row],[Fecha]],Historia!A:C,3,0),_xlfn.XLOOKUP(Opex_VE[[#This Row],[dia]],Forecast!I:I,Forecast!K:K))</f>
        <v>135700</v>
      </c>
      <c r="H78" s="182">
        <f>+Opex_VE[[#This Row],[MG]]-Opex_VE[[#This Row],[Opex]]</f>
        <v>-88485.137931034493</v>
      </c>
      <c r="I78" s="168" t="str">
        <f>IFERROR(VLOOKUP(Opex_VE[[#This Row],[Fecha]],Historia!A:D,4,0),"Forecast")</f>
        <v>Forecast</v>
      </c>
      <c r="J78" s="157">
        <f t="shared" si="2"/>
        <v>560462.8448275862</v>
      </c>
      <c r="K78" s="151">
        <f>+Opex_VE[[#This Row],[Arriendo]]+Opex_VE[[#This Row],[Servicios publicos]]+Opex_VE[[#This Row],[Nomina]]</f>
        <v>224185.13793103449</v>
      </c>
      <c r="L78" s="152">
        <f>+VLOOKUP(Opex_VE[[#This Row],[Fecha]],Opex!$B:$Y,OPEX_SALES!L$1,1)</f>
        <v>56896.551724137928</v>
      </c>
      <c r="M78" s="153">
        <f>+SUM(Opex_VE[[#This Row],[Internet]:[Electricidad]])</f>
        <v>27288.586206896551</v>
      </c>
      <c r="N78" s="152">
        <f>+VLOOKUP(Opex_VE[[#This Row],[Fecha]],Opex!$B:$Y,OPEX_SALES!N$1,1)</f>
        <v>3620.6896551724139</v>
      </c>
      <c r="O78" s="152">
        <f>+VLOOKUP(Opex_VE[[#This Row],[Fecha]],Opex!$B:$Y,OPEX_SALES!O$1,1)</f>
        <v>8528.2413793103442</v>
      </c>
      <c r="P78" s="152">
        <f>+VLOOKUP(Opex_VE[[#This Row],[Fecha]],Opex!$B:$Y,OPEX_SALES!P$1,1)</f>
        <v>4137.9310344827591</v>
      </c>
      <c r="Q78" s="152">
        <f>+VLOOKUP(Opex_VE[[#This Row],[Fecha]],Opex!$B:$Y,OPEX_SALES!Q$1,1)</f>
        <v>11001.724137931034</v>
      </c>
      <c r="R78" s="153">
        <f>+SUM(Opex_VE[[#This Row],[Cajero]:[Domiciliario]])</f>
        <v>140000</v>
      </c>
      <c r="S78" s="152">
        <v>70000</v>
      </c>
      <c r="T78" s="152">
        <v>70000</v>
      </c>
      <c r="U78" s="152">
        <v>0</v>
      </c>
      <c r="V78"/>
    </row>
    <row r="79" spans="1:22" x14ac:dyDescent="0.2">
      <c r="A79" s="149">
        <v>46142</v>
      </c>
      <c r="B79" s="3">
        <f t="shared" si="1"/>
        <v>10</v>
      </c>
      <c r="C79" s="3" t="str">
        <f>+TEXT(Opex_VE[[#This Row],[Fecha]],"ddd")</f>
        <v>jue</v>
      </c>
      <c r="E79" s="14" t="s">
        <v>112</v>
      </c>
      <c r="F79" s="168">
        <f>IFERROR(VLOOKUP(Opex_VE[[#This Row],[Fecha]],Historia!A:B,2,0),_xlfn.XLOOKUP(Opex_VE[[#This Row],[dia]],Forecast!I:I,Forecast!J:J))</f>
        <v>274975</v>
      </c>
      <c r="G79" s="168">
        <f>IFERROR(VLOOKUP(Opex_VE[[#This Row],[Fecha]],Historia!A:C,3,0),_xlfn.XLOOKUP(Opex_VE[[#This Row],[dia]],Forecast!I:I,Forecast!K:K))</f>
        <v>109990</v>
      </c>
      <c r="H79" s="182">
        <f>+Opex_VE[[#This Row],[MG]]-Opex_VE[[#This Row],[Opex]]</f>
        <v>-114195.13793103449</v>
      </c>
      <c r="I79" s="168" t="str">
        <f>IFERROR(VLOOKUP(Opex_VE[[#This Row],[Fecha]],Historia!A:D,4,0),"Forecast")</f>
        <v>Forecast</v>
      </c>
      <c r="J79" s="157">
        <f t="shared" si="2"/>
        <v>560462.8448275862</v>
      </c>
      <c r="K79" s="151">
        <f>+Opex_VE[[#This Row],[Arriendo]]+Opex_VE[[#This Row],[Servicios publicos]]+Opex_VE[[#This Row],[Nomina]]</f>
        <v>224185.13793103449</v>
      </c>
      <c r="L79" s="152">
        <f>+VLOOKUP(Opex_VE[[#This Row],[Fecha]],Opex!$B:$Y,OPEX_SALES!L$1,1)</f>
        <v>56896.551724137928</v>
      </c>
      <c r="M79" s="153">
        <f>+SUM(Opex_VE[[#This Row],[Internet]:[Electricidad]])</f>
        <v>27288.586206896551</v>
      </c>
      <c r="N79" s="152">
        <f>+VLOOKUP(Opex_VE[[#This Row],[Fecha]],Opex!$B:$Y,OPEX_SALES!N$1,1)</f>
        <v>3620.6896551724139</v>
      </c>
      <c r="O79" s="152">
        <f>+VLOOKUP(Opex_VE[[#This Row],[Fecha]],Opex!$B:$Y,OPEX_SALES!O$1,1)</f>
        <v>8528.2413793103442</v>
      </c>
      <c r="P79" s="152">
        <f>+VLOOKUP(Opex_VE[[#This Row],[Fecha]],Opex!$B:$Y,OPEX_SALES!P$1,1)</f>
        <v>4137.9310344827591</v>
      </c>
      <c r="Q79" s="152">
        <f>+VLOOKUP(Opex_VE[[#This Row],[Fecha]],Opex!$B:$Y,OPEX_SALES!Q$1,1)</f>
        <v>11001.724137931034</v>
      </c>
      <c r="R79" s="153">
        <f>+SUM(Opex_VE[[#This Row],[Cajero]:[Domiciliario]])</f>
        <v>140000</v>
      </c>
      <c r="S79" s="152">
        <v>70000</v>
      </c>
      <c r="T79" s="152">
        <v>70000</v>
      </c>
      <c r="U79" s="152">
        <v>0</v>
      </c>
      <c r="V79"/>
    </row>
    <row r="80" spans="1:22" x14ac:dyDescent="0.2">
      <c r="A80" s="149">
        <v>46143</v>
      </c>
      <c r="B80" s="3">
        <f t="shared" si="1"/>
        <v>10</v>
      </c>
      <c r="C80" s="3" t="str">
        <f>+TEXT(Opex_VE[[#This Row],[Fecha]],"ddd")</f>
        <v>vie</v>
      </c>
      <c r="E80" s="14" t="s">
        <v>218</v>
      </c>
      <c r="F80" s="168">
        <f>IFERROR(VLOOKUP(Opex_VE[[#This Row],[Fecha]],Historia!A:B,2,0),_xlfn.XLOOKUP(Opex_VE[[#This Row],[dia]],Forecast!I:I,Forecast!J:J))</f>
        <v>184566.66666666666</v>
      </c>
      <c r="G80" s="168">
        <f>IFERROR(VLOOKUP(Opex_VE[[#This Row],[Fecha]],Historia!A:C,3,0),_xlfn.XLOOKUP(Opex_VE[[#This Row],[dia]],Forecast!I:I,Forecast!K:K))</f>
        <v>73826.666666666672</v>
      </c>
      <c r="H80" s="182">
        <f>+Opex_VE[[#This Row],[MG]]-Opex_VE[[#This Row],[Opex]]</f>
        <v>-150358.47126436781</v>
      </c>
      <c r="I80" s="168" t="str">
        <f>IFERROR(VLOOKUP(Opex_VE[[#This Row],[Fecha]],Historia!A:D,4,0),"Forecast")</f>
        <v>Forecast</v>
      </c>
      <c r="J80" s="157">
        <f t="shared" si="2"/>
        <v>560462.8448275862</v>
      </c>
      <c r="K80" s="151">
        <f>+Opex_VE[[#This Row],[Arriendo]]+Opex_VE[[#This Row],[Servicios publicos]]+Opex_VE[[#This Row],[Nomina]]</f>
        <v>224185.13793103449</v>
      </c>
      <c r="L80" s="152">
        <f>+VLOOKUP(Opex_VE[[#This Row],[Fecha]],Opex!$B:$Y,OPEX_SALES!L$1,1)</f>
        <v>56896.551724137928</v>
      </c>
      <c r="M80" s="153">
        <f>+SUM(Opex_VE[[#This Row],[Internet]:[Electricidad]])</f>
        <v>27288.586206896551</v>
      </c>
      <c r="N80" s="152">
        <f>+VLOOKUP(Opex_VE[[#This Row],[Fecha]],Opex!$B:$Y,OPEX_SALES!N$1,1)</f>
        <v>3620.6896551724139</v>
      </c>
      <c r="O80" s="152">
        <f>+VLOOKUP(Opex_VE[[#This Row],[Fecha]],Opex!$B:$Y,OPEX_SALES!O$1,1)</f>
        <v>8528.2413793103442</v>
      </c>
      <c r="P80" s="152">
        <f>+VLOOKUP(Opex_VE[[#This Row],[Fecha]],Opex!$B:$Y,OPEX_SALES!P$1,1)</f>
        <v>4137.9310344827591</v>
      </c>
      <c r="Q80" s="152">
        <f>+VLOOKUP(Opex_VE[[#This Row],[Fecha]],Opex!$B:$Y,OPEX_SALES!Q$1,1)</f>
        <v>11001.724137931034</v>
      </c>
      <c r="R80" s="153">
        <f>+SUM(Opex_VE[[#This Row],[Cajero]:[Domiciliario]])</f>
        <v>140000</v>
      </c>
      <c r="S80" s="152">
        <v>70000</v>
      </c>
      <c r="T80" s="152">
        <v>70000</v>
      </c>
      <c r="U80" s="152">
        <v>0</v>
      </c>
      <c r="V80"/>
    </row>
    <row r="81" spans="1:22" x14ac:dyDescent="0.2">
      <c r="A81" s="149">
        <v>46144</v>
      </c>
      <c r="B81" s="3">
        <f t="shared" si="1"/>
        <v>10</v>
      </c>
      <c r="C81" s="3" t="str">
        <f>+TEXT(Opex_VE[[#This Row],[Fecha]],"ddd")</f>
        <v>sáb</v>
      </c>
      <c r="E81" s="14" t="s">
        <v>113</v>
      </c>
      <c r="F81" s="168">
        <f>IFERROR(VLOOKUP(Opex_VE[[#This Row],[Fecha]],Historia!A:B,2,0),_xlfn.XLOOKUP(Opex_VE[[#This Row],[dia]],Forecast!I:I,Forecast!J:J))</f>
        <v>398333.33333333331</v>
      </c>
      <c r="G81" s="168">
        <f>IFERROR(VLOOKUP(Opex_VE[[#This Row],[Fecha]],Historia!A:C,3,0),_xlfn.XLOOKUP(Opex_VE[[#This Row],[dia]],Forecast!I:I,Forecast!K:K))</f>
        <v>159333.33333333334</v>
      </c>
      <c r="H81" s="182">
        <f>+Opex_VE[[#This Row],[MG]]-Opex_VE[[#This Row],[Opex]]</f>
        <v>-64851.80459770115</v>
      </c>
      <c r="I81" s="169" t="str">
        <f>IFERROR(VLOOKUP(Opex_VE[[#This Row],[Fecha]],Historia!A:D,4,0),"Forecast")</f>
        <v>Forecast</v>
      </c>
      <c r="J81" s="157">
        <f t="shared" si="2"/>
        <v>560462.8448275862</v>
      </c>
      <c r="K81" s="151">
        <f>+Opex_VE[[#This Row],[Arriendo]]+Opex_VE[[#This Row],[Servicios publicos]]+Opex_VE[[#This Row],[Nomina]]</f>
        <v>224185.13793103449</v>
      </c>
      <c r="L81" s="152">
        <f>+VLOOKUP(Opex_VE[[#This Row],[Fecha]],Opex!$B:$Y,OPEX_SALES!L$1,1)</f>
        <v>56896.551724137928</v>
      </c>
      <c r="M81" s="153">
        <f>+SUM(Opex_VE[[#This Row],[Internet]:[Electricidad]])</f>
        <v>27288.586206896551</v>
      </c>
      <c r="N81" s="152">
        <f>+VLOOKUP(Opex_VE[[#This Row],[Fecha]],Opex!$B:$Y,OPEX_SALES!N$1,1)</f>
        <v>3620.6896551724139</v>
      </c>
      <c r="O81" s="152">
        <f>+VLOOKUP(Opex_VE[[#This Row],[Fecha]],Opex!$B:$Y,OPEX_SALES!O$1,1)</f>
        <v>8528.2413793103442</v>
      </c>
      <c r="P81" s="152">
        <f>+VLOOKUP(Opex_VE[[#This Row],[Fecha]],Opex!$B:$Y,OPEX_SALES!P$1,1)</f>
        <v>4137.9310344827591</v>
      </c>
      <c r="Q81" s="152">
        <f>+VLOOKUP(Opex_VE[[#This Row],[Fecha]],Opex!$B:$Y,OPEX_SALES!Q$1,1)</f>
        <v>11001.724137931034</v>
      </c>
      <c r="R81" s="153">
        <f>+SUM(Opex_VE[[#This Row],[Cajero]:[Domiciliario]])</f>
        <v>140000</v>
      </c>
      <c r="S81" s="152">
        <v>70000</v>
      </c>
      <c r="T81" s="152">
        <v>70000</v>
      </c>
      <c r="U81" s="152">
        <v>0</v>
      </c>
      <c r="V81"/>
    </row>
    <row r="82" spans="1:22" x14ac:dyDescent="0.2">
      <c r="A82" s="149">
        <v>46145</v>
      </c>
      <c r="B82" s="3">
        <f t="shared" si="1"/>
        <v>10</v>
      </c>
      <c r="C82" s="3" t="str">
        <f>+TEXT(Opex_VE[[#This Row],[Fecha]],"ddd")</f>
        <v>dom</v>
      </c>
      <c r="E82" s="14" t="s">
        <v>145</v>
      </c>
      <c r="F82" s="168">
        <f>IFERROR(VLOOKUP(Opex_VE[[#This Row],[Fecha]],Historia!A:B,2,0),_xlfn.XLOOKUP(Opex_VE[[#This Row],[dia]],Forecast!I:I,Forecast!J:J))</f>
        <v>168750</v>
      </c>
      <c r="G82" s="168">
        <f>IFERROR(VLOOKUP(Opex_VE[[#This Row],[Fecha]],Historia!A:C,3,0),_xlfn.XLOOKUP(Opex_VE[[#This Row],[dia]],Forecast!I:I,Forecast!K:K))</f>
        <v>67500</v>
      </c>
      <c r="H82" s="182">
        <f>+Opex_VE[[#This Row],[MG]]-Opex_VE[[#This Row],[Opex]]</f>
        <v>-156685.13793103449</v>
      </c>
      <c r="I82" s="168" t="str">
        <f>IFERROR(VLOOKUP(Opex_VE[[#This Row],[Fecha]],Historia!A:D,4,0),"Forecast")</f>
        <v>Forecast</v>
      </c>
      <c r="J82" s="157">
        <f t="shared" si="2"/>
        <v>560462.8448275862</v>
      </c>
      <c r="K82" s="151">
        <f>+Opex_VE[[#This Row],[Arriendo]]+Opex_VE[[#This Row],[Servicios publicos]]+Opex_VE[[#This Row],[Nomina]]</f>
        <v>224185.13793103449</v>
      </c>
      <c r="L82" s="152">
        <f>+VLOOKUP(Opex_VE[[#This Row],[Fecha]],Opex!$B:$Y,OPEX_SALES!L$1,1)</f>
        <v>56896.551724137928</v>
      </c>
      <c r="M82" s="153">
        <f>+SUM(Opex_VE[[#This Row],[Internet]:[Electricidad]])</f>
        <v>27288.586206896551</v>
      </c>
      <c r="N82" s="152">
        <f>+VLOOKUP(Opex_VE[[#This Row],[Fecha]],Opex!$B:$Y,OPEX_SALES!N$1,1)</f>
        <v>3620.6896551724139</v>
      </c>
      <c r="O82" s="152">
        <f>+VLOOKUP(Opex_VE[[#This Row],[Fecha]],Opex!$B:$Y,OPEX_SALES!O$1,1)</f>
        <v>8528.2413793103442</v>
      </c>
      <c r="P82" s="152">
        <f>+VLOOKUP(Opex_VE[[#This Row],[Fecha]],Opex!$B:$Y,OPEX_SALES!P$1,1)</f>
        <v>4137.9310344827591</v>
      </c>
      <c r="Q82" s="152">
        <f>+VLOOKUP(Opex_VE[[#This Row],[Fecha]],Opex!$B:$Y,OPEX_SALES!Q$1,1)</f>
        <v>11001.724137931034</v>
      </c>
      <c r="R82" s="153">
        <f>+SUM(Opex_VE[[#This Row],[Cajero]:[Domiciliario]])</f>
        <v>140000</v>
      </c>
      <c r="S82" s="152">
        <v>70000</v>
      </c>
      <c r="T82" s="152">
        <v>70000</v>
      </c>
      <c r="U82" s="152">
        <v>0</v>
      </c>
      <c r="V82"/>
    </row>
    <row r="83" spans="1:22" x14ac:dyDescent="0.2">
      <c r="A83" s="149">
        <v>46146</v>
      </c>
      <c r="B83" s="3">
        <f t="shared" si="1"/>
        <v>11</v>
      </c>
      <c r="C83" s="3" t="str">
        <f>+TEXT(Opex_VE[[#This Row],[Fecha]],"ddd")</f>
        <v>lun</v>
      </c>
      <c r="E83" s="14" t="s">
        <v>112</v>
      </c>
      <c r="F83" s="168">
        <f>IFERROR(VLOOKUP(Opex_VE[[#This Row],[Fecha]],Historia!A:B,2,0),_xlfn.XLOOKUP(Opex_VE[[#This Row],[dia]],Forecast!I:I,Forecast!J:J))</f>
        <v>164375</v>
      </c>
      <c r="G83" s="168">
        <f>IFERROR(VLOOKUP(Opex_VE[[#This Row],[Fecha]],Historia!A:C,3,0),_xlfn.XLOOKUP(Opex_VE[[#This Row],[dia]],Forecast!I:I,Forecast!K:K))</f>
        <v>65750</v>
      </c>
      <c r="H83" s="182">
        <f>+Opex_VE[[#This Row],[MG]]-Opex_VE[[#This Row],[Opex]]</f>
        <v>-158435.13793103449</v>
      </c>
      <c r="I83" s="168" t="str">
        <f>IFERROR(VLOOKUP(Opex_VE[[#This Row],[Fecha]],Historia!A:D,4,0),"Forecast")</f>
        <v>Forecast</v>
      </c>
      <c r="J83" s="157">
        <f t="shared" si="2"/>
        <v>560462.8448275862</v>
      </c>
      <c r="K83" s="151">
        <f>+Opex_VE[[#This Row],[Arriendo]]+Opex_VE[[#This Row],[Servicios publicos]]+Opex_VE[[#This Row],[Nomina]]</f>
        <v>224185.13793103449</v>
      </c>
      <c r="L83" s="152">
        <f>+VLOOKUP(Opex_VE[[#This Row],[Fecha]],Opex!$B:$Y,OPEX_SALES!L$1,1)</f>
        <v>56896.551724137928</v>
      </c>
      <c r="M83" s="153">
        <f>+SUM(Opex_VE[[#This Row],[Internet]:[Electricidad]])</f>
        <v>27288.586206896551</v>
      </c>
      <c r="N83" s="152">
        <f>+VLOOKUP(Opex_VE[[#This Row],[Fecha]],Opex!$B:$Y,OPEX_SALES!N$1,1)</f>
        <v>3620.6896551724139</v>
      </c>
      <c r="O83" s="152">
        <f>+VLOOKUP(Opex_VE[[#This Row],[Fecha]],Opex!$B:$Y,OPEX_SALES!O$1,1)</f>
        <v>8528.2413793103442</v>
      </c>
      <c r="P83" s="152">
        <f>+VLOOKUP(Opex_VE[[#This Row],[Fecha]],Opex!$B:$Y,OPEX_SALES!P$1,1)</f>
        <v>4137.9310344827591</v>
      </c>
      <c r="Q83" s="152">
        <f>+VLOOKUP(Opex_VE[[#This Row],[Fecha]],Opex!$B:$Y,OPEX_SALES!Q$1,1)</f>
        <v>11001.724137931034</v>
      </c>
      <c r="R83" s="153">
        <f>+SUM(Opex_VE[[#This Row],[Cajero]:[Domiciliario]])</f>
        <v>140000</v>
      </c>
      <c r="S83" s="152">
        <v>70000</v>
      </c>
      <c r="T83" s="152">
        <v>70000</v>
      </c>
      <c r="U83" s="152">
        <v>0</v>
      </c>
      <c r="V83"/>
    </row>
    <row r="84" spans="1:22" x14ac:dyDescent="0.2">
      <c r="A84" s="149">
        <v>46147</v>
      </c>
      <c r="B84" s="3">
        <f t="shared" si="1"/>
        <v>11</v>
      </c>
      <c r="C84" s="3" t="str">
        <f>+TEXT(Opex_VE[[#This Row],[Fecha]],"ddd")</f>
        <v>mar</v>
      </c>
      <c r="E84" s="14" t="s">
        <v>112</v>
      </c>
      <c r="F84" s="168">
        <f>IFERROR(VLOOKUP(Opex_VE[[#This Row],[Fecha]],Historia!A:B,2,0),_xlfn.XLOOKUP(Opex_VE[[#This Row],[dia]],Forecast!I:I,Forecast!J:J))</f>
        <v>199625</v>
      </c>
      <c r="G84" s="168">
        <f>IFERROR(VLOOKUP(Opex_VE[[#This Row],[Fecha]],Historia!A:C,3,0),_xlfn.XLOOKUP(Opex_VE[[#This Row],[dia]],Forecast!I:I,Forecast!K:K))</f>
        <v>79850</v>
      </c>
      <c r="H84" s="182">
        <f>+Opex_VE[[#This Row],[MG]]-Opex_VE[[#This Row],[Opex]]</f>
        <v>-144335.13793103449</v>
      </c>
      <c r="I84" s="168" t="str">
        <f>IFERROR(VLOOKUP(Opex_VE[[#This Row],[Fecha]],Historia!A:D,4,0),"Forecast")</f>
        <v>Forecast</v>
      </c>
      <c r="J84" s="157">
        <f t="shared" si="2"/>
        <v>560462.8448275862</v>
      </c>
      <c r="K84" s="151">
        <f>+Opex_VE[[#This Row],[Arriendo]]+Opex_VE[[#This Row],[Servicios publicos]]+Opex_VE[[#This Row],[Nomina]]</f>
        <v>224185.13793103449</v>
      </c>
      <c r="L84" s="152">
        <f>+VLOOKUP(Opex_VE[[#This Row],[Fecha]],Opex!$B:$Y,OPEX_SALES!L$1,1)</f>
        <v>56896.551724137928</v>
      </c>
      <c r="M84" s="153">
        <f>+SUM(Opex_VE[[#This Row],[Internet]:[Electricidad]])</f>
        <v>27288.586206896551</v>
      </c>
      <c r="N84" s="152">
        <f>+VLOOKUP(Opex_VE[[#This Row],[Fecha]],Opex!$B:$Y,OPEX_SALES!N$1,1)</f>
        <v>3620.6896551724139</v>
      </c>
      <c r="O84" s="152">
        <f>+VLOOKUP(Opex_VE[[#This Row],[Fecha]],Opex!$B:$Y,OPEX_SALES!O$1,1)</f>
        <v>8528.2413793103442</v>
      </c>
      <c r="P84" s="152">
        <f>+VLOOKUP(Opex_VE[[#This Row],[Fecha]],Opex!$B:$Y,OPEX_SALES!P$1,1)</f>
        <v>4137.9310344827591</v>
      </c>
      <c r="Q84" s="152">
        <f>+VLOOKUP(Opex_VE[[#This Row],[Fecha]],Opex!$B:$Y,OPEX_SALES!Q$1,1)</f>
        <v>11001.724137931034</v>
      </c>
      <c r="R84" s="153">
        <f>+SUM(Opex_VE[[#This Row],[Cajero]:[Domiciliario]])</f>
        <v>140000</v>
      </c>
      <c r="S84" s="152">
        <v>70000</v>
      </c>
      <c r="T84" s="152">
        <v>70000</v>
      </c>
      <c r="U84" s="152">
        <v>0</v>
      </c>
      <c r="V84"/>
    </row>
    <row r="85" spans="1:22" x14ac:dyDescent="0.2">
      <c r="A85" s="149">
        <v>46148</v>
      </c>
      <c r="B85" s="3">
        <f t="shared" ref="B85:B148" si="3">+B78+1</f>
        <v>11</v>
      </c>
      <c r="C85" s="3" t="str">
        <f>+TEXT(Opex_VE[[#This Row],[Fecha]],"ddd")</f>
        <v>mié</v>
      </c>
      <c r="E85" s="14" t="s">
        <v>112</v>
      </c>
      <c r="F85" s="168">
        <f>IFERROR(VLOOKUP(Opex_VE[[#This Row],[Fecha]],Historia!A:B,2,0),_xlfn.XLOOKUP(Opex_VE[[#This Row],[dia]],Forecast!I:I,Forecast!J:J))</f>
        <v>339250</v>
      </c>
      <c r="G85" s="168">
        <f>IFERROR(VLOOKUP(Opex_VE[[#This Row],[Fecha]],Historia!A:C,3,0),_xlfn.XLOOKUP(Opex_VE[[#This Row],[dia]],Forecast!I:I,Forecast!K:K))</f>
        <v>135700</v>
      </c>
      <c r="H85" s="182">
        <f>+Opex_VE[[#This Row],[MG]]-Opex_VE[[#This Row],[Opex]]</f>
        <v>-88485.137931034493</v>
      </c>
      <c r="I85" s="168" t="str">
        <f>IFERROR(VLOOKUP(Opex_VE[[#This Row],[Fecha]],Historia!A:D,4,0),"Forecast")</f>
        <v>Forecast</v>
      </c>
      <c r="J85" s="157">
        <f t="shared" si="2"/>
        <v>560462.8448275862</v>
      </c>
      <c r="K85" s="151">
        <f>+Opex_VE[[#This Row],[Arriendo]]+Opex_VE[[#This Row],[Servicios publicos]]+Opex_VE[[#This Row],[Nomina]]</f>
        <v>224185.13793103449</v>
      </c>
      <c r="L85" s="152">
        <f>+VLOOKUP(Opex_VE[[#This Row],[Fecha]],Opex!$B:$Y,OPEX_SALES!L$1,1)</f>
        <v>56896.551724137928</v>
      </c>
      <c r="M85" s="153">
        <f>+SUM(Opex_VE[[#This Row],[Internet]:[Electricidad]])</f>
        <v>27288.586206896551</v>
      </c>
      <c r="N85" s="152">
        <f>+VLOOKUP(Opex_VE[[#This Row],[Fecha]],Opex!$B:$Y,OPEX_SALES!N$1,1)</f>
        <v>3620.6896551724139</v>
      </c>
      <c r="O85" s="152">
        <f>+VLOOKUP(Opex_VE[[#This Row],[Fecha]],Opex!$B:$Y,OPEX_SALES!O$1,1)</f>
        <v>8528.2413793103442</v>
      </c>
      <c r="P85" s="152">
        <f>+VLOOKUP(Opex_VE[[#This Row],[Fecha]],Opex!$B:$Y,OPEX_SALES!P$1,1)</f>
        <v>4137.9310344827591</v>
      </c>
      <c r="Q85" s="152">
        <f>+VLOOKUP(Opex_VE[[#This Row],[Fecha]],Opex!$B:$Y,OPEX_SALES!Q$1,1)</f>
        <v>11001.724137931034</v>
      </c>
      <c r="R85" s="153">
        <f>+SUM(Opex_VE[[#This Row],[Cajero]:[Domiciliario]])</f>
        <v>140000</v>
      </c>
      <c r="S85" s="152">
        <v>70000</v>
      </c>
      <c r="T85" s="152">
        <v>70000</v>
      </c>
      <c r="U85" s="152">
        <v>0</v>
      </c>
      <c r="V85"/>
    </row>
    <row r="86" spans="1:22" x14ac:dyDescent="0.2">
      <c r="A86" s="149">
        <v>46149</v>
      </c>
      <c r="B86" s="3">
        <f t="shared" si="3"/>
        <v>11</v>
      </c>
      <c r="C86" s="3" t="str">
        <f>+TEXT(Opex_VE[[#This Row],[Fecha]],"ddd")</f>
        <v>jue</v>
      </c>
      <c r="E86" s="14" t="s">
        <v>112</v>
      </c>
      <c r="F86" s="168">
        <f>IFERROR(VLOOKUP(Opex_VE[[#This Row],[Fecha]],Historia!A:B,2,0),_xlfn.XLOOKUP(Opex_VE[[#This Row],[dia]],Forecast!I:I,Forecast!J:J))</f>
        <v>274975</v>
      </c>
      <c r="G86" s="168">
        <f>IFERROR(VLOOKUP(Opex_VE[[#This Row],[Fecha]],Historia!A:C,3,0),_xlfn.XLOOKUP(Opex_VE[[#This Row],[dia]],Forecast!I:I,Forecast!K:K))</f>
        <v>109990</v>
      </c>
      <c r="H86" s="182">
        <f>+Opex_VE[[#This Row],[MG]]-Opex_VE[[#This Row],[Opex]]</f>
        <v>-114195.13793103449</v>
      </c>
      <c r="I86" s="168" t="str">
        <f>IFERROR(VLOOKUP(Opex_VE[[#This Row],[Fecha]],Historia!A:D,4,0),"Forecast")</f>
        <v>Forecast</v>
      </c>
      <c r="J86" s="157">
        <f t="shared" si="2"/>
        <v>560462.8448275862</v>
      </c>
      <c r="K86" s="151">
        <f>+Opex_VE[[#This Row],[Arriendo]]+Opex_VE[[#This Row],[Servicios publicos]]+Opex_VE[[#This Row],[Nomina]]</f>
        <v>224185.13793103449</v>
      </c>
      <c r="L86" s="152">
        <f>+VLOOKUP(Opex_VE[[#This Row],[Fecha]],Opex!$B:$Y,OPEX_SALES!L$1,1)</f>
        <v>56896.551724137928</v>
      </c>
      <c r="M86" s="153">
        <f>+SUM(Opex_VE[[#This Row],[Internet]:[Electricidad]])</f>
        <v>27288.586206896551</v>
      </c>
      <c r="N86" s="152">
        <f>+VLOOKUP(Opex_VE[[#This Row],[Fecha]],Opex!$B:$Y,OPEX_SALES!N$1,1)</f>
        <v>3620.6896551724139</v>
      </c>
      <c r="O86" s="152">
        <f>+VLOOKUP(Opex_VE[[#This Row],[Fecha]],Opex!$B:$Y,OPEX_SALES!O$1,1)</f>
        <v>8528.2413793103442</v>
      </c>
      <c r="P86" s="152">
        <f>+VLOOKUP(Opex_VE[[#This Row],[Fecha]],Opex!$B:$Y,OPEX_SALES!P$1,1)</f>
        <v>4137.9310344827591</v>
      </c>
      <c r="Q86" s="152">
        <f>+VLOOKUP(Opex_VE[[#This Row],[Fecha]],Opex!$B:$Y,OPEX_SALES!Q$1,1)</f>
        <v>11001.724137931034</v>
      </c>
      <c r="R86" s="153">
        <f>+SUM(Opex_VE[[#This Row],[Cajero]:[Domiciliario]])</f>
        <v>140000</v>
      </c>
      <c r="S86" s="152">
        <v>70000</v>
      </c>
      <c r="T86" s="152">
        <v>70000</v>
      </c>
      <c r="U86" s="152">
        <v>0</v>
      </c>
      <c r="V86"/>
    </row>
    <row r="87" spans="1:22" x14ac:dyDescent="0.2">
      <c r="A87" s="149">
        <v>46150</v>
      </c>
      <c r="B87" s="3">
        <f t="shared" si="3"/>
        <v>11</v>
      </c>
      <c r="C87" s="3" t="str">
        <f>+TEXT(Opex_VE[[#This Row],[Fecha]],"ddd")</f>
        <v>vie</v>
      </c>
      <c r="E87" s="14" t="s">
        <v>217</v>
      </c>
      <c r="F87" s="168">
        <f>IFERROR(VLOOKUP(Opex_VE[[#This Row],[Fecha]],Historia!A:B,2,0),_xlfn.XLOOKUP(Opex_VE[[#This Row],[dia]],Forecast!I:I,Forecast!J:J))</f>
        <v>184566.66666666666</v>
      </c>
      <c r="G87" s="168">
        <f>IFERROR(VLOOKUP(Opex_VE[[#This Row],[Fecha]],Historia!A:C,3,0),_xlfn.XLOOKUP(Opex_VE[[#This Row],[dia]],Forecast!I:I,Forecast!K:K))</f>
        <v>73826.666666666672</v>
      </c>
      <c r="H87" s="182">
        <f>+Opex_VE[[#This Row],[MG]]-Opex_VE[[#This Row],[Opex]]</f>
        <v>-150358.47126436781</v>
      </c>
      <c r="I87" s="168" t="str">
        <f>IFERROR(VLOOKUP(Opex_VE[[#This Row],[Fecha]],Historia!A:D,4,0),"Forecast")</f>
        <v>Forecast</v>
      </c>
      <c r="J87" s="157">
        <f t="shared" si="2"/>
        <v>560462.8448275862</v>
      </c>
      <c r="K87" s="151">
        <f>+Opex_VE[[#This Row],[Arriendo]]+Opex_VE[[#This Row],[Servicios publicos]]+Opex_VE[[#This Row],[Nomina]]</f>
        <v>224185.13793103449</v>
      </c>
      <c r="L87" s="152">
        <f>+VLOOKUP(Opex_VE[[#This Row],[Fecha]],Opex!$B:$Y,OPEX_SALES!L$1,1)</f>
        <v>56896.551724137928</v>
      </c>
      <c r="M87" s="153">
        <f>+SUM(Opex_VE[[#This Row],[Internet]:[Electricidad]])</f>
        <v>27288.586206896551</v>
      </c>
      <c r="N87" s="152">
        <f>+VLOOKUP(Opex_VE[[#This Row],[Fecha]],Opex!$B:$Y,OPEX_SALES!N$1,1)</f>
        <v>3620.6896551724139</v>
      </c>
      <c r="O87" s="152">
        <f>+VLOOKUP(Opex_VE[[#This Row],[Fecha]],Opex!$B:$Y,OPEX_SALES!O$1,1)</f>
        <v>8528.2413793103442</v>
      </c>
      <c r="P87" s="152">
        <f>+VLOOKUP(Opex_VE[[#This Row],[Fecha]],Opex!$B:$Y,OPEX_SALES!P$1,1)</f>
        <v>4137.9310344827591</v>
      </c>
      <c r="Q87" s="152">
        <f>+VLOOKUP(Opex_VE[[#This Row],[Fecha]],Opex!$B:$Y,OPEX_SALES!Q$1,1)</f>
        <v>11001.724137931034</v>
      </c>
      <c r="R87" s="153">
        <f>+SUM(Opex_VE[[#This Row],[Cajero]:[Domiciliario]])</f>
        <v>140000</v>
      </c>
      <c r="S87" s="152">
        <v>70000</v>
      </c>
      <c r="T87" s="152">
        <v>70000</v>
      </c>
      <c r="U87" s="152">
        <v>0</v>
      </c>
      <c r="V87"/>
    </row>
    <row r="88" spans="1:22" x14ac:dyDescent="0.2">
      <c r="A88" s="149">
        <v>46151</v>
      </c>
      <c r="B88" s="3">
        <f t="shared" si="3"/>
        <v>11</v>
      </c>
      <c r="C88" s="3" t="str">
        <f>+TEXT(Opex_VE[[#This Row],[Fecha]],"ddd")</f>
        <v>sáb</v>
      </c>
      <c r="E88" s="14" t="s">
        <v>113</v>
      </c>
      <c r="F88" s="168">
        <f>IFERROR(VLOOKUP(Opex_VE[[#This Row],[Fecha]],Historia!A:B,2,0),_xlfn.XLOOKUP(Opex_VE[[#This Row],[dia]],Forecast!I:I,Forecast!J:J))</f>
        <v>398333.33333333331</v>
      </c>
      <c r="G88" s="168">
        <f>IFERROR(VLOOKUP(Opex_VE[[#This Row],[Fecha]],Historia!A:C,3,0),_xlfn.XLOOKUP(Opex_VE[[#This Row],[dia]],Forecast!I:I,Forecast!K:K))</f>
        <v>159333.33333333334</v>
      </c>
      <c r="H88" s="182">
        <f>+Opex_VE[[#This Row],[MG]]-Opex_VE[[#This Row],[Opex]]</f>
        <v>-64851.80459770115</v>
      </c>
      <c r="I88" s="169" t="str">
        <f>IFERROR(VLOOKUP(Opex_VE[[#This Row],[Fecha]],Historia!A:D,4,0),"Forecast")</f>
        <v>Forecast</v>
      </c>
      <c r="J88" s="157">
        <f t="shared" si="2"/>
        <v>560462.8448275862</v>
      </c>
      <c r="K88" s="151">
        <f>+Opex_VE[[#This Row],[Arriendo]]+Opex_VE[[#This Row],[Servicios publicos]]+Opex_VE[[#This Row],[Nomina]]</f>
        <v>224185.13793103449</v>
      </c>
      <c r="L88" s="152">
        <f>+VLOOKUP(Opex_VE[[#This Row],[Fecha]],Opex!$B:$Y,OPEX_SALES!L$1,1)</f>
        <v>56896.551724137928</v>
      </c>
      <c r="M88" s="153">
        <f>+SUM(Opex_VE[[#This Row],[Internet]:[Electricidad]])</f>
        <v>27288.586206896551</v>
      </c>
      <c r="N88" s="152">
        <f>+VLOOKUP(Opex_VE[[#This Row],[Fecha]],Opex!$B:$Y,OPEX_SALES!N$1,1)</f>
        <v>3620.6896551724139</v>
      </c>
      <c r="O88" s="152">
        <f>+VLOOKUP(Opex_VE[[#This Row],[Fecha]],Opex!$B:$Y,OPEX_SALES!O$1,1)</f>
        <v>8528.2413793103442</v>
      </c>
      <c r="P88" s="152">
        <f>+VLOOKUP(Opex_VE[[#This Row],[Fecha]],Opex!$B:$Y,OPEX_SALES!P$1,1)</f>
        <v>4137.9310344827591</v>
      </c>
      <c r="Q88" s="152">
        <f>+VLOOKUP(Opex_VE[[#This Row],[Fecha]],Opex!$B:$Y,OPEX_SALES!Q$1,1)</f>
        <v>11001.724137931034</v>
      </c>
      <c r="R88" s="153">
        <f>+SUM(Opex_VE[[#This Row],[Cajero]:[Domiciliario]])</f>
        <v>140000</v>
      </c>
      <c r="S88" s="152">
        <v>70000</v>
      </c>
      <c r="T88" s="152">
        <v>70000</v>
      </c>
      <c r="U88" s="152">
        <v>0</v>
      </c>
      <c r="V88"/>
    </row>
    <row r="89" spans="1:22" x14ac:dyDescent="0.2">
      <c r="A89" s="149">
        <v>46152</v>
      </c>
      <c r="B89" s="3">
        <f t="shared" si="3"/>
        <v>11</v>
      </c>
      <c r="C89" s="3" t="str">
        <f>+TEXT(Opex_VE[[#This Row],[Fecha]],"ddd")</f>
        <v>dom</v>
      </c>
      <c r="E89" s="14" t="s">
        <v>145</v>
      </c>
      <c r="F89" s="168">
        <f>IFERROR(VLOOKUP(Opex_VE[[#This Row],[Fecha]],Historia!A:B,2,0),_xlfn.XLOOKUP(Opex_VE[[#This Row],[dia]],Forecast!I:I,Forecast!J:J))</f>
        <v>168750</v>
      </c>
      <c r="G89" s="168">
        <f>IFERROR(VLOOKUP(Opex_VE[[#This Row],[Fecha]],Historia!A:C,3,0),_xlfn.XLOOKUP(Opex_VE[[#This Row],[dia]],Forecast!I:I,Forecast!K:K))</f>
        <v>67500</v>
      </c>
      <c r="H89" s="182">
        <f>+Opex_VE[[#This Row],[MG]]-Opex_VE[[#This Row],[Opex]]</f>
        <v>-156685.13793103449</v>
      </c>
      <c r="I89" s="168" t="str">
        <f>IFERROR(VLOOKUP(Opex_VE[[#This Row],[Fecha]],Historia!A:D,4,0),"Forecast")</f>
        <v>Forecast</v>
      </c>
      <c r="J89" s="157">
        <f t="shared" si="2"/>
        <v>560462.8448275862</v>
      </c>
      <c r="K89" s="151">
        <f>+Opex_VE[[#This Row],[Arriendo]]+Opex_VE[[#This Row],[Servicios publicos]]+Opex_VE[[#This Row],[Nomina]]</f>
        <v>224185.13793103449</v>
      </c>
      <c r="L89" s="152">
        <f>+VLOOKUP(Opex_VE[[#This Row],[Fecha]],Opex!$B:$Y,OPEX_SALES!L$1,1)</f>
        <v>56896.551724137928</v>
      </c>
      <c r="M89" s="153">
        <f>+SUM(Opex_VE[[#This Row],[Internet]:[Electricidad]])</f>
        <v>27288.586206896551</v>
      </c>
      <c r="N89" s="152">
        <f>+VLOOKUP(Opex_VE[[#This Row],[Fecha]],Opex!$B:$Y,OPEX_SALES!N$1,1)</f>
        <v>3620.6896551724139</v>
      </c>
      <c r="O89" s="152">
        <f>+VLOOKUP(Opex_VE[[#This Row],[Fecha]],Opex!$B:$Y,OPEX_SALES!O$1,1)</f>
        <v>8528.2413793103442</v>
      </c>
      <c r="P89" s="152">
        <f>+VLOOKUP(Opex_VE[[#This Row],[Fecha]],Opex!$B:$Y,OPEX_SALES!P$1,1)</f>
        <v>4137.9310344827591</v>
      </c>
      <c r="Q89" s="152">
        <f>+VLOOKUP(Opex_VE[[#This Row],[Fecha]],Opex!$B:$Y,OPEX_SALES!Q$1,1)</f>
        <v>11001.724137931034</v>
      </c>
      <c r="R89" s="153">
        <f>+SUM(Opex_VE[[#This Row],[Cajero]:[Domiciliario]])</f>
        <v>140000</v>
      </c>
      <c r="S89" s="152">
        <v>70000</v>
      </c>
      <c r="T89" s="152">
        <v>70000</v>
      </c>
      <c r="U89" s="152">
        <v>0</v>
      </c>
      <c r="V89"/>
    </row>
    <row r="90" spans="1:22" x14ac:dyDescent="0.2">
      <c r="A90" s="149">
        <v>46153</v>
      </c>
      <c r="B90" s="3">
        <f t="shared" si="3"/>
        <v>12</v>
      </c>
      <c r="C90" s="3" t="str">
        <f>+TEXT(Opex_VE[[#This Row],[Fecha]],"ddd")</f>
        <v>lun</v>
      </c>
      <c r="E90" s="14" t="s">
        <v>112</v>
      </c>
      <c r="F90" s="168">
        <f>IFERROR(VLOOKUP(Opex_VE[[#This Row],[Fecha]],Historia!A:B,2,0),_xlfn.XLOOKUP(Opex_VE[[#This Row],[dia]],Forecast!I:I,Forecast!J:J))</f>
        <v>164375</v>
      </c>
      <c r="G90" s="168">
        <f>IFERROR(VLOOKUP(Opex_VE[[#This Row],[Fecha]],Historia!A:C,3,0),_xlfn.XLOOKUP(Opex_VE[[#This Row],[dia]],Forecast!I:I,Forecast!K:K))</f>
        <v>65750</v>
      </c>
      <c r="H90" s="182">
        <f>+Opex_VE[[#This Row],[MG]]-Opex_VE[[#This Row],[Opex]]</f>
        <v>-158435.13793103449</v>
      </c>
      <c r="I90" s="168" t="str">
        <f>IFERROR(VLOOKUP(Opex_VE[[#This Row],[Fecha]],Historia!A:D,4,0),"Forecast")</f>
        <v>Forecast</v>
      </c>
      <c r="J90" s="157">
        <f t="shared" si="2"/>
        <v>560462.8448275862</v>
      </c>
      <c r="K90" s="151">
        <f>+Opex_VE[[#This Row],[Arriendo]]+Opex_VE[[#This Row],[Servicios publicos]]+Opex_VE[[#This Row],[Nomina]]</f>
        <v>224185.13793103449</v>
      </c>
      <c r="L90" s="152">
        <f>+VLOOKUP(Opex_VE[[#This Row],[Fecha]],Opex!$B:$Y,OPEX_SALES!L$1,1)</f>
        <v>56896.551724137928</v>
      </c>
      <c r="M90" s="153">
        <f>+SUM(Opex_VE[[#This Row],[Internet]:[Electricidad]])</f>
        <v>27288.586206896551</v>
      </c>
      <c r="N90" s="152">
        <f>+VLOOKUP(Opex_VE[[#This Row],[Fecha]],Opex!$B:$Y,OPEX_SALES!N$1,1)</f>
        <v>3620.6896551724139</v>
      </c>
      <c r="O90" s="152">
        <f>+VLOOKUP(Opex_VE[[#This Row],[Fecha]],Opex!$B:$Y,OPEX_SALES!O$1,1)</f>
        <v>8528.2413793103442</v>
      </c>
      <c r="P90" s="152">
        <f>+VLOOKUP(Opex_VE[[#This Row],[Fecha]],Opex!$B:$Y,OPEX_SALES!P$1,1)</f>
        <v>4137.9310344827591</v>
      </c>
      <c r="Q90" s="152">
        <f>+VLOOKUP(Opex_VE[[#This Row],[Fecha]],Opex!$B:$Y,OPEX_SALES!Q$1,1)</f>
        <v>11001.724137931034</v>
      </c>
      <c r="R90" s="153">
        <f>+SUM(Opex_VE[[#This Row],[Cajero]:[Domiciliario]])</f>
        <v>140000</v>
      </c>
      <c r="S90" s="152">
        <v>70000</v>
      </c>
      <c r="T90" s="152">
        <v>70000</v>
      </c>
      <c r="U90" s="152">
        <v>0</v>
      </c>
      <c r="V90"/>
    </row>
    <row r="91" spans="1:22" x14ac:dyDescent="0.2">
      <c r="A91" s="149">
        <v>46154</v>
      </c>
      <c r="B91" s="3">
        <f t="shared" si="3"/>
        <v>12</v>
      </c>
      <c r="C91" s="3" t="str">
        <f>+TEXT(Opex_VE[[#This Row],[Fecha]],"ddd")</f>
        <v>mar</v>
      </c>
      <c r="E91" s="14" t="s">
        <v>112</v>
      </c>
      <c r="F91" s="168">
        <f>IFERROR(VLOOKUP(Opex_VE[[#This Row],[Fecha]],Historia!A:B,2,0),_xlfn.XLOOKUP(Opex_VE[[#This Row],[dia]],Forecast!I:I,Forecast!J:J))</f>
        <v>199625</v>
      </c>
      <c r="G91" s="168">
        <f>IFERROR(VLOOKUP(Opex_VE[[#This Row],[Fecha]],Historia!A:C,3,0),_xlfn.XLOOKUP(Opex_VE[[#This Row],[dia]],Forecast!I:I,Forecast!K:K))</f>
        <v>79850</v>
      </c>
      <c r="H91" s="182">
        <f>+Opex_VE[[#This Row],[MG]]-Opex_VE[[#This Row],[Opex]]</f>
        <v>-144335.13793103449</v>
      </c>
      <c r="I91" s="168" t="str">
        <f>IFERROR(VLOOKUP(Opex_VE[[#This Row],[Fecha]],Historia!A:D,4,0),"Forecast")</f>
        <v>Forecast</v>
      </c>
      <c r="J91" s="157">
        <f t="shared" si="2"/>
        <v>560462.8448275862</v>
      </c>
      <c r="K91" s="151">
        <f>+Opex_VE[[#This Row],[Arriendo]]+Opex_VE[[#This Row],[Servicios publicos]]+Opex_VE[[#This Row],[Nomina]]</f>
        <v>224185.13793103449</v>
      </c>
      <c r="L91" s="152">
        <f>+VLOOKUP(Opex_VE[[#This Row],[Fecha]],Opex!$B:$Y,OPEX_SALES!L$1,1)</f>
        <v>56896.551724137928</v>
      </c>
      <c r="M91" s="153">
        <f>+SUM(Opex_VE[[#This Row],[Internet]:[Electricidad]])</f>
        <v>27288.586206896551</v>
      </c>
      <c r="N91" s="152">
        <f>+VLOOKUP(Opex_VE[[#This Row],[Fecha]],Opex!$B:$Y,OPEX_SALES!N$1,1)</f>
        <v>3620.6896551724139</v>
      </c>
      <c r="O91" s="152">
        <f>+VLOOKUP(Opex_VE[[#This Row],[Fecha]],Opex!$B:$Y,OPEX_SALES!O$1,1)</f>
        <v>8528.2413793103442</v>
      </c>
      <c r="P91" s="152">
        <f>+VLOOKUP(Opex_VE[[#This Row],[Fecha]],Opex!$B:$Y,OPEX_SALES!P$1,1)</f>
        <v>4137.9310344827591</v>
      </c>
      <c r="Q91" s="152">
        <f>+VLOOKUP(Opex_VE[[#This Row],[Fecha]],Opex!$B:$Y,OPEX_SALES!Q$1,1)</f>
        <v>11001.724137931034</v>
      </c>
      <c r="R91" s="153">
        <f>+SUM(Opex_VE[[#This Row],[Cajero]:[Domiciliario]])</f>
        <v>140000</v>
      </c>
      <c r="S91" s="152">
        <v>70000</v>
      </c>
      <c r="T91" s="152">
        <v>70000</v>
      </c>
      <c r="U91" s="152">
        <v>0</v>
      </c>
      <c r="V91"/>
    </row>
    <row r="92" spans="1:22" x14ac:dyDescent="0.2">
      <c r="A92" s="149">
        <v>46155</v>
      </c>
      <c r="B92" s="3">
        <f t="shared" si="3"/>
        <v>12</v>
      </c>
      <c r="C92" s="3" t="str">
        <f>+TEXT(Opex_VE[[#This Row],[Fecha]],"ddd")</f>
        <v>mié</v>
      </c>
      <c r="E92" s="14" t="s">
        <v>112</v>
      </c>
      <c r="F92" s="168">
        <f>IFERROR(VLOOKUP(Opex_VE[[#This Row],[Fecha]],Historia!A:B,2,0),_xlfn.XLOOKUP(Opex_VE[[#This Row],[dia]],Forecast!I:I,Forecast!J:J))</f>
        <v>339250</v>
      </c>
      <c r="G92" s="168">
        <f>IFERROR(VLOOKUP(Opex_VE[[#This Row],[Fecha]],Historia!A:C,3,0),_xlfn.XLOOKUP(Opex_VE[[#This Row],[dia]],Forecast!I:I,Forecast!K:K))</f>
        <v>135700</v>
      </c>
      <c r="H92" s="182">
        <f>+Opex_VE[[#This Row],[MG]]-Opex_VE[[#This Row],[Opex]]</f>
        <v>-88485.137931034493</v>
      </c>
      <c r="I92" s="168" t="str">
        <f>IFERROR(VLOOKUP(Opex_VE[[#This Row],[Fecha]],Historia!A:D,4,0),"Forecast")</f>
        <v>Forecast</v>
      </c>
      <c r="J92" s="157">
        <f t="shared" si="2"/>
        <v>560462.8448275862</v>
      </c>
      <c r="K92" s="151">
        <f>+Opex_VE[[#This Row],[Arriendo]]+Opex_VE[[#This Row],[Servicios publicos]]+Opex_VE[[#This Row],[Nomina]]</f>
        <v>224185.13793103449</v>
      </c>
      <c r="L92" s="152">
        <f>+VLOOKUP(Opex_VE[[#This Row],[Fecha]],Opex!$B:$Y,OPEX_SALES!L$1,1)</f>
        <v>56896.551724137928</v>
      </c>
      <c r="M92" s="153">
        <f>+SUM(Opex_VE[[#This Row],[Internet]:[Electricidad]])</f>
        <v>27288.586206896551</v>
      </c>
      <c r="N92" s="152">
        <f>+VLOOKUP(Opex_VE[[#This Row],[Fecha]],Opex!$B:$Y,OPEX_SALES!N$1,1)</f>
        <v>3620.6896551724139</v>
      </c>
      <c r="O92" s="152">
        <f>+VLOOKUP(Opex_VE[[#This Row],[Fecha]],Opex!$B:$Y,OPEX_SALES!O$1,1)</f>
        <v>8528.2413793103442</v>
      </c>
      <c r="P92" s="152">
        <f>+VLOOKUP(Opex_VE[[#This Row],[Fecha]],Opex!$B:$Y,OPEX_SALES!P$1,1)</f>
        <v>4137.9310344827591</v>
      </c>
      <c r="Q92" s="152">
        <f>+VLOOKUP(Opex_VE[[#This Row],[Fecha]],Opex!$B:$Y,OPEX_SALES!Q$1,1)</f>
        <v>11001.724137931034</v>
      </c>
      <c r="R92" s="153">
        <f>+SUM(Opex_VE[[#This Row],[Cajero]:[Domiciliario]])</f>
        <v>140000</v>
      </c>
      <c r="S92" s="152">
        <v>70000</v>
      </c>
      <c r="T92" s="152">
        <v>70000</v>
      </c>
      <c r="U92" s="152">
        <v>0</v>
      </c>
      <c r="V92"/>
    </row>
    <row r="93" spans="1:22" x14ac:dyDescent="0.2">
      <c r="A93" s="149">
        <v>46156</v>
      </c>
      <c r="B93" s="3">
        <f t="shared" si="3"/>
        <v>12</v>
      </c>
      <c r="C93" s="3" t="str">
        <f>+TEXT(Opex_VE[[#This Row],[Fecha]],"ddd")</f>
        <v>jue</v>
      </c>
      <c r="E93" s="14" t="s">
        <v>112</v>
      </c>
      <c r="F93" s="168">
        <f>IFERROR(VLOOKUP(Opex_VE[[#This Row],[Fecha]],Historia!A:B,2,0),_xlfn.XLOOKUP(Opex_VE[[#This Row],[dia]],Forecast!I:I,Forecast!J:J))</f>
        <v>274975</v>
      </c>
      <c r="G93" s="168">
        <f>IFERROR(VLOOKUP(Opex_VE[[#This Row],[Fecha]],Historia!A:C,3,0),_xlfn.XLOOKUP(Opex_VE[[#This Row],[dia]],Forecast!I:I,Forecast!K:K))</f>
        <v>109990</v>
      </c>
      <c r="H93" s="182">
        <f>+Opex_VE[[#This Row],[MG]]-Opex_VE[[#This Row],[Opex]]</f>
        <v>-114195.13793103449</v>
      </c>
      <c r="I93" s="168" t="str">
        <f>IFERROR(VLOOKUP(Opex_VE[[#This Row],[Fecha]],Historia!A:D,4,0),"Forecast")</f>
        <v>Forecast</v>
      </c>
      <c r="J93" s="157">
        <f t="shared" si="2"/>
        <v>560462.8448275862</v>
      </c>
      <c r="K93" s="151">
        <f>+Opex_VE[[#This Row],[Arriendo]]+Opex_VE[[#This Row],[Servicios publicos]]+Opex_VE[[#This Row],[Nomina]]</f>
        <v>224185.13793103449</v>
      </c>
      <c r="L93" s="152">
        <f>+VLOOKUP(Opex_VE[[#This Row],[Fecha]],Opex!$B:$Y,OPEX_SALES!L$1,1)</f>
        <v>56896.551724137928</v>
      </c>
      <c r="M93" s="153">
        <f>+SUM(Opex_VE[[#This Row],[Internet]:[Electricidad]])</f>
        <v>27288.586206896551</v>
      </c>
      <c r="N93" s="152">
        <f>+VLOOKUP(Opex_VE[[#This Row],[Fecha]],Opex!$B:$Y,OPEX_SALES!N$1,1)</f>
        <v>3620.6896551724139</v>
      </c>
      <c r="O93" s="152">
        <f>+VLOOKUP(Opex_VE[[#This Row],[Fecha]],Opex!$B:$Y,OPEX_SALES!O$1,1)</f>
        <v>8528.2413793103442</v>
      </c>
      <c r="P93" s="152">
        <f>+VLOOKUP(Opex_VE[[#This Row],[Fecha]],Opex!$B:$Y,OPEX_SALES!P$1,1)</f>
        <v>4137.9310344827591</v>
      </c>
      <c r="Q93" s="152">
        <f>+VLOOKUP(Opex_VE[[#This Row],[Fecha]],Opex!$B:$Y,OPEX_SALES!Q$1,1)</f>
        <v>11001.724137931034</v>
      </c>
      <c r="R93" s="153">
        <f>+SUM(Opex_VE[[#This Row],[Cajero]:[Domiciliario]])</f>
        <v>140000</v>
      </c>
      <c r="S93" s="152">
        <v>70000</v>
      </c>
      <c r="T93" s="152">
        <v>70000</v>
      </c>
      <c r="U93" s="152">
        <v>0</v>
      </c>
      <c r="V93"/>
    </row>
    <row r="94" spans="1:22" x14ac:dyDescent="0.2">
      <c r="A94" s="149">
        <v>46157</v>
      </c>
      <c r="B94" s="3">
        <f t="shared" si="3"/>
        <v>12</v>
      </c>
      <c r="C94" s="3" t="str">
        <f>+TEXT(Opex_VE[[#This Row],[Fecha]],"ddd")</f>
        <v>vie</v>
      </c>
      <c r="E94" s="14" t="s">
        <v>217</v>
      </c>
      <c r="F94" s="168">
        <f>IFERROR(VLOOKUP(Opex_VE[[#This Row],[Fecha]],Historia!A:B,2,0),_xlfn.XLOOKUP(Opex_VE[[#This Row],[dia]],Forecast!I:I,Forecast!J:J))</f>
        <v>184566.66666666666</v>
      </c>
      <c r="G94" s="168">
        <f>IFERROR(VLOOKUP(Opex_VE[[#This Row],[Fecha]],Historia!A:C,3,0),_xlfn.XLOOKUP(Opex_VE[[#This Row],[dia]],Forecast!I:I,Forecast!K:K))</f>
        <v>73826.666666666672</v>
      </c>
      <c r="H94" s="182">
        <f>+Opex_VE[[#This Row],[MG]]-Opex_VE[[#This Row],[Opex]]</f>
        <v>-147552.29999999999</v>
      </c>
      <c r="I94" s="168" t="str">
        <f>IFERROR(VLOOKUP(Opex_VE[[#This Row],[Fecha]],Historia!A:D,4,0),"Forecast")</f>
        <v>Forecast</v>
      </c>
      <c r="J94" s="157">
        <f t="shared" si="2"/>
        <v>553447.41666666663</v>
      </c>
      <c r="K94" s="151">
        <f>+Opex_VE[[#This Row],[Arriendo]]+Opex_VE[[#This Row],[Servicios publicos]]+Opex_VE[[#This Row],[Nomina]]</f>
        <v>221378.96666666667</v>
      </c>
      <c r="L94" s="152">
        <f>+VLOOKUP(Opex_VE[[#This Row],[Fecha]],Opex!$B:$Y,OPEX_SALES!L$1,1)</f>
        <v>55000</v>
      </c>
      <c r="M94" s="153">
        <f>+SUM(Opex_VE[[#This Row],[Internet]:[Electricidad]])</f>
        <v>26378.966666666667</v>
      </c>
      <c r="N94" s="152">
        <f>+VLOOKUP(Opex_VE[[#This Row],[Fecha]],Opex!$B:$Y,OPEX_SALES!N$1,1)</f>
        <v>3500</v>
      </c>
      <c r="O94" s="152">
        <f>+VLOOKUP(Opex_VE[[#This Row],[Fecha]],Opex!$B:$Y,OPEX_SALES!O$1,1)</f>
        <v>8243.9666666666672</v>
      </c>
      <c r="P94" s="152">
        <f>+VLOOKUP(Opex_VE[[#This Row],[Fecha]],Opex!$B:$Y,OPEX_SALES!P$1,1)</f>
        <v>4000</v>
      </c>
      <c r="Q94" s="152">
        <f>+VLOOKUP(Opex_VE[[#This Row],[Fecha]],Opex!$B:$Y,OPEX_SALES!Q$1,1)</f>
        <v>10635</v>
      </c>
      <c r="R94" s="153">
        <f>+SUM(Opex_VE[[#This Row],[Cajero]:[Domiciliario]])</f>
        <v>140000</v>
      </c>
      <c r="S94" s="152">
        <v>70000</v>
      </c>
      <c r="T94" s="152">
        <v>70000</v>
      </c>
      <c r="U94" s="152">
        <v>0</v>
      </c>
      <c r="V94"/>
    </row>
    <row r="95" spans="1:22" x14ac:dyDescent="0.2">
      <c r="A95" s="149">
        <v>46158</v>
      </c>
      <c r="B95" s="3">
        <f t="shared" si="3"/>
        <v>12</v>
      </c>
      <c r="C95" s="3" t="str">
        <f>+TEXT(Opex_VE[[#This Row],[Fecha]],"ddd")</f>
        <v>sáb</v>
      </c>
      <c r="E95" s="14" t="s">
        <v>113</v>
      </c>
      <c r="F95" s="168">
        <f>IFERROR(VLOOKUP(Opex_VE[[#This Row],[Fecha]],Historia!A:B,2,0),_xlfn.XLOOKUP(Opex_VE[[#This Row],[dia]],Forecast!I:I,Forecast!J:J))</f>
        <v>398333.33333333331</v>
      </c>
      <c r="G95" s="168">
        <f>IFERROR(VLOOKUP(Opex_VE[[#This Row],[Fecha]],Historia!A:C,3,0),_xlfn.XLOOKUP(Opex_VE[[#This Row],[dia]],Forecast!I:I,Forecast!K:K))</f>
        <v>159333.33333333334</v>
      </c>
      <c r="H95" s="182">
        <f>+Opex_VE[[#This Row],[MG]]-Opex_VE[[#This Row],[Opex]]</f>
        <v>-62045.633333333331</v>
      </c>
      <c r="I95" s="169" t="str">
        <f>IFERROR(VLOOKUP(Opex_VE[[#This Row],[Fecha]],Historia!A:D,4,0),"Forecast")</f>
        <v>Forecast</v>
      </c>
      <c r="J95" s="157">
        <f t="shared" si="2"/>
        <v>553447.41666666663</v>
      </c>
      <c r="K95" s="151">
        <f>+Opex_VE[[#This Row],[Arriendo]]+Opex_VE[[#This Row],[Servicios publicos]]+Opex_VE[[#This Row],[Nomina]]</f>
        <v>221378.96666666667</v>
      </c>
      <c r="L95" s="152">
        <f>+VLOOKUP(Opex_VE[[#This Row],[Fecha]],Opex!$B:$Y,OPEX_SALES!L$1,1)</f>
        <v>55000</v>
      </c>
      <c r="M95" s="153">
        <f>+SUM(Opex_VE[[#This Row],[Internet]:[Electricidad]])</f>
        <v>26378.966666666667</v>
      </c>
      <c r="N95" s="152">
        <f>+VLOOKUP(Opex_VE[[#This Row],[Fecha]],Opex!$B:$Y,OPEX_SALES!N$1,1)</f>
        <v>3500</v>
      </c>
      <c r="O95" s="152">
        <f>+VLOOKUP(Opex_VE[[#This Row],[Fecha]],Opex!$B:$Y,OPEX_SALES!O$1,1)</f>
        <v>8243.9666666666672</v>
      </c>
      <c r="P95" s="152">
        <f>+VLOOKUP(Opex_VE[[#This Row],[Fecha]],Opex!$B:$Y,OPEX_SALES!P$1,1)</f>
        <v>4000</v>
      </c>
      <c r="Q95" s="152">
        <f>+VLOOKUP(Opex_VE[[#This Row],[Fecha]],Opex!$B:$Y,OPEX_SALES!Q$1,1)</f>
        <v>10635</v>
      </c>
      <c r="R95" s="153">
        <f>+SUM(Opex_VE[[#This Row],[Cajero]:[Domiciliario]])</f>
        <v>140000</v>
      </c>
      <c r="S95" s="152">
        <v>70000</v>
      </c>
      <c r="T95" s="152">
        <v>70000</v>
      </c>
      <c r="U95" s="152">
        <v>0</v>
      </c>
      <c r="V95"/>
    </row>
    <row r="96" spans="1:22" x14ac:dyDescent="0.2">
      <c r="A96" s="149">
        <v>46159</v>
      </c>
      <c r="B96" s="3">
        <f t="shared" si="3"/>
        <v>12</v>
      </c>
      <c r="C96" s="3" t="str">
        <f>+TEXT(Opex_VE[[#This Row],[Fecha]],"ddd")</f>
        <v>dom</v>
      </c>
      <c r="E96" s="14" t="s">
        <v>145</v>
      </c>
      <c r="F96" s="168">
        <f>IFERROR(VLOOKUP(Opex_VE[[#This Row],[Fecha]],Historia!A:B,2,0),_xlfn.XLOOKUP(Opex_VE[[#This Row],[dia]],Forecast!I:I,Forecast!J:J))</f>
        <v>168750</v>
      </c>
      <c r="G96" s="168">
        <f>IFERROR(VLOOKUP(Opex_VE[[#This Row],[Fecha]],Historia!A:C,3,0),_xlfn.XLOOKUP(Opex_VE[[#This Row],[dia]],Forecast!I:I,Forecast!K:K))</f>
        <v>67500</v>
      </c>
      <c r="H96" s="182">
        <f>+Opex_VE[[#This Row],[MG]]-Opex_VE[[#This Row],[Opex]]</f>
        <v>-153878.96666666667</v>
      </c>
      <c r="I96" s="168" t="str">
        <f>IFERROR(VLOOKUP(Opex_VE[[#This Row],[Fecha]],Historia!A:D,4,0),"Forecast")</f>
        <v>Forecast</v>
      </c>
      <c r="J96" s="157">
        <f t="shared" si="2"/>
        <v>553447.41666666663</v>
      </c>
      <c r="K96" s="151">
        <f>+Opex_VE[[#This Row],[Arriendo]]+Opex_VE[[#This Row],[Servicios publicos]]+Opex_VE[[#This Row],[Nomina]]</f>
        <v>221378.96666666667</v>
      </c>
      <c r="L96" s="152">
        <f>+VLOOKUP(Opex_VE[[#This Row],[Fecha]],Opex!$B:$Y,OPEX_SALES!L$1,1)</f>
        <v>55000</v>
      </c>
      <c r="M96" s="153">
        <f>+SUM(Opex_VE[[#This Row],[Internet]:[Electricidad]])</f>
        <v>26378.966666666667</v>
      </c>
      <c r="N96" s="152">
        <f>+VLOOKUP(Opex_VE[[#This Row],[Fecha]],Opex!$B:$Y,OPEX_SALES!N$1,1)</f>
        <v>3500</v>
      </c>
      <c r="O96" s="152">
        <f>+VLOOKUP(Opex_VE[[#This Row],[Fecha]],Opex!$B:$Y,OPEX_SALES!O$1,1)</f>
        <v>8243.9666666666672</v>
      </c>
      <c r="P96" s="152">
        <f>+VLOOKUP(Opex_VE[[#This Row],[Fecha]],Opex!$B:$Y,OPEX_SALES!P$1,1)</f>
        <v>4000</v>
      </c>
      <c r="Q96" s="152">
        <f>+VLOOKUP(Opex_VE[[#This Row],[Fecha]],Opex!$B:$Y,OPEX_SALES!Q$1,1)</f>
        <v>10635</v>
      </c>
      <c r="R96" s="153">
        <f>+SUM(Opex_VE[[#This Row],[Cajero]:[Domiciliario]])</f>
        <v>140000</v>
      </c>
      <c r="S96" s="152">
        <v>70000</v>
      </c>
      <c r="T96" s="152">
        <v>70000</v>
      </c>
      <c r="U96" s="152">
        <v>0</v>
      </c>
      <c r="V96"/>
    </row>
    <row r="97" spans="1:22" x14ac:dyDescent="0.2">
      <c r="A97" s="149">
        <v>46160</v>
      </c>
      <c r="B97" s="3">
        <f t="shared" si="3"/>
        <v>13</v>
      </c>
      <c r="C97" s="3" t="str">
        <f>+TEXT(Opex_VE[[#This Row],[Fecha]],"ddd")</f>
        <v>lun</v>
      </c>
      <c r="E97" s="14" t="s">
        <v>218</v>
      </c>
      <c r="F97" s="168">
        <f>IFERROR(VLOOKUP(Opex_VE[[#This Row],[Fecha]],Historia!A:B,2,0),_xlfn.XLOOKUP(Opex_VE[[#This Row],[dia]],Forecast!I:I,Forecast!J:J))</f>
        <v>164375</v>
      </c>
      <c r="G97" s="168">
        <f>IFERROR(VLOOKUP(Opex_VE[[#This Row],[Fecha]],Historia!A:C,3,0),_xlfn.XLOOKUP(Opex_VE[[#This Row],[dia]],Forecast!I:I,Forecast!K:K))</f>
        <v>65750</v>
      </c>
      <c r="H97" s="182">
        <f>+Opex_VE[[#This Row],[MG]]-Opex_VE[[#This Row],[Opex]]</f>
        <v>-155628.96666666667</v>
      </c>
      <c r="I97" s="168" t="str">
        <f>IFERROR(VLOOKUP(Opex_VE[[#This Row],[Fecha]],Historia!A:D,4,0),"Forecast")</f>
        <v>Forecast</v>
      </c>
      <c r="J97" s="157">
        <f t="shared" si="2"/>
        <v>553447.41666666663</v>
      </c>
      <c r="K97" s="151">
        <f>+Opex_VE[[#This Row],[Arriendo]]+Opex_VE[[#This Row],[Servicios publicos]]+Opex_VE[[#This Row],[Nomina]]</f>
        <v>221378.96666666667</v>
      </c>
      <c r="L97" s="152">
        <f>+VLOOKUP(Opex_VE[[#This Row],[Fecha]],Opex!$B:$Y,OPEX_SALES!L$1,1)</f>
        <v>55000</v>
      </c>
      <c r="M97" s="153">
        <f>+SUM(Opex_VE[[#This Row],[Internet]:[Electricidad]])</f>
        <v>26378.966666666667</v>
      </c>
      <c r="N97" s="152">
        <f>+VLOOKUP(Opex_VE[[#This Row],[Fecha]],Opex!$B:$Y,OPEX_SALES!N$1,1)</f>
        <v>3500</v>
      </c>
      <c r="O97" s="152">
        <f>+VLOOKUP(Opex_VE[[#This Row],[Fecha]],Opex!$B:$Y,OPEX_SALES!O$1,1)</f>
        <v>8243.9666666666672</v>
      </c>
      <c r="P97" s="152">
        <f>+VLOOKUP(Opex_VE[[#This Row],[Fecha]],Opex!$B:$Y,OPEX_SALES!P$1,1)</f>
        <v>4000</v>
      </c>
      <c r="Q97" s="152">
        <f>+VLOOKUP(Opex_VE[[#This Row],[Fecha]],Opex!$B:$Y,OPEX_SALES!Q$1,1)</f>
        <v>10635</v>
      </c>
      <c r="R97" s="153">
        <f>+SUM(Opex_VE[[#This Row],[Cajero]:[Domiciliario]])</f>
        <v>140000</v>
      </c>
      <c r="S97" s="152">
        <v>70000</v>
      </c>
      <c r="T97" s="152">
        <v>70000</v>
      </c>
      <c r="U97" s="152">
        <v>0</v>
      </c>
      <c r="V97"/>
    </row>
    <row r="98" spans="1:22" x14ac:dyDescent="0.2">
      <c r="A98" s="149">
        <v>46161</v>
      </c>
      <c r="B98" s="3">
        <f t="shared" si="3"/>
        <v>13</v>
      </c>
      <c r="C98" s="3" t="str">
        <f>+TEXT(Opex_VE[[#This Row],[Fecha]],"ddd")</f>
        <v>mar</v>
      </c>
      <c r="E98" s="14" t="s">
        <v>112</v>
      </c>
      <c r="F98" s="168">
        <f>IFERROR(VLOOKUP(Opex_VE[[#This Row],[Fecha]],Historia!A:B,2,0),_xlfn.XLOOKUP(Opex_VE[[#This Row],[dia]],Forecast!I:I,Forecast!J:J))</f>
        <v>199625</v>
      </c>
      <c r="G98" s="168">
        <f>IFERROR(VLOOKUP(Opex_VE[[#This Row],[Fecha]],Historia!A:C,3,0),_xlfn.XLOOKUP(Opex_VE[[#This Row],[dia]],Forecast!I:I,Forecast!K:K))</f>
        <v>79850</v>
      </c>
      <c r="H98" s="182">
        <f>+Opex_VE[[#This Row],[MG]]-Opex_VE[[#This Row],[Opex]]</f>
        <v>-141528.96666666667</v>
      </c>
      <c r="I98" s="168" t="str">
        <f>IFERROR(VLOOKUP(Opex_VE[[#This Row],[Fecha]],Historia!A:D,4,0),"Forecast")</f>
        <v>Forecast</v>
      </c>
      <c r="J98" s="157">
        <f t="shared" si="2"/>
        <v>553447.41666666663</v>
      </c>
      <c r="K98" s="151">
        <f>+Opex_VE[[#This Row],[Arriendo]]+Opex_VE[[#This Row],[Servicios publicos]]+Opex_VE[[#This Row],[Nomina]]</f>
        <v>221378.96666666667</v>
      </c>
      <c r="L98" s="152">
        <f>+VLOOKUP(Opex_VE[[#This Row],[Fecha]],Opex!$B:$Y,OPEX_SALES!L$1,1)</f>
        <v>55000</v>
      </c>
      <c r="M98" s="153">
        <f>+SUM(Opex_VE[[#This Row],[Internet]:[Electricidad]])</f>
        <v>26378.966666666667</v>
      </c>
      <c r="N98" s="152">
        <f>+VLOOKUP(Opex_VE[[#This Row],[Fecha]],Opex!$B:$Y,OPEX_SALES!N$1,1)</f>
        <v>3500</v>
      </c>
      <c r="O98" s="152">
        <f>+VLOOKUP(Opex_VE[[#This Row],[Fecha]],Opex!$B:$Y,OPEX_SALES!O$1,1)</f>
        <v>8243.9666666666672</v>
      </c>
      <c r="P98" s="152">
        <f>+VLOOKUP(Opex_VE[[#This Row],[Fecha]],Opex!$B:$Y,OPEX_SALES!P$1,1)</f>
        <v>4000</v>
      </c>
      <c r="Q98" s="152">
        <f>+VLOOKUP(Opex_VE[[#This Row],[Fecha]],Opex!$B:$Y,OPEX_SALES!Q$1,1)</f>
        <v>10635</v>
      </c>
      <c r="R98" s="153">
        <f>+SUM(Opex_VE[[#This Row],[Cajero]:[Domiciliario]])</f>
        <v>140000</v>
      </c>
      <c r="S98" s="152">
        <v>70000</v>
      </c>
      <c r="T98" s="152">
        <v>70000</v>
      </c>
      <c r="U98" s="152">
        <v>0</v>
      </c>
      <c r="V98"/>
    </row>
    <row r="99" spans="1:22" x14ac:dyDescent="0.2">
      <c r="A99" s="149">
        <v>46162</v>
      </c>
      <c r="B99" s="3">
        <f t="shared" si="3"/>
        <v>13</v>
      </c>
      <c r="C99" s="3" t="str">
        <f>+TEXT(Opex_VE[[#This Row],[Fecha]],"ddd")</f>
        <v>mié</v>
      </c>
      <c r="E99" s="14" t="s">
        <v>112</v>
      </c>
      <c r="F99" s="168">
        <f>IFERROR(VLOOKUP(Opex_VE[[#This Row],[Fecha]],Historia!A:B,2,0),_xlfn.XLOOKUP(Opex_VE[[#This Row],[dia]],Forecast!I:I,Forecast!J:J))</f>
        <v>339250</v>
      </c>
      <c r="G99" s="168">
        <f>IFERROR(VLOOKUP(Opex_VE[[#This Row],[Fecha]],Historia!A:C,3,0),_xlfn.XLOOKUP(Opex_VE[[#This Row],[dia]],Forecast!I:I,Forecast!K:K))</f>
        <v>135700</v>
      </c>
      <c r="H99" s="182">
        <f>+Opex_VE[[#This Row],[MG]]-Opex_VE[[#This Row],[Opex]]</f>
        <v>-85678.966666666674</v>
      </c>
      <c r="I99" s="168" t="str">
        <f>IFERROR(VLOOKUP(Opex_VE[[#This Row],[Fecha]],Historia!A:D,4,0),"Forecast")</f>
        <v>Forecast</v>
      </c>
      <c r="J99" s="157">
        <f t="shared" si="2"/>
        <v>553447.41666666663</v>
      </c>
      <c r="K99" s="151">
        <f>+Opex_VE[[#This Row],[Arriendo]]+Opex_VE[[#This Row],[Servicios publicos]]+Opex_VE[[#This Row],[Nomina]]</f>
        <v>221378.96666666667</v>
      </c>
      <c r="L99" s="152">
        <f>+VLOOKUP(Opex_VE[[#This Row],[Fecha]],Opex!$B:$Y,OPEX_SALES!L$1,1)</f>
        <v>55000</v>
      </c>
      <c r="M99" s="153">
        <f>+SUM(Opex_VE[[#This Row],[Internet]:[Electricidad]])</f>
        <v>26378.966666666667</v>
      </c>
      <c r="N99" s="152">
        <f>+VLOOKUP(Opex_VE[[#This Row],[Fecha]],Opex!$B:$Y,OPEX_SALES!N$1,1)</f>
        <v>3500</v>
      </c>
      <c r="O99" s="152">
        <f>+VLOOKUP(Opex_VE[[#This Row],[Fecha]],Opex!$B:$Y,OPEX_SALES!O$1,1)</f>
        <v>8243.9666666666672</v>
      </c>
      <c r="P99" s="152">
        <f>+VLOOKUP(Opex_VE[[#This Row],[Fecha]],Opex!$B:$Y,OPEX_SALES!P$1,1)</f>
        <v>4000</v>
      </c>
      <c r="Q99" s="152">
        <f>+VLOOKUP(Opex_VE[[#This Row],[Fecha]],Opex!$B:$Y,OPEX_SALES!Q$1,1)</f>
        <v>10635</v>
      </c>
      <c r="R99" s="153">
        <f>+SUM(Opex_VE[[#This Row],[Cajero]:[Domiciliario]])</f>
        <v>140000</v>
      </c>
      <c r="S99" s="152">
        <v>70000</v>
      </c>
      <c r="T99" s="152">
        <v>70000</v>
      </c>
      <c r="U99" s="152">
        <v>0</v>
      </c>
      <c r="V99"/>
    </row>
    <row r="100" spans="1:22" x14ac:dyDescent="0.2">
      <c r="A100" s="149">
        <v>46163</v>
      </c>
      <c r="B100" s="3">
        <f t="shared" si="3"/>
        <v>13</v>
      </c>
      <c r="C100" s="3" t="str">
        <f>+TEXT(Opex_VE[[#This Row],[Fecha]],"ddd")</f>
        <v>jue</v>
      </c>
      <c r="E100" s="14" t="s">
        <v>112</v>
      </c>
      <c r="F100" s="168">
        <f>IFERROR(VLOOKUP(Opex_VE[[#This Row],[Fecha]],Historia!A:B,2,0),_xlfn.XLOOKUP(Opex_VE[[#This Row],[dia]],Forecast!I:I,Forecast!J:J))</f>
        <v>274975</v>
      </c>
      <c r="G100" s="168">
        <f>IFERROR(VLOOKUP(Opex_VE[[#This Row],[Fecha]],Historia!A:C,3,0),_xlfn.XLOOKUP(Opex_VE[[#This Row],[dia]],Forecast!I:I,Forecast!K:K))</f>
        <v>109990</v>
      </c>
      <c r="H100" s="182">
        <f>+Opex_VE[[#This Row],[MG]]-Opex_VE[[#This Row],[Opex]]</f>
        <v>-111388.96666666667</v>
      </c>
      <c r="I100" s="168" t="str">
        <f>IFERROR(VLOOKUP(Opex_VE[[#This Row],[Fecha]],Historia!A:D,4,0),"Forecast")</f>
        <v>Forecast</v>
      </c>
      <c r="J100" s="157">
        <f t="shared" si="2"/>
        <v>553447.41666666663</v>
      </c>
      <c r="K100" s="151">
        <f>+Opex_VE[[#This Row],[Arriendo]]+Opex_VE[[#This Row],[Servicios publicos]]+Opex_VE[[#This Row],[Nomina]]</f>
        <v>221378.96666666667</v>
      </c>
      <c r="L100" s="152">
        <f>+VLOOKUP(Opex_VE[[#This Row],[Fecha]],Opex!$B:$Y,OPEX_SALES!L$1,1)</f>
        <v>55000</v>
      </c>
      <c r="M100" s="153">
        <f>+SUM(Opex_VE[[#This Row],[Internet]:[Electricidad]])</f>
        <v>26378.966666666667</v>
      </c>
      <c r="N100" s="152">
        <f>+VLOOKUP(Opex_VE[[#This Row],[Fecha]],Opex!$B:$Y,OPEX_SALES!N$1,1)</f>
        <v>3500</v>
      </c>
      <c r="O100" s="152">
        <f>+VLOOKUP(Opex_VE[[#This Row],[Fecha]],Opex!$B:$Y,OPEX_SALES!O$1,1)</f>
        <v>8243.9666666666672</v>
      </c>
      <c r="P100" s="152">
        <f>+VLOOKUP(Opex_VE[[#This Row],[Fecha]],Opex!$B:$Y,OPEX_SALES!P$1,1)</f>
        <v>4000</v>
      </c>
      <c r="Q100" s="152">
        <f>+VLOOKUP(Opex_VE[[#This Row],[Fecha]],Opex!$B:$Y,OPEX_SALES!Q$1,1)</f>
        <v>10635</v>
      </c>
      <c r="R100" s="153">
        <f>+SUM(Opex_VE[[#This Row],[Cajero]:[Domiciliario]])</f>
        <v>140000</v>
      </c>
      <c r="S100" s="152">
        <v>70000</v>
      </c>
      <c r="T100" s="152">
        <v>70000</v>
      </c>
      <c r="U100" s="152">
        <v>0</v>
      </c>
      <c r="V100"/>
    </row>
    <row r="101" spans="1:22" x14ac:dyDescent="0.2">
      <c r="A101" s="149">
        <v>46164</v>
      </c>
      <c r="B101" s="3">
        <f t="shared" si="3"/>
        <v>13</v>
      </c>
      <c r="C101" s="3" t="str">
        <f>+TEXT(Opex_VE[[#This Row],[Fecha]],"ddd")</f>
        <v>vie</v>
      </c>
      <c r="E101" s="14" t="s">
        <v>217</v>
      </c>
      <c r="F101" s="168">
        <f>IFERROR(VLOOKUP(Opex_VE[[#This Row],[Fecha]],Historia!A:B,2,0),_xlfn.XLOOKUP(Opex_VE[[#This Row],[dia]],Forecast!I:I,Forecast!J:J))</f>
        <v>184566.66666666666</v>
      </c>
      <c r="G101" s="168">
        <f>IFERROR(VLOOKUP(Opex_VE[[#This Row],[Fecha]],Historia!A:C,3,0),_xlfn.XLOOKUP(Opex_VE[[#This Row],[dia]],Forecast!I:I,Forecast!K:K))</f>
        <v>73826.666666666672</v>
      </c>
      <c r="H101" s="182">
        <f>+Opex_VE[[#This Row],[MG]]-Opex_VE[[#This Row],[Opex]]</f>
        <v>-147552.29999999999</v>
      </c>
      <c r="I101" s="168" t="str">
        <f>IFERROR(VLOOKUP(Opex_VE[[#This Row],[Fecha]],Historia!A:D,4,0),"Forecast")</f>
        <v>Forecast</v>
      </c>
      <c r="J101" s="157">
        <f t="shared" si="2"/>
        <v>553447.41666666663</v>
      </c>
      <c r="K101" s="151">
        <f>+Opex_VE[[#This Row],[Arriendo]]+Opex_VE[[#This Row],[Servicios publicos]]+Opex_VE[[#This Row],[Nomina]]</f>
        <v>221378.96666666667</v>
      </c>
      <c r="L101" s="152">
        <f>+VLOOKUP(Opex_VE[[#This Row],[Fecha]],Opex!$B:$Y,OPEX_SALES!L$1,1)</f>
        <v>55000</v>
      </c>
      <c r="M101" s="153">
        <f>+SUM(Opex_VE[[#This Row],[Internet]:[Electricidad]])</f>
        <v>26378.966666666667</v>
      </c>
      <c r="N101" s="152">
        <f>+VLOOKUP(Opex_VE[[#This Row],[Fecha]],Opex!$B:$Y,OPEX_SALES!N$1,1)</f>
        <v>3500</v>
      </c>
      <c r="O101" s="152">
        <f>+VLOOKUP(Opex_VE[[#This Row],[Fecha]],Opex!$B:$Y,OPEX_SALES!O$1,1)</f>
        <v>8243.9666666666672</v>
      </c>
      <c r="P101" s="152">
        <f>+VLOOKUP(Opex_VE[[#This Row],[Fecha]],Opex!$B:$Y,OPEX_SALES!P$1,1)</f>
        <v>4000</v>
      </c>
      <c r="Q101" s="152">
        <f>+VLOOKUP(Opex_VE[[#This Row],[Fecha]],Opex!$B:$Y,OPEX_SALES!Q$1,1)</f>
        <v>10635</v>
      </c>
      <c r="R101" s="153">
        <f>+SUM(Opex_VE[[#This Row],[Cajero]:[Domiciliario]])</f>
        <v>140000</v>
      </c>
      <c r="S101" s="152">
        <v>70000</v>
      </c>
      <c r="T101" s="152">
        <v>70000</v>
      </c>
      <c r="U101" s="152">
        <v>0</v>
      </c>
      <c r="V101"/>
    </row>
    <row r="102" spans="1:22" x14ac:dyDescent="0.2">
      <c r="A102" s="149">
        <v>46165</v>
      </c>
      <c r="B102" s="3">
        <f t="shared" si="3"/>
        <v>13</v>
      </c>
      <c r="C102" s="3" t="str">
        <f>+TEXT(Opex_VE[[#This Row],[Fecha]],"ddd")</f>
        <v>sáb</v>
      </c>
      <c r="E102" s="14" t="s">
        <v>113</v>
      </c>
      <c r="F102" s="168">
        <f>IFERROR(VLOOKUP(Opex_VE[[#This Row],[Fecha]],Historia!A:B,2,0),_xlfn.XLOOKUP(Opex_VE[[#This Row],[dia]],Forecast!I:I,Forecast!J:J))</f>
        <v>398333.33333333331</v>
      </c>
      <c r="G102" s="168">
        <f>IFERROR(VLOOKUP(Opex_VE[[#This Row],[Fecha]],Historia!A:C,3,0),_xlfn.XLOOKUP(Opex_VE[[#This Row],[dia]],Forecast!I:I,Forecast!K:K))</f>
        <v>159333.33333333334</v>
      </c>
      <c r="H102" s="182">
        <f>+Opex_VE[[#This Row],[MG]]-Opex_VE[[#This Row],[Opex]]</f>
        <v>-62045.633333333331</v>
      </c>
      <c r="I102" s="169" t="str">
        <f>IFERROR(VLOOKUP(Opex_VE[[#This Row],[Fecha]],Historia!A:D,4,0),"Forecast")</f>
        <v>Forecast</v>
      </c>
      <c r="J102" s="157">
        <f t="shared" si="2"/>
        <v>553447.41666666663</v>
      </c>
      <c r="K102" s="151">
        <f>+Opex_VE[[#This Row],[Arriendo]]+Opex_VE[[#This Row],[Servicios publicos]]+Opex_VE[[#This Row],[Nomina]]</f>
        <v>221378.96666666667</v>
      </c>
      <c r="L102" s="152">
        <f>+VLOOKUP(Opex_VE[[#This Row],[Fecha]],Opex!$B:$Y,OPEX_SALES!L$1,1)</f>
        <v>55000</v>
      </c>
      <c r="M102" s="153">
        <f>+SUM(Opex_VE[[#This Row],[Internet]:[Electricidad]])</f>
        <v>26378.966666666667</v>
      </c>
      <c r="N102" s="152">
        <f>+VLOOKUP(Opex_VE[[#This Row],[Fecha]],Opex!$B:$Y,OPEX_SALES!N$1,1)</f>
        <v>3500</v>
      </c>
      <c r="O102" s="152">
        <f>+VLOOKUP(Opex_VE[[#This Row],[Fecha]],Opex!$B:$Y,OPEX_SALES!O$1,1)</f>
        <v>8243.9666666666672</v>
      </c>
      <c r="P102" s="152">
        <f>+VLOOKUP(Opex_VE[[#This Row],[Fecha]],Opex!$B:$Y,OPEX_SALES!P$1,1)</f>
        <v>4000</v>
      </c>
      <c r="Q102" s="152">
        <f>+VLOOKUP(Opex_VE[[#This Row],[Fecha]],Opex!$B:$Y,OPEX_SALES!Q$1,1)</f>
        <v>10635</v>
      </c>
      <c r="R102" s="153">
        <f>+SUM(Opex_VE[[#This Row],[Cajero]:[Domiciliario]])</f>
        <v>140000</v>
      </c>
      <c r="S102" s="152">
        <v>70000</v>
      </c>
      <c r="T102" s="152">
        <v>70000</v>
      </c>
      <c r="U102" s="152">
        <v>0</v>
      </c>
      <c r="V102"/>
    </row>
    <row r="103" spans="1:22" x14ac:dyDescent="0.2">
      <c r="A103" s="149">
        <v>46166</v>
      </c>
      <c r="B103" s="3">
        <f t="shared" si="3"/>
        <v>13</v>
      </c>
      <c r="C103" s="3" t="str">
        <f>+TEXT(Opex_VE[[#This Row],[Fecha]],"ddd")</f>
        <v>dom</v>
      </c>
      <c r="E103" s="14" t="s">
        <v>145</v>
      </c>
      <c r="F103" s="168">
        <f>IFERROR(VLOOKUP(Opex_VE[[#This Row],[Fecha]],Historia!A:B,2,0),_xlfn.XLOOKUP(Opex_VE[[#This Row],[dia]],Forecast!I:I,Forecast!J:J))</f>
        <v>168750</v>
      </c>
      <c r="G103" s="168">
        <f>IFERROR(VLOOKUP(Opex_VE[[#This Row],[Fecha]],Historia!A:C,3,0),_xlfn.XLOOKUP(Opex_VE[[#This Row],[dia]],Forecast!I:I,Forecast!K:K))</f>
        <v>67500</v>
      </c>
      <c r="H103" s="182">
        <f>+Opex_VE[[#This Row],[MG]]-Opex_VE[[#This Row],[Opex]]</f>
        <v>-153878.96666666667</v>
      </c>
      <c r="I103" s="168" t="str">
        <f>IFERROR(VLOOKUP(Opex_VE[[#This Row],[Fecha]],Historia!A:D,4,0),"Forecast")</f>
        <v>Forecast</v>
      </c>
      <c r="J103" s="157">
        <f t="shared" si="2"/>
        <v>553447.41666666663</v>
      </c>
      <c r="K103" s="151">
        <f>+Opex_VE[[#This Row],[Arriendo]]+Opex_VE[[#This Row],[Servicios publicos]]+Opex_VE[[#This Row],[Nomina]]</f>
        <v>221378.96666666667</v>
      </c>
      <c r="L103" s="152">
        <f>+VLOOKUP(Opex_VE[[#This Row],[Fecha]],Opex!$B:$Y,OPEX_SALES!L$1,1)</f>
        <v>55000</v>
      </c>
      <c r="M103" s="153">
        <f>+SUM(Opex_VE[[#This Row],[Internet]:[Electricidad]])</f>
        <v>26378.966666666667</v>
      </c>
      <c r="N103" s="152">
        <f>+VLOOKUP(Opex_VE[[#This Row],[Fecha]],Opex!$B:$Y,OPEX_SALES!N$1,1)</f>
        <v>3500</v>
      </c>
      <c r="O103" s="152">
        <f>+VLOOKUP(Opex_VE[[#This Row],[Fecha]],Opex!$B:$Y,OPEX_SALES!O$1,1)</f>
        <v>8243.9666666666672</v>
      </c>
      <c r="P103" s="152">
        <f>+VLOOKUP(Opex_VE[[#This Row],[Fecha]],Opex!$B:$Y,OPEX_SALES!P$1,1)</f>
        <v>4000</v>
      </c>
      <c r="Q103" s="152">
        <f>+VLOOKUP(Opex_VE[[#This Row],[Fecha]],Opex!$B:$Y,OPEX_SALES!Q$1,1)</f>
        <v>10635</v>
      </c>
      <c r="R103" s="153">
        <f>+SUM(Opex_VE[[#This Row],[Cajero]:[Domiciliario]])</f>
        <v>140000</v>
      </c>
      <c r="S103" s="152">
        <v>70000</v>
      </c>
      <c r="T103" s="152">
        <v>70000</v>
      </c>
      <c r="U103" s="152">
        <v>0</v>
      </c>
      <c r="V103"/>
    </row>
    <row r="104" spans="1:22" x14ac:dyDescent="0.2">
      <c r="A104" s="149">
        <v>46167</v>
      </c>
      <c r="B104" s="3">
        <f t="shared" si="3"/>
        <v>14</v>
      </c>
      <c r="C104" s="3" t="str">
        <f>+TEXT(Opex_VE[[#This Row],[Fecha]],"ddd")</f>
        <v>lun</v>
      </c>
      <c r="E104" s="14" t="s">
        <v>112</v>
      </c>
      <c r="F104" s="168">
        <f>IFERROR(VLOOKUP(Opex_VE[[#This Row],[Fecha]],Historia!A:B,2,0),_xlfn.XLOOKUP(Opex_VE[[#This Row],[dia]],Forecast!I:I,Forecast!J:J))</f>
        <v>164375</v>
      </c>
      <c r="G104" s="168">
        <f>IFERROR(VLOOKUP(Opex_VE[[#This Row],[Fecha]],Historia!A:C,3,0),_xlfn.XLOOKUP(Opex_VE[[#This Row],[dia]],Forecast!I:I,Forecast!K:K))</f>
        <v>65750</v>
      </c>
      <c r="H104" s="182">
        <f>+Opex_VE[[#This Row],[MG]]-Opex_VE[[#This Row],[Opex]]</f>
        <v>-155628.96666666667</v>
      </c>
      <c r="I104" s="168" t="str">
        <f>IFERROR(VLOOKUP(Opex_VE[[#This Row],[Fecha]],Historia!A:D,4,0),"Forecast")</f>
        <v>Forecast</v>
      </c>
      <c r="J104" s="157">
        <f t="shared" si="2"/>
        <v>553447.41666666663</v>
      </c>
      <c r="K104" s="151">
        <f>+Opex_VE[[#This Row],[Arriendo]]+Opex_VE[[#This Row],[Servicios publicos]]+Opex_VE[[#This Row],[Nomina]]</f>
        <v>221378.96666666667</v>
      </c>
      <c r="L104" s="152">
        <f>+VLOOKUP(Opex_VE[[#This Row],[Fecha]],Opex!$B:$Y,OPEX_SALES!L$1,1)</f>
        <v>55000</v>
      </c>
      <c r="M104" s="153">
        <f>+SUM(Opex_VE[[#This Row],[Internet]:[Electricidad]])</f>
        <v>26378.966666666667</v>
      </c>
      <c r="N104" s="152">
        <f>+VLOOKUP(Opex_VE[[#This Row],[Fecha]],Opex!$B:$Y,OPEX_SALES!N$1,1)</f>
        <v>3500</v>
      </c>
      <c r="O104" s="152">
        <f>+VLOOKUP(Opex_VE[[#This Row],[Fecha]],Opex!$B:$Y,OPEX_SALES!O$1,1)</f>
        <v>8243.9666666666672</v>
      </c>
      <c r="P104" s="152">
        <f>+VLOOKUP(Opex_VE[[#This Row],[Fecha]],Opex!$B:$Y,OPEX_SALES!P$1,1)</f>
        <v>4000</v>
      </c>
      <c r="Q104" s="152">
        <f>+VLOOKUP(Opex_VE[[#This Row],[Fecha]],Opex!$B:$Y,OPEX_SALES!Q$1,1)</f>
        <v>10635</v>
      </c>
      <c r="R104" s="153">
        <f>+SUM(Opex_VE[[#This Row],[Cajero]:[Domiciliario]])</f>
        <v>140000</v>
      </c>
      <c r="S104" s="152">
        <v>70000</v>
      </c>
      <c r="T104" s="152">
        <v>70000</v>
      </c>
      <c r="U104" s="152">
        <v>0</v>
      </c>
      <c r="V104"/>
    </row>
    <row r="105" spans="1:22" x14ac:dyDescent="0.2">
      <c r="A105" s="149">
        <v>46168</v>
      </c>
      <c r="B105" s="3">
        <f t="shared" si="3"/>
        <v>14</v>
      </c>
      <c r="C105" s="3" t="str">
        <f>+TEXT(Opex_VE[[#This Row],[Fecha]],"ddd")</f>
        <v>mar</v>
      </c>
      <c r="E105" s="14" t="s">
        <v>112</v>
      </c>
      <c r="F105" s="168">
        <f>IFERROR(VLOOKUP(Opex_VE[[#This Row],[Fecha]],Historia!A:B,2,0),_xlfn.XLOOKUP(Opex_VE[[#This Row],[dia]],Forecast!I:I,Forecast!J:J))</f>
        <v>199625</v>
      </c>
      <c r="G105" s="168">
        <f>IFERROR(VLOOKUP(Opex_VE[[#This Row],[Fecha]],Historia!A:C,3,0),_xlfn.XLOOKUP(Opex_VE[[#This Row],[dia]],Forecast!I:I,Forecast!K:K))</f>
        <v>79850</v>
      </c>
      <c r="H105" s="182">
        <f>+Opex_VE[[#This Row],[MG]]-Opex_VE[[#This Row],[Opex]]</f>
        <v>-141528.96666666667</v>
      </c>
      <c r="I105" s="168" t="str">
        <f>IFERROR(VLOOKUP(Opex_VE[[#This Row],[Fecha]],Historia!A:D,4,0),"Forecast")</f>
        <v>Forecast</v>
      </c>
      <c r="J105" s="157">
        <f t="shared" si="2"/>
        <v>553447.41666666663</v>
      </c>
      <c r="K105" s="151">
        <f>+Opex_VE[[#This Row],[Arriendo]]+Opex_VE[[#This Row],[Servicios publicos]]+Opex_VE[[#This Row],[Nomina]]</f>
        <v>221378.96666666667</v>
      </c>
      <c r="L105" s="152">
        <f>+VLOOKUP(Opex_VE[[#This Row],[Fecha]],Opex!$B:$Y,OPEX_SALES!L$1,1)</f>
        <v>55000</v>
      </c>
      <c r="M105" s="153">
        <f>+SUM(Opex_VE[[#This Row],[Internet]:[Electricidad]])</f>
        <v>26378.966666666667</v>
      </c>
      <c r="N105" s="152">
        <f>+VLOOKUP(Opex_VE[[#This Row],[Fecha]],Opex!$B:$Y,OPEX_SALES!N$1,1)</f>
        <v>3500</v>
      </c>
      <c r="O105" s="152">
        <f>+VLOOKUP(Opex_VE[[#This Row],[Fecha]],Opex!$B:$Y,OPEX_SALES!O$1,1)</f>
        <v>8243.9666666666672</v>
      </c>
      <c r="P105" s="152">
        <f>+VLOOKUP(Opex_VE[[#This Row],[Fecha]],Opex!$B:$Y,OPEX_SALES!P$1,1)</f>
        <v>4000</v>
      </c>
      <c r="Q105" s="152">
        <f>+VLOOKUP(Opex_VE[[#This Row],[Fecha]],Opex!$B:$Y,OPEX_SALES!Q$1,1)</f>
        <v>10635</v>
      </c>
      <c r="R105" s="153">
        <f>+SUM(Opex_VE[[#This Row],[Cajero]:[Domiciliario]])</f>
        <v>140000</v>
      </c>
      <c r="S105" s="152">
        <v>70000</v>
      </c>
      <c r="T105" s="152">
        <v>70000</v>
      </c>
      <c r="U105" s="152">
        <v>0</v>
      </c>
      <c r="V105"/>
    </row>
    <row r="106" spans="1:22" x14ac:dyDescent="0.2">
      <c r="A106" s="149">
        <v>46169</v>
      </c>
      <c r="B106" s="3">
        <f t="shared" si="3"/>
        <v>14</v>
      </c>
      <c r="C106" s="3" t="str">
        <f>+TEXT(Opex_VE[[#This Row],[Fecha]],"ddd")</f>
        <v>mié</v>
      </c>
      <c r="E106" s="14" t="s">
        <v>112</v>
      </c>
      <c r="F106" s="168">
        <f>IFERROR(VLOOKUP(Opex_VE[[#This Row],[Fecha]],Historia!A:B,2,0),_xlfn.XLOOKUP(Opex_VE[[#This Row],[dia]],Forecast!I:I,Forecast!J:J))</f>
        <v>339250</v>
      </c>
      <c r="G106" s="168">
        <f>IFERROR(VLOOKUP(Opex_VE[[#This Row],[Fecha]],Historia!A:C,3,0),_xlfn.XLOOKUP(Opex_VE[[#This Row],[dia]],Forecast!I:I,Forecast!K:K))</f>
        <v>135700</v>
      </c>
      <c r="H106" s="182">
        <f>+Opex_VE[[#This Row],[MG]]-Opex_VE[[#This Row],[Opex]]</f>
        <v>-85678.966666666674</v>
      </c>
      <c r="I106" s="168" t="str">
        <f>IFERROR(VLOOKUP(Opex_VE[[#This Row],[Fecha]],Historia!A:D,4,0),"Forecast")</f>
        <v>Forecast</v>
      </c>
      <c r="J106" s="157">
        <f t="shared" si="2"/>
        <v>553447.41666666663</v>
      </c>
      <c r="K106" s="151">
        <f>+Opex_VE[[#This Row],[Arriendo]]+Opex_VE[[#This Row],[Servicios publicos]]+Opex_VE[[#This Row],[Nomina]]</f>
        <v>221378.96666666667</v>
      </c>
      <c r="L106" s="152">
        <f>+VLOOKUP(Opex_VE[[#This Row],[Fecha]],Opex!$B:$Y,OPEX_SALES!L$1,1)</f>
        <v>55000</v>
      </c>
      <c r="M106" s="153">
        <f>+SUM(Opex_VE[[#This Row],[Internet]:[Electricidad]])</f>
        <v>26378.966666666667</v>
      </c>
      <c r="N106" s="152">
        <f>+VLOOKUP(Opex_VE[[#This Row],[Fecha]],Opex!$B:$Y,OPEX_SALES!N$1,1)</f>
        <v>3500</v>
      </c>
      <c r="O106" s="152">
        <f>+VLOOKUP(Opex_VE[[#This Row],[Fecha]],Opex!$B:$Y,OPEX_SALES!O$1,1)</f>
        <v>8243.9666666666672</v>
      </c>
      <c r="P106" s="152">
        <f>+VLOOKUP(Opex_VE[[#This Row],[Fecha]],Opex!$B:$Y,OPEX_SALES!P$1,1)</f>
        <v>4000</v>
      </c>
      <c r="Q106" s="152">
        <f>+VLOOKUP(Opex_VE[[#This Row],[Fecha]],Opex!$B:$Y,OPEX_SALES!Q$1,1)</f>
        <v>10635</v>
      </c>
      <c r="R106" s="153">
        <f>+SUM(Opex_VE[[#This Row],[Cajero]:[Domiciliario]])</f>
        <v>140000</v>
      </c>
      <c r="S106" s="152">
        <v>70000</v>
      </c>
      <c r="T106" s="152">
        <v>70000</v>
      </c>
      <c r="U106" s="152">
        <v>0</v>
      </c>
      <c r="V106"/>
    </row>
    <row r="107" spans="1:22" x14ac:dyDescent="0.2">
      <c r="A107" s="149">
        <v>46170</v>
      </c>
      <c r="B107" s="3">
        <f t="shared" si="3"/>
        <v>14</v>
      </c>
      <c r="C107" s="3" t="str">
        <f>+TEXT(Opex_VE[[#This Row],[Fecha]],"ddd")</f>
        <v>jue</v>
      </c>
      <c r="E107" s="14" t="s">
        <v>112</v>
      </c>
      <c r="F107" s="168">
        <f>IFERROR(VLOOKUP(Opex_VE[[#This Row],[Fecha]],Historia!A:B,2,0),_xlfn.XLOOKUP(Opex_VE[[#This Row],[dia]],Forecast!I:I,Forecast!J:J))</f>
        <v>274975</v>
      </c>
      <c r="G107" s="168">
        <f>IFERROR(VLOOKUP(Opex_VE[[#This Row],[Fecha]],Historia!A:C,3,0),_xlfn.XLOOKUP(Opex_VE[[#This Row],[dia]],Forecast!I:I,Forecast!K:K))</f>
        <v>109990</v>
      </c>
      <c r="H107" s="182">
        <f>+Opex_VE[[#This Row],[MG]]-Opex_VE[[#This Row],[Opex]]</f>
        <v>-111388.96666666667</v>
      </c>
      <c r="I107" s="168" t="str">
        <f>IFERROR(VLOOKUP(Opex_VE[[#This Row],[Fecha]],Historia!A:D,4,0),"Forecast")</f>
        <v>Forecast</v>
      </c>
      <c r="J107" s="157">
        <f t="shared" si="2"/>
        <v>553447.41666666663</v>
      </c>
      <c r="K107" s="151">
        <f>+Opex_VE[[#This Row],[Arriendo]]+Opex_VE[[#This Row],[Servicios publicos]]+Opex_VE[[#This Row],[Nomina]]</f>
        <v>221378.96666666667</v>
      </c>
      <c r="L107" s="152">
        <f>+VLOOKUP(Opex_VE[[#This Row],[Fecha]],Opex!$B:$Y,OPEX_SALES!L$1,1)</f>
        <v>55000</v>
      </c>
      <c r="M107" s="153">
        <f>+SUM(Opex_VE[[#This Row],[Internet]:[Electricidad]])</f>
        <v>26378.966666666667</v>
      </c>
      <c r="N107" s="152">
        <f>+VLOOKUP(Opex_VE[[#This Row],[Fecha]],Opex!$B:$Y,OPEX_SALES!N$1,1)</f>
        <v>3500</v>
      </c>
      <c r="O107" s="152">
        <f>+VLOOKUP(Opex_VE[[#This Row],[Fecha]],Opex!$B:$Y,OPEX_SALES!O$1,1)</f>
        <v>8243.9666666666672</v>
      </c>
      <c r="P107" s="152">
        <f>+VLOOKUP(Opex_VE[[#This Row],[Fecha]],Opex!$B:$Y,OPEX_SALES!P$1,1)</f>
        <v>4000</v>
      </c>
      <c r="Q107" s="152">
        <f>+VLOOKUP(Opex_VE[[#This Row],[Fecha]],Opex!$B:$Y,OPEX_SALES!Q$1,1)</f>
        <v>10635</v>
      </c>
      <c r="R107" s="153">
        <f>+SUM(Opex_VE[[#This Row],[Cajero]:[Domiciliario]])</f>
        <v>140000</v>
      </c>
      <c r="S107" s="152">
        <v>70000</v>
      </c>
      <c r="T107" s="152">
        <v>70000</v>
      </c>
      <c r="U107" s="152">
        <v>0</v>
      </c>
      <c r="V107"/>
    </row>
    <row r="108" spans="1:22" x14ac:dyDescent="0.2">
      <c r="A108" s="149">
        <v>46171</v>
      </c>
      <c r="B108" s="3">
        <f t="shared" si="3"/>
        <v>14</v>
      </c>
      <c r="C108" s="3" t="str">
        <f>+TEXT(Opex_VE[[#This Row],[Fecha]],"ddd")</f>
        <v>vie</v>
      </c>
      <c r="E108" s="14" t="s">
        <v>217</v>
      </c>
      <c r="F108" s="168">
        <f>IFERROR(VLOOKUP(Opex_VE[[#This Row],[Fecha]],Historia!A:B,2,0),_xlfn.XLOOKUP(Opex_VE[[#This Row],[dia]],Forecast!I:I,Forecast!J:J))</f>
        <v>184566.66666666666</v>
      </c>
      <c r="G108" s="168">
        <f>IFERROR(VLOOKUP(Opex_VE[[#This Row],[Fecha]],Historia!A:C,3,0),_xlfn.XLOOKUP(Opex_VE[[#This Row],[dia]],Forecast!I:I,Forecast!K:K))</f>
        <v>73826.666666666672</v>
      </c>
      <c r="H108" s="182">
        <f>+Opex_VE[[#This Row],[MG]]-Opex_VE[[#This Row],[Opex]]</f>
        <v>-147552.29999999999</v>
      </c>
      <c r="I108" s="168" t="str">
        <f>IFERROR(VLOOKUP(Opex_VE[[#This Row],[Fecha]],Historia!A:D,4,0),"Forecast")</f>
        <v>Forecast</v>
      </c>
      <c r="J108" s="157">
        <f t="shared" si="2"/>
        <v>553447.41666666663</v>
      </c>
      <c r="K108" s="151">
        <f>+Opex_VE[[#This Row],[Arriendo]]+Opex_VE[[#This Row],[Servicios publicos]]+Opex_VE[[#This Row],[Nomina]]</f>
        <v>221378.96666666667</v>
      </c>
      <c r="L108" s="152">
        <f>+VLOOKUP(Opex_VE[[#This Row],[Fecha]],Opex!$B:$Y,OPEX_SALES!L$1,1)</f>
        <v>55000</v>
      </c>
      <c r="M108" s="153">
        <f>+SUM(Opex_VE[[#This Row],[Internet]:[Electricidad]])</f>
        <v>26378.966666666667</v>
      </c>
      <c r="N108" s="152">
        <f>+VLOOKUP(Opex_VE[[#This Row],[Fecha]],Opex!$B:$Y,OPEX_SALES!N$1,1)</f>
        <v>3500</v>
      </c>
      <c r="O108" s="152">
        <f>+VLOOKUP(Opex_VE[[#This Row],[Fecha]],Opex!$B:$Y,OPEX_SALES!O$1,1)</f>
        <v>8243.9666666666672</v>
      </c>
      <c r="P108" s="152">
        <f>+VLOOKUP(Opex_VE[[#This Row],[Fecha]],Opex!$B:$Y,OPEX_SALES!P$1,1)</f>
        <v>4000</v>
      </c>
      <c r="Q108" s="152">
        <f>+VLOOKUP(Opex_VE[[#This Row],[Fecha]],Opex!$B:$Y,OPEX_SALES!Q$1,1)</f>
        <v>10635</v>
      </c>
      <c r="R108" s="153">
        <f>+SUM(Opex_VE[[#This Row],[Cajero]:[Domiciliario]])</f>
        <v>140000</v>
      </c>
      <c r="S108" s="152">
        <v>70000</v>
      </c>
      <c r="T108" s="152">
        <v>70000</v>
      </c>
      <c r="U108" s="152">
        <v>0</v>
      </c>
      <c r="V108"/>
    </row>
    <row r="109" spans="1:22" x14ac:dyDescent="0.2">
      <c r="A109" s="149">
        <v>46172</v>
      </c>
      <c r="B109" s="3">
        <f t="shared" si="3"/>
        <v>14</v>
      </c>
      <c r="C109" s="3" t="str">
        <f>+TEXT(Opex_VE[[#This Row],[Fecha]],"ddd")</f>
        <v>sáb</v>
      </c>
      <c r="E109" s="14" t="s">
        <v>113</v>
      </c>
      <c r="F109" s="168">
        <f>IFERROR(VLOOKUP(Opex_VE[[#This Row],[Fecha]],Historia!A:B,2,0),_xlfn.XLOOKUP(Opex_VE[[#This Row],[dia]],Forecast!I:I,Forecast!J:J))</f>
        <v>398333.33333333331</v>
      </c>
      <c r="G109" s="168">
        <f>IFERROR(VLOOKUP(Opex_VE[[#This Row],[Fecha]],Historia!A:C,3,0),_xlfn.XLOOKUP(Opex_VE[[#This Row],[dia]],Forecast!I:I,Forecast!K:K))</f>
        <v>159333.33333333334</v>
      </c>
      <c r="H109" s="182">
        <f>+Opex_VE[[#This Row],[MG]]-Opex_VE[[#This Row],[Opex]]</f>
        <v>-62045.633333333331</v>
      </c>
      <c r="I109" s="169" t="str">
        <f>IFERROR(VLOOKUP(Opex_VE[[#This Row],[Fecha]],Historia!A:D,4,0),"Forecast")</f>
        <v>Forecast</v>
      </c>
      <c r="J109" s="157">
        <f t="shared" si="2"/>
        <v>553447.41666666663</v>
      </c>
      <c r="K109" s="151">
        <f>+Opex_VE[[#This Row],[Arriendo]]+Opex_VE[[#This Row],[Servicios publicos]]+Opex_VE[[#This Row],[Nomina]]</f>
        <v>221378.96666666667</v>
      </c>
      <c r="L109" s="152">
        <f>+VLOOKUP(Opex_VE[[#This Row],[Fecha]],Opex!$B:$Y,OPEX_SALES!L$1,1)</f>
        <v>55000</v>
      </c>
      <c r="M109" s="153">
        <f>+SUM(Opex_VE[[#This Row],[Internet]:[Electricidad]])</f>
        <v>26378.966666666667</v>
      </c>
      <c r="N109" s="152">
        <f>+VLOOKUP(Opex_VE[[#This Row],[Fecha]],Opex!$B:$Y,OPEX_SALES!N$1,1)</f>
        <v>3500</v>
      </c>
      <c r="O109" s="152">
        <f>+VLOOKUP(Opex_VE[[#This Row],[Fecha]],Opex!$B:$Y,OPEX_SALES!O$1,1)</f>
        <v>8243.9666666666672</v>
      </c>
      <c r="P109" s="152">
        <f>+VLOOKUP(Opex_VE[[#This Row],[Fecha]],Opex!$B:$Y,OPEX_SALES!P$1,1)</f>
        <v>4000</v>
      </c>
      <c r="Q109" s="152">
        <f>+VLOOKUP(Opex_VE[[#This Row],[Fecha]],Opex!$B:$Y,OPEX_SALES!Q$1,1)</f>
        <v>10635</v>
      </c>
      <c r="R109" s="153">
        <f>+SUM(Opex_VE[[#This Row],[Cajero]:[Domiciliario]])</f>
        <v>140000</v>
      </c>
      <c r="S109" s="152">
        <v>70000</v>
      </c>
      <c r="T109" s="152">
        <v>70000</v>
      </c>
      <c r="U109" s="152">
        <v>0</v>
      </c>
      <c r="V109"/>
    </row>
    <row r="110" spans="1:22" x14ac:dyDescent="0.2">
      <c r="A110" s="149">
        <v>46173</v>
      </c>
      <c r="B110" s="3">
        <f t="shared" si="3"/>
        <v>14</v>
      </c>
      <c r="C110" s="3" t="str">
        <f>+TEXT(Opex_VE[[#This Row],[Fecha]],"ddd")</f>
        <v>dom</v>
      </c>
      <c r="E110" s="14" t="s">
        <v>145</v>
      </c>
      <c r="F110" s="168">
        <f>IFERROR(VLOOKUP(Opex_VE[[#This Row],[Fecha]],Historia!A:B,2,0),_xlfn.XLOOKUP(Opex_VE[[#This Row],[dia]],Forecast!I:I,Forecast!J:J))</f>
        <v>168750</v>
      </c>
      <c r="G110" s="168">
        <f>IFERROR(VLOOKUP(Opex_VE[[#This Row],[Fecha]],Historia!A:C,3,0),_xlfn.XLOOKUP(Opex_VE[[#This Row],[dia]],Forecast!I:I,Forecast!K:K))</f>
        <v>67500</v>
      </c>
      <c r="H110" s="182">
        <f>+Opex_VE[[#This Row],[MG]]-Opex_VE[[#This Row],[Opex]]</f>
        <v>-153878.96666666667</v>
      </c>
      <c r="I110" s="168" t="str">
        <f>IFERROR(VLOOKUP(Opex_VE[[#This Row],[Fecha]],Historia!A:D,4,0),"Forecast")</f>
        <v>Forecast</v>
      </c>
      <c r="J110" s="157">
        <f t="shared" si="2"/>
        <v>553447.41666666663</v>
      </c>
      <c r="K110" s="151">
        <f>+Opex_VE[[#This Row],[Arriendo]]+Opex_VE[[#This Row],[Servicios publicos]]+Opex_VE[[#This Row],[Nomina]]</f>
        <v>221378.96666666667</v>
      </c>
      <c r="L110" s="152">
        <f>+VLOOKUP(Opex_VE[[#This Row],[Fecha]],Opex!$B:$Y,OPEX_SALES!L$1,1)</f>
        <v>55000</v>
      </c>
      <c r="M110" s="153">
        <f>+SUM(Opex_VE[[#This Row],[Internet]:[Electricidad]])</f>
        <v>26378.966666666667</v>
      </c>
      <c r="N110" s="152">
        <f>+VLOOKUP(Opex_VE[[#This Row],[Fecha]],Opex!$B:$Y,OPEX_SALES!N$1,1)</f>
        <v>3500</v>
      </c>
      <c r="O110" s="152">
        <f>+VLOOKUP(Opex_VE[[#This Row],[Fecha]],Opex!$B:$Y,OPEX_SALES!O$1,1)</f>
        <v>8243.9666666666672</v>
      </c>
      <c r="P110" s="152">
        <f>+VLOOKUP(Opex_VE[[#This Row],[Fecha]],Opex!$B:$Y,OPEX_SALES!P$1,1)</f>
        <v>4000</v>
      </c>
      <c r="Q110" s="152">
        <f>+VLOOKUP(Opex_VE[[#This Row],[Fecha]],Opex!$B:$Y,OPEX_SALES!Q$1,1)</f>
        <v>10635</v>
      </c>
      <c r="R110" s="153">
        <f>+SUM(Opex_VE[[#This Row],[Cajero]:[Domiciliario]])</f>
        <v>140000</v>
      </c>
      <c r="S110" s="152">
        <v>70000</v>
      </c>
      <c r="T110" s="152">
        <v>70000</v>
      </c>
      <c r="U110" s="152">
        <v>0</v>
      </c>
      <c r="V110"/>
    </row>
    <row r="111" spans="1:22" x14ac:dyDescent="0.2">
      <c r="A111" s="149">
        <v>46174</v>
      </c>
      <c r="B111" s="3">
        <f t="shared" si="3"/>
        <v>15</v>
      </c>
      <c r="C111" s="3" t="str">
        <f>+TEXT(Opex_VE[[#This Row],[Fecha]],"ddd")</f>
        <v>lun</v>
      </c>
      <c r="E111" s="14" t="s">
        <v>112</v>
      </c>
      <c r="F111" s="168">
        <f>IFERROR(VLOOKUP(Opex_VE[[#This Row],[Fecha]],Historia!A:B,2,0),_xlfn.XLOOKUP(Opex_VE[[#This Row],[dia]],Forecast!I:I,Forecast!J:J))</f>
        <v>164375</v>
      </c>
      <c r="G111" s="168">
        <f>IFERROR(VLOOKUP(Opex_VE[[#This Row],[Fecha]],Historia!A:C,3,0),_xlfn.XLOOKUP(Opex_VE[[#This Row],[dia]],Forecast!I:I,Forecast!K:K))</f>
        <v>65750</v>
      </c>
      <c r="H111" s="182">
        <f>+Opex_VE[[#This Row],[MG]]-Opex_VE[[#This Row],[Opex]]</f>
        <v>-155628.96666666667</v>
      </c>
      <c r="I111" s="168" t="str">
        <f>IFERROR(VLOOKUP(Opex_VE[[#This Row],[Fecha]],Historia!A:D,4,0),"Forecast")</f>
        <v>Forecast</v>
      </c>
      <c r="J111" s="157">
        <f t="shared" si="2"/>
        <v>553447.41666666663</v>
      </c>
      <c r="K111" s="151">
        <f>+Opex_VE[[#This Row],[Arriendo]]+Opex_VE[[#This Row],[Servicios publicos]]+Opex_VE[[#This Row],[Nomina]]</f>
        <v>221378.96666666667</v>
      </c>
      <c r="L111" s="152">
        <f>+VLOOKUP(Opex_VE[[#This Row],[Fecha]],Opex!$B:$Y,OPEX_SALES!L$1,1)</f>
        <v>55000</v>
      </c>
      <c r="M111" s="153">
        <f>+SUM(Opex_VE[[#This Row],[Internet]:[Electricidad]])</f>
        <v>26378.966666666667</v>
      </c>
      <c r="N111" s="152">
        <f>+VLOOKUP(Opex_VE[[#This Row],[Fecha]],Opex!$B:$Y,OPEX_SALES!N$1,1)</f>
        <v>3500</v>
      </c>
      <c r="O111" s="152">
        <f>+VLOOKUP(Opex_VE[[#This Row],[Fecha]],Opex!$B:$Y,OPEX_SALES!O$1,1)</f>
        <v>8243.9666666666672</v>
      </c>
      <c r="P111" s="152">
        <f>+VLOOKUP(Opex_VE[[#This Row],[Fecha]],Opex!$B:$Y,OPEX_SALES!P$1,1)</f>
        <v>4000</v>
      </c>
      <c r="Q111" s="152">
        <f>+VLOOKUP(Opex_VE[[#This Row],[Fecha]],Opex!$B:$Y,OPEX_SALES!Q$1,1)</f>
        <v>10635</v>
      </c>
      <c r="R111" s="153">
        <f>+SUM(Opex_VE[[#This Row],[Cajero]:[Domiciliario]])</f>
        <v>140000</v>
      </c>
      <c r="S111" s="152">
        <v>70000</v>
      </c>
      <c r="T111" s="152">
        <v>70000</v>
      </c>
      <c r="U111" s="152">
        <v>0</v>
      </c>
      <c r="V111"/>
    </row>
    <row r="112" spans="1:22" x14ac:dyDescent="0.2">
      <c r="A112" s="149">
        <v>46175</v>
      </c>
      <c r="B112" s="3">
        <f t="shared" si="3"/>
        <v>15</v>
      </c>
      <c r="C112" s="3" t="str">
        <f>+TEXT(Opex_VE[[#This Row],[Fecha]],"ddd")</f>
        <v>mar</v>
      </c>
      <c r="E112" s="14" t="s">
        <v>112</v>
      </c>
      <c r="F112" s="168">
        <f>IFERROR(VLOOKUP(Opex_VE[[#This Row],[Fecha]],Historia!A:B,2,0),_xlfn.XLOOKUP(Opex_VE[[#This Row],[dia]],Forecast!I:I,Forecast!J:J))</f>
        <v>199625</v>
      </c>
      <c r="G112" s="168">
        <f>IFERROR(VLOOKUP(Opex_VE[[#This Row],[Fecha]],Historia!A:C,3,0),_xlfn.XLOOKUP(Opex_VE[[#This Row],[dia]],Forecast!I:I,Forecast!K:K))</f>
        <v>79850</v>
      </c>
      <c r="H112" s="182">
        <f>+Opex_VE[[#This Row],[MG]]-Opex_VE[[#This Row],[Opex]]</f>
        <v>-141528.96666666667</v>
      </c>
      <c r="I112" s="168" t="str">
        <f>IFERROR(VLOOKUP(Opex_VE[[#This Row],[Fecha]],Historia!A:D,4,0),"Forecast")</f>
        <v>Forecast</v>
      </c>
      <c r="J112" s="157">
        <f t="shared" si="2"/>
        <v>553447.41666666663</v>
      </c>
      <c r="K112" s="151">
        <f>+Opex_VE[[#This Row],[Arriendo]]+Opex_VE[[#This Row],[Servicios publicos]]+Opex_VE[[#This Row],[Nomina]]</f>
        <v>221378.96666666667</v>
      </c>
      <c r="L112" s="152">
        <f>+VLOOKUP(Opex_VE[[#This Row],[Fecha]],Opex!$B:$Y,OPEX_SALES!L$1,1)</f>
        <v>55000</v>
      </c>
      <c r="M112" s="153">
        <f>+SUM(Opex_VE[[#This Row],[Internet]:[Electricidad]])</f>
        <v>26378.966666666667</v>
      </c>
      <c r="N112" s="152">
        <f>+VLOOKUP(Opex_VE[[#This Row],[Fecha]],Opex!$B:$Y,OPEX_SALES!N$1,1)</f>
        <v>3500</v>
      </c>
      <c r="O112" s="152">
        <f>+VLOOKUP(Opex_VE[[#This Row],[Fecha]],Opex!$B:$Y,OPEX_SALES!O$1,1)</f>
        <v>8243.9666666666672</v>
      </c>
      <c r="P112" s="152">
        <f>+VLOOKUP(Opex_VE[[#This Row],[Fecha]],Opex!$B:$Y,OPEX_SALES!P$1,1)</f>
        <v>4000</v>
      </c>
      <c r="Q112" s="152">
        <f>+VLOOKUP(Opex_VE[[#This Row],[Fecha]],Opex!$B:$Y,OPEX_SALES!Q$1,1)</f>
        <v>10635</v>
      </c>
      <c r="R112" s="153">
        <f>+SUM(Opex_VE[[#This Row],[Cajero]:[Domiciliario]])</f>
        <v>140000</v>
      </c>
      <c r="S112" s="152">
        <v>70000</v>
      </c>
      <c r="T112" s="152">
        <v>70000</v>
      </c>
      <c r="U112" s="152">
        <v>0</v>
      </c>
      <c r="V112"/>
    </row>
    <row r="113" spans="1:22" x14ac:dyDescent="0.2">
      <c r="A113" s="149">
        <v>46176</v>
      </c>
      <c r="B113" s="3">
        <f t="shared" si="3"/>
        <v>15</v>
      </c>
      <c r="C113" s="3" t="str">
        <f>+TEXT(Opex_VE[[#This Row],[Fecha]],"ddd")</f>
        <v>mié</v>
      </c>
      <c r="E113" s="14" t="s">
        <v>112</v>
      </c>
      <c r="F113" s="168">
        <f>IFERROR(VLOOKUP(Opex_VE[[#This Row],[Fecha]],Historia!A:B,2,0),_xlfn.XLOOKUP(Opex_VE[[#This Row],[dia]],Forecast!I:I,Forecast!J:J))</f>
        <v>339250</v>
      </c>
      <c r="G113" s="168">
        <f>IFERROR(VLOOKUP(Opex_VE[[#This Row],[Fecha]],Historia!A:C,3,0),_xlfn.XLOOKUP(Opex_VE[[#This Row],[dia]],Forecast!I:I,Forecast!K:K))</f>
        <v>135700</v>
      </c>
      <c r="H113" s="182">
        <f>+Opex_VE[[#This Row],[MG]]-Opex_VE[[#This Row],[Opex]]</f>
        <v>-85678.966666666674</v>
      </c>
      <c r="I113" s="168" t="str">
        <f>IFERROR(VLOOKUP(Opex_VE[[#This Row],[Fecha]],Historia!A:D,4,0),"Forecast")</f>
        <v>Forecast</v>
      </c>
      <c r="J113" s="157">
        <f t="shared" si="2"/>
        <v>553447.41666666663</v>
      </c>
      <c r="K113" s="151">
        <f>+Opex_VE[[#This Row],[Arriendo]]+Opex_VE[[#This Row],[Servicios publicos]]+Opex_VE[[#This Row],[Nomina]]</f>
        <v>221378.96666666667</v>
      </c>
      <c r="L113" s="152">
        <f>+VLOOKUP(Opex_VE[[#This Row],[Fecha]],Opex!$B:$Y,OPEX_SALES!L$1,1)</f>
        <v>55000</v>
      </c>
      <c r="M113" s="153">
        <f>+SUM(Opex_VE[[#This Row],[Internet]:[Electricidad]])</f>
        <v>26378.966666666667</v>
      </c>
      <c r="N113" s="152">
        <f>+VLOOKUP(Opex_VE[[#This Row],[Fecha]],Opex!$B:$Y,OPEX_SALES!N$1,1)</f>
        <v>3500</v>
      </c>
      <c r="O113" s="152">
        <f>+VLOOKUP(Opex_VE[[#This Row],[Fecha]],Opex!$B:$Y,OPEX_SALES!O$1,1)</f>
        <v>8243.9666666666672</v>
      </c>
      <c r="P113" s="152">
        <f>+VLOOKUP(Opex_VE[[#This Row],[Fecha]],Opex!$B:$Y,OPEX_SALES!P$1,1)</f>
        <v>4000</v>
      </c>
      <c r="Q113" s="152">
        <f>+VLOOKUP(Opex_VE[[#This Row],[Fecha]],Opex!$B:$Y,OPEX_SALES!Q$1,1)</f>
        <v>10635</v>
      </c>
      <c r="R113" s="153">
        <f>+SUM(Opex_VE[[#This Row],[Cajero]:[Domiciliario]])</f>
        <v>140000</v>
      </c>
      <c r="S113" s="152">
        <v>70000</v>
      </c>
      <c r="T113" s="152">
        <v>70000</v>
      </c>
      <c r="U113" s="152">
        <v>0</v>
      </c>
      <c r="V113"/>
    </row>
    <row r="114" spans="1:22" x14ac:dyDescent="0.2">
      <c r="A114" s="149">
        <v>46177</v>
      </c>
      <c r="B114" s="3">
        <f t="shared" si="3"/>
        <v>15</v>
      </c>
      <c r="C114" s="3" t="str">
        <f>+TEXT(Opex_VE[[#This Row],[Fecha]],"ddd")</f>
        <v>jue</v>
      </c>
      <c r="E114" s="14" t="s">
        <v>112</v>
      </c>
      <c r="F114" s="168">
        <f>IFERROR(VLOOKUP(Opex_VE[[#This Row],[Fecha]],Historia!A:B,2,0),_xlfn.XLOOKUP(Opex_VE[[#This Row],[dia]],Forecast!I:I,Forecast!J:J))</f>
        <v>274975</v>
      </c>
      <c r="G114" s="168">
        <f>IFERROR(VLOOKUP(Opex_VE[[#This Row],[Fecha]],Historia!A:C,3,0),_xlfn.XLOOKUP(Opex_VE[[#This Row],[dia]],Forecast!I:I,Forecast!K:K))</f>
        <v>109990</v>
      </c>
      <c r="H114" s="182">
        <f>+Opex_VE[[#This Row],[MG]]-Opex_VE[[#This Row],[Opex]]</f>
        <v>-111388.96666666667</v>
      </c>
      <c r="I114" s="168" t="str">
        <f>IFERROR(VLOOKUP(Opex_VE[[#This Row],[Fecha]],Historia!A:D,4,0),"Forecast")</f>
        <v>Forecast</v>
      </c>
      <c r="J114" s="157">
        <f t="shared" si="2"/>
        <v>553447.41666666663</v>
      </c>
      <c r="K114" s="151">
        <f>+Opex_VE[[#This Row],[Arriendo]]+Opex_VE[[#This Row],[Servicios publicos]]+Opex_VE[[#This Row],[Nomina]]</f>
        <v>221378.96666666667</v>
      </c>
      <c r="L114" s="152">
        <f>+VLOOKUP(Opex_VE[[#This Row],[Fecha]],Opex!$B:$Y,OPEX_SALES!L$1,1)</f>
        <v>55000</v>
      </c>
      <c r="M114" s="153">
        <f>+SUM(Opex_VE[[#This Row],[Internet]:[Electricidad]])</f>
        <v>26378.966666666667</v>
      </c>
      <c r="N114" s="152">
        <f>+VLOOKUP(Opex_VE[[#This Row],[Fecha]],Opex!$B:$Y,OPEX_SALES!N$1,1)</f>
        <v>3500</v>
      </c>
      <c r="O114" s="152">
        <f>+VLOOKUP(Opex_VE[[#This Row],[Fecha]],Opex!$B:$Y,OPEX_SALES!O$1,1)</f>
        <v>8243.9666666666672</v>
      </c>
      <c r="P114" s="152">
        <f>+VLOOKUP(Opex_VE[[#This Row],[Fecha]],Opex!$B:$Y,OPEX_SALES!P$1,1)</f>
        <v>4000</v>
      </c>
      <c r="Q114" s="152">
        <f>+VLOOKUP(Opex_VE[[#This Row],[Fecha]],Opex!$B:$Y,OPEX_SALES!Q$1,1)</f>
        <v>10635</v>
      </c>
      <c r="R114" s="153">
        <f>+SUM(Opex_VE[[#This Row],[Cajero]:[Domiciliario]])</f>
        <v>140000</v>
      </c>
      <c r="S114" s="152">
        <v>70000</v>
      </c>
      <c r="T114" s="152">
        <v>70000</v>
      </c>
      <c r="U114" s="152">
        <v>0</v>
      </c>
      <c r="V114"/>
    </row>
    <row r="115" spans="1:22" x14ac:dyDescent="0.2">
      <c r="A115" s="149">
        <v>46178</v>
      </c>
      <c r="B115" s="3">
        <f t="shared" si="3"/>
        <v>15</v>
      </c>
      <c r="C115" s="3" t="str">
        <f>+TEXT(Opex_VE[[#This Row],[Fecha]],"ddd")</f>
        <v>vie</v>
      </c>
      <c r="E115" s="14" t="s">
        <v>217</v>
      </c>
      <c r="F115" s="168">
        <f>IFERROR(VLOOKUP(Opex_VE[[#This Row],[Fecha]],Historia!A:B,2,0),_xlfn.XLOOKUP(Opex_VE[[#This Row],[dia]],Forecast!I:I,Forecast!J:J))</f>
        <v>184566.66666666666</v>
      </c>
      <c r="G115" s="168">
        <f>IFERROR(VLOOKUP(Opex_VE[[#This Row],[Fecha]],Historia!A:C,3,0),_xlfn.XLOOKUP(Opex_VE[[#This Row],[dia]],Forecast!I:I,Forecast!K:K))</f>
        <v>73826.666666666672</v>
      </c>
      <c r="H115" s="182">
        <f>+Opex_VE[[#This Row],[MG]]-Opex_VE[[#This Row],[Opex]]</f>
        <v>-147552.29999999999</v>
      </c>
      <c r="I115" s="168" t="str">
        <f>IFERROR(VLOOKUP(Opex_VE[[#This Row],[Fecha]],Historia!A:D,4,0),"Forecast")</f>
        <v>Forecast</v>
      </c>
      <c r="J115" s="157">
        <f t="shared" si="2"/>
        <v>553447.41666666663</v>
      </c>
      <c r="K115" s="151">
        <f>+Opex_VE[[#This Row],[Arriendo]]+Opex_VE[[#This Row],[Servicios publicos]]+Opex_VE[[#This Row],[Nomina]]</f>
        <v>221378.96666666667</v>
      </c>
      <c r="L115" s="152">
        <f>+VLOOKUP(Opex_VE[[#This Row],[Fecha]],Opex!$B:$Y,OPEX_SALES!L$1,1)</f>
        <v>55000</v>
      </c>
      <c r="M115" s="153">
        <f>+SUM(Opex_VE[[#This Row],[Internet]:[Electricidad]])</f>
        <v>26378.966666666667</v>
      </c>
      <c r="N115" s="152">
        <f>+VLOOKUP(Opex_VE[[#This Row],[Fecha]],Opex!$B:$Y,OPEX_SALES!N$1,1)</f>
        <v>3500</v>
      </c>
      <c r="O115" s="152">
        <f>+VLOOKUP(Opex_VE[[#This Row],[Fecha]],Opex!$B:$Y,OPEX_SALES!O$1,1)</f>
        <v>8243.9666666666672</v>
      </c>
      <c r="P115" s="152">
        <f>+VLOOKUP(Opex_VE[[#This Row],[Fecha]],Opex!$B:$Y,OPEX_SALES!P$1,1)</f>
        <v>4000</v>
      </c>
      <c r="Q115" s="152">
        <f>+VLOOKUP(Opex_VE[[#This Row],[Fecha]],Opex!$B:$Y,OPEX_SALES!Q$1,1)</f>
        <v>10635</v>
      </c>
      <c r="R115" s="153">
        <f>+SUM(Opex_VE[[#This Row],[Cajero]:[Domiciliario]])</f>
        <v>140000</v>
      </c>
      <c r="S115" s="152">
        <v>70000</v>
      </c>
      <c r="T115" s="152">
        <v>70000</v>
      </c>
      <c r="U115" s="152">
        <v>0</v>
      </c>
      <c r="V115"/>
    </row>
    <row r="116" spans="1:22" x14ac:dyDescent="0.2">
      <c r="A116" s="149">
        <v>46179</v>
      </c>
      <c r="B116" s="3">
        <f t="shared" si="3"/>
        <v>15</v>
      </c>
      <c r="C116" s="3" t="str">
        <f>+TEXT(Opex_VE[[#This Row],[Fecha]],"ddd")</f>
        <v>sáb</v>
      </c>
      <c r="E116" s="14" t="s">
        <v>113</v>
      </c>
      <c r="F116" s="168">
        <f>IFERROR(VLOOKUP(Opex_VE[[#This Row],[Fecha]],Historia!A:B,2,0),_xlfn.XLOOKUP(Opex_VE[[#This Row],[dia]],Forecast!I:I,Forecast!J:J))</f>
        <v>398333.33333333331</v>
      </c>
      <c r="G116" s="168">
        <f>IFERROR(VLOOKUP(Opex_VE[[#This Row],[Fecha]],Historia!A:C,3,0),_xlfn.XLOOKUP(Opex_VE[[#This Row],[dia]],Forecast!I:I,Forecast!K:K))</f>
        <v>159333.33333333334</v>
      </c>
      <c r="H116" s="182">
        <f>+Opex_VE[[#This Row],[MG]]-Opex_VE[[#This Row],[Opex]]</f>
        <v>-62045.633333333331</v>
      </c>
      <c r="I116" s="169" t="str">
        <f>IFERROR(VLOOKUP(Opex_VE[[#This Row],[Fecha]],Historia!A:D,4,0),"Forecast")</f>
        <v>Forecast</v>
      </c>
      <c r="J116" s="157">
        <f t="shared" si="2"/>
        <v>553447.41666666663</v>
      </c>
      <c r="K116" s="151">
        <f>+Opex_VE[[#This Row],[Arriendo]]+Opex_VE[[#This Row],[Servicios publicos]]+Opex_VE[[#This Row],[Nomina]]</f>
        <v>221378.96666666667</v>
      </c>
      <c r="L116" s="152">
        <f>+VLOOKUP(Opex_VE[[#This Row],[Fecha]],Opex!$B:$Y,OPEX_SALES!L$1,1)</f>
        <v>55000</v>
      </c>
      <c r="M116" s="153">
        <f>+SUM(Opex_VE[[#This Row],[Internet]:[Electricidad]])</f>
        <v>26378.966666666667</v>
      </c>
      <c r="N116" s="152">
        <f>+VLOOKUP(Opex_VE[[#This Row],[Fecha]],Opex!$B:$Y,OPEX_SALES!N$1,1)</f>
        <v>3500</v>
      </c>
      <c r="O116" s="152">
        <f>+VLOOKUP(Opex_VE[[#This Row],[Fecha]],Opex!$B:$Y,OPEX_SALES!O$1,1)</f>
        <v>8243.9666666666672</v>
      </c>
      <c r="P116" s="152">
        <f>+VLOOKUP(Opex_VE[[#This Row],[Fecha]],Opex!$B:$Y,OPEX_SALES!P$1,1)</f>
        <v>4000</v>
      </c>
      <c r="Q116" s="152">
        <f>+VLOOKUP(Opex_VE[[#This Row],[Fecha]],Opex!$B:$Y,OPEX_SALES!Q$1,1)</f>
        <v>10635</v>
      </c>
      <c r="R116" s="153">
        <f>+SUM(Opex_VE[[#This Row],[Cajero]:[Domiciliario]])</f>
        <v>140000</v>
      </c>
      <c r="S116" s="152">
        <v>70000</v>
      </c>
      <c r="T116" s="152">
        <v>70000</v>
      </c>
      <c r="U116" s="152">
        <v>0</v>
      </c>
      <c r="V116"/>
    </row>
    <row r="117" spans="1:22" x14ac:dyDescent="0.2">
      <c r="A117" s="149">
        <v>46180</v>
      </c>
      <c r="B117" s="3">
        <f t="shared" si="3"/>
        <v>15</v>
      </c>
      <c r="C117" s="3" t="str">
        <f>+TEXT(Opex_VE[[#This Row],[Fecha]],"ddd")</f>
        <v>dom</v>
      </c>
      <c r="E117" s="14" t="s">
        <v>145</v>
      </c>
      <c r="F117" s="168">
        <f>IFERROR(VLOOKUP(Opex_VE[[#This Row],[Fecha]],Historia!A:B,2,0),_xlfn.XLOOKUP(Opex_VE[[#This Row],[dia]],Forecast!I:I,Forecast!J:J))</f>
        <v>168750</v>
      </c>
      <c r="G117" s="168">
        <f>IFERROR(VLOOKUP(Opex_VE[[#This Row],[Fecha]],Historia!A:C,3,0),_xlfn.XLOOKUP(Opex_VE[[#This Row],[dia]],Forecast!I:I,Forecast!K:K))</f>
        <v>67500</v>
      </c>
      <c r="H117" s="182">
        <f>+Opex_VE[[#This Row],[MG]]-Opex_VE[[#This Row],[Opex]]</f>
        <v>-153878.96666666667</v>
      </c>
      <c r="I117" s="168" t="str">
        <f>IFERROR(VLOOKUP(Opex_VE[[#This Row],[Fecha]],Historia!A:D,4,0),"Forecast")</f>
        <v>Forecast</v>
      </c>
      <c r="J117" s="157">
        <f t="shared" si="2"/>
        <v>553447.41666666663</v>
      </c>
      <c r="K117" s="151">
        <f>+Opex_VE[[#This Row],[Arriendo]]+Opex_VE[[#This Row],[Servicios publicos]]+Opex_VE[[#This Row],[Nomina]]</f>
        <v>221378.96666666667</v>
      </c>
      <c r="L117" s="152">
        <f>+VLOOKUP(Opex_VE[[#This Row],[Fecha]],Opex!$B:$Y,OPEX_SALES!L$1,1)</f>
        <v>55000</v>
      </c>
      <c r="M117" s="153">
        <f>+SUM(Opex_VE[[#This Row],[Internet]:[Electricidad]])</f>
        <v>26378.966666666667</v>
      </c>
      <c r="N117" s="152">
        <f>+VLOOKUP(Opex_VE[[#This Row],[Fecha]],Opex!$B:$Y,OPEX_SALES!N$1,1)</f>
        <v>3500</v>
      </c>
      <c r="O117" s="152">
        <f>+VLOOKUP(Opex_VE[[#This Row],[Fecha]],Opex!$B:$Y,OPEX_SALES!O$1,1)</f>
        <v>8243.9666666666672</v>
      </c>
      <c r="P117" s="152">
        <f>+VLOOKUP(Opex_VE[[#This Row],[Fecha]],Opex!$B:$Y,OPEX_SALES!P$1,1)</f>
        <v>4000</v>
      </c>
      <c r="Q117" s="152">
        <f>+VLOOKUP(Opex_VE[[#This Row],[Fecha]],Opex!$B:$Y,OPEX_SALES!Q$1,1)</f>
        <v>10635</v>
      </c>
      <c r="R117" s="153">
        <f>+SUM(Opex_VE[[#This Row],[Cajero]:[Domiciliario]])</f>
        <v>140000</v>
      </c>
      <c r="S117" s="152">
        <v>70000</v>
      </c>
      <c r="T117" s="152">
        <v>70000</v>
      </c>
      <c r="U117" s="152">
        <v>0</v>
      </c>
      <c r="V117"/>
    </row>
    <row r="118" spans="1:22" x14ac:dyDescent="0.2">
      <c r="A118" s="149">
        <v>46181</v>
      </c>
      <c r="B118" s="3">
        <f t="shared" si="3"/>
        <v>16</v>
      </c>
      <c r="C118" s="3" t="str">
        <f>+TEXT(Opex_VE[[#This Row],[Fecha]],"ddd")</f>
        <v>lun</v>
      </c>
      <c r="E118" s="14" t="s">
        <v>112</v>
      </c>
      <c r="F118" s="168">
        <f>IFERROR(VLOOKUP(Opex_VE[[#This Row],[Fecha]],Historia!A:B,2,0),_xlfn.XLOOKUP(Opex_VE[[#This Row],[dia]],Forecast!I:I,Forecast!J:J))</f>
        <v>164375</v>
      </c>
      <c r="G118" s="168">
        <f>IFERROR(VLOOKUP(Opex_VE[[#This Row],[Fecha]],Historia!A:C,3,0),_xlfn.XLOOKUP(Opex_VE[[#This Row],[dia]],Forecast!I:I,Forecast!K:K))</f>
        <v>65750</v>
      </c>
      <c r="H118" s="182">
        <f>+Opex_VE[[#This Row],[MG]]-Opex_VE[[#This Row],[Opex]]</f>
        <v>-155628.96666666667</v>
      </c>
      <c r="I118" s="168" t="str">
        <f>IFERROR(VLOOKUP(Opex_VE[[#This Row],[Fecha]],Historia!A:D,4,0),"Forecast")</f>
        <v>Forecast</v>
      </c>
      <c r="J118" s="157">
        <f t="shared" si="2"/>
        <v>553447.41666666663</v>
      </c>
      <c r="K118" s="151">
        <f>+Opex_VE[[#This Row],[Arriendo]]+Opex_VE[[#This Row],[Servicios publicos]]+Opex_VE[[#This Row],[Nomina]]</f>
        <v>221378.96666666667</v>
      </c>
      <c r="L118" s="152">
        <f>+VLOOKUP(Opex_VE[[#This Row],[Fecha]],Opex!$B:$Y,OPEX_SALES!L$1,1)</f>
        <v>55000</v>
      </c>
      <c r="M118" s="153">
        <f>+SUM(Opex_VE[[#This Row],[Internet]:[Electricidad]])</f>
        <v>26378.966666666667</v>
      </c>
      <c r="N118" s="152">
        <f>+VLOOKUP(Opex_VE[[#This Row],[Fecha]],Opex!$B:$Y,OPEX_SALES!N$1,1)</f>
        <v>3500</v>
      </c>
      <c r="O118" s="152">
        <f>+VLOOKUP(Opex_VE[[#This Row],[Fecha]],Opex!$B:$Y,OPEX_SALES!O$1,1)</f>
        <v>8243.9666666666672</v>
      </c>
      <c r="P118" s="152">
        <f>+VLOOKUP(Opex_VE[[#This Row],[Fecha]],Opex!$B:$Y,OPEX_SALES!P$1,1)</f>
        <v>4000</v>
      </c>
      <c r="Q118" s="152">
        <f>+VLOOKUP(Opex_VE[[#This Row],[Fecha]],Opex!$B:$Y,OPEX_SALES!Q$1,1)</f>
        <v>10635</v>
      </c>
      <c r="R118" s="153">
        <f>+SUM(Opex_VE[[#This Row],[Cajero]:[Domiciliario]])</f>
        <v>140000</v>
      </c>
      <c r="S118" s="152">
        <v>70000</v>
      </c>
      <c r="T118" s="152">
        <v>70000</v>
      </c>
      <c r="U118" s="152">
        <v>0</v>
      </c>
      <c r="V118"/>
    </row>
    <row r="119" spans="1:22" x14ac:dyDescent="0.2">
      <c r="A119" s="149">
        <v>46182</v>
      </c>
      <c r="B119" s="3">
        <f t="shared" si="3"/>
        <v>16</v>
      </c>
      <c r="C119" s="3" t="str">
        <f>+TEXT(Opex_VE[[#This Row],[Fecha]],"ddd")</f>
        <v>mar</v>
      </c>
      <c r="E119" s="14" t="s">
        <v>112</v>
      </c>
      <c r="F119" s="168">
        <f>IFERROR(VLOOKUP(Opex_VE[[#This Row],[Fecha]],Historia!A:B,2,0),_xlfn.XLOOKUP(Opex_VE[[#This Row],[dia]],Forecast!I:I,Forecast!J:J))</f>
        <v>199625</v>
      </c>
      <c r="G119" s="168">
        <f>IFERROR(VLOOKUP(Opex_VE[[#This Row],[Fecha]],Historia!A:C,3,0),_xlfn.XLOOKUP(Opex_VE[[#This Row],[dia]],Forecast!I:I,Forecast!K:K))</f>
        <v>79850</v>
      </c>
      <c r="H119" s="182">
        <f>+Opex_VE[[#This Row],[MG]]-Opex_VE[[#This Row],[Opex]]</f>
        <v>-141528.96666666667</v>
      </c>
      <c r="I119" s="168" t="str">
        <f>IFERROR(VLOOKUP(Opex_VE[[#This Row],[Fecha]],Historia!A:D,4,0),"Forecast")</f>
        <v>Forecast</v>
      </c>
      <c r="J119" s="157">
        <f t="shared" si="2"/>
        <v>553447.41666666663</v>
      </c>
      <c r="K119" s="151">
        <f>+Opex_VE[[#This Row],[Arriendo]]+Opex_VE[[#This Row],[Servicios publicos]]+Opex_VE[[#This Row],[Nomina]]</f>
        <v>221378.96666666667</v>
      </c>
      <c r="L119" s="152">
        <f>+VLOOKUP(Opex_VE[[#This Row],[Fecha]],Opex!$B:$Y,OPEX_SALES!L$1,1)</f>
        <v>55000</v>
      </c>
      <c r="M119" s="153">
        <f>+SUM(Opex_VE[[#This Row],[Internet]:[Electricidad]])</f>
        <v>26378.966666666667</v>
      </c>
      <c r="N119" s="152">
        <f>+VLOOKUP(Opex_VE[[#This Row],[Fecha]],Opex!$B:$Y,OPEX_SALES!N$1,1)</f>
        <v>3500</v>
      </c>
      <c r="O119" s="152">
        <f>+VLOOKUP(Opex_VE[[#This Row],[Fecha]],Opex!$B:$Y,OPEX_SALES!O$1,1)</f>
        <v>8243.9666666666672</v>
      </c>
      <c r="P119" s="152">
        <f>+VLOOKUP(Opex_VE[[#This Row],[Fecha]],Opex!$B:$Y,OPEX_SALES!P$1,1)</f>
        <v>4000</v>
      </c>
      <c r="Q119" s="152">
        <f>+VLOOKUP(Opex_VE[[#This Row],[Fecha]],Opex!$B:$Y,OPEX_SALES!Q$1,1)</f>
        <v>10635</v>
      </c>
      <c r="R119" s="153">
        <f>+SUM(Opex_VE[[#This Row],[Cajero]:[Domiciliario]])</f>
        <v>140000</v>
      </c>
      <c r="S119" s="152">
        <v>70000</v>
      </c>
      <c r="T119" s="152">
        <v>70000</v>
      </c>
      <c r="U119" s="152">
        <v>0</v>
      </c>
      <c r="V119"/>
    </row>
    <row r="120" spans="1:22" x14ac:dyDescent="0.2">
      <c r="A120" s="149">
        <v>46183</v>
      </c>
      <c r="B120" s="3">
        <f t="shared" si="3"/>
        <v>16</v>
      </c>
      <c r="C120" s="3" t="str">
        <f>+TEXT(Opex_VE[[#This Row],[Fecha]],"ddd")</f>
        <v>mié</v>
      </c>
      <c r="E120" s="14" t="s">
        <v>112</v>
      </c>
      <c r="F120" s="168">
        <f>IFERROR(VLOOKUP(Opex_VE[[#This Row],[Fecha]],Historia!A:B,2,0),_xlfn.XLOOKUP(Opex_VE[[#This Row],[dia]],Forecast!I:I,Forecast!J:J))</f>
        <v>339250</v>
      </c>
      <c r="G120" s="168">
        <f>IFERROR(VLOOKUP(Opex_VE[[#This Row],[Fecha]],Historia!A:C,3,0),_xlfn.XLOOKUP(Opex_VE[[#This Row],[dia]],Forecast!I:I,Forecast!K:K))</f>
        <v>135700</v>
      </c>
      <c r="H120" s="182">
        <f>+Opex_VE[[#This Row],[MG]]-Opex_VE[[#This Row],[Opex]]</f>
        <v>-85678.966666666674</v>
      </c>
      <c r="I120" s="168" t="str">
        <f>IFERROR(VLOOKUP(Opex_VE[[#This Row],[Fecha]],Historia!A:D,4,0),"Forecast")</f>
        <v>Forecast</v>
      </c>
      <c r="J120" s="157">
        <f t="shared" si="2"/>
        <v>553447.41666666663</v>
      </c>
      <c r="K120" s="151">
        <f>+Opex_VE[[#This Row],[Arriendo]]+Opex_VE[[#This Row],[Servicios publicos]]+Opex_VE[[#This Row],[Nomina]]</f>
        <v>221378.96666666667</v>
      </c>
      <c r="L120" s="152">
        <f>+VLOOKUP(Opex_VE[[#This Row],[Fecha]],Opex!$B:$Y,OPEX_SALES!L$1,1)</f>
        <v>55000</v>
      </c>
      <c r="M120" s="153">
        <f>+SUM(Opex_VE[[#This Row],[Internet]:[Electricidad]])</f>
        <v>26378.966666666667</v>
      </c>
      <c r="N120" s="152">
        <f>+VLOOKUP(Opex_VE[[#This Row],[Fecha]],Opex!$B:$Y,OPEX_SALES!N$1,1)</f>
        <v>3500</v>
      </c>
      <c r="O120" s="152">
        <f>+VLOOKUP(Opex_VE[[#This Row],[Fecha]],Opex!$B:$Y,OPEX_SALES!O$1,1)</f>
        <v>8243.9666666666672</v>
      </c>
      <c r="P120" s="152">
        <f>+VLOOKUP(Opex_VE[[#This Row],[Fecha]],Opex!$B:$Y,OPEX_SALES!P$1,1)</f>
        <v>4000</v>
      </c>
      <c r="Q120" s="152">
        <f>+VLOOKUP(Opex_VE[[#This Row],[Fecha]],Opex!$B:$Y,OPEX_SALES!Q$1,1)</f>
        <v>10635</v>
      </c>
      <c r="R120" s="153">
        <f>+SUM(Opex_VE[[#This Row],[Cajero]:[Domiciliario]])</f>
        <v>140000</v>
      </c>
      <c r="S120" s="152">
        <v>70000</v>
      </c>
      <c r="T120" s="152">
        <v>70000</v>
      </c>
      <c r="U120" s="152">
        <v>0</v>
      </c>
      <c r="V120"/>
    </row>
    <row r="121" spans="1:22" x14ac:dyDescent="0.2">
      <c r="A121" s="149">
        <v>46184</v>
      </c>
      <c r="B121" s="3">
        <f t="shared" si="3"/>
        <v>16</v>
      </c>
      <c r="C121" s="3" t="str">
        <f>+TEXT(Opex_VE[[#This Row],[Fecha]],"ddd")</f>
        <v>jue</v>
      </c>
      <c r="E121" s="14" t="s">
        <v>112</v>
      </c>
      <c r="F121" s="168">
        <f>IFERROR(VLOOKUP(Opex_VE[[#This Row],[Fecha]],Historia!A:B,2,0),_xlfn.XLOOKUP(Opex_VE[[#This Row],[dia]],Forecast!I:I,Forecast!J:J))</f>
        <v>274975</v>
      </c>
      <c r="G121" s="168">
        <f>IFERROR(VLOOKUP(Opex_VE[[#This Row],[Fecha]],Historia!A:C,3,0),_xlfn.XLOOKUP(Opex_VE[[#This Row],[dia]],Forecast!I:I,Forecast!K:K))</f>
        <v>109990</v>
      </c>
      <c r="H121" s="182">
        <f>+Opex_VE[[#This Row],[MG]]-Opex_VE[[#This Row],[Opex]]</f>
        <v>-111388.96666666667</v>
      </c>
      <c r="I121" s="168" t="str">
        <f>IFERROR(VLOOKUP(Opex_VE[[#This Row],[Fecha]],Historia!A:D,4,0),"Forecast")</f>
        <v>Forecast</v>
      </c>
      <c r="J121" s="157">
        <f t="shared" si="2"/>
        <v>553447.41666666663</v>
      </c>
      <c r="K121" s="151">
        <f>+Opex_VE[[#This Row],[Arriendo]]+Opex_VE[[#This Row],[Servicios publicos]]+Opex_VE[[#This Row],[Nomina]]</f>
        <v>221378.96666666667</v>
      </c>
      <c r="L121" s="152">
        <f>+VLOOKUP(Opex_VE[[#This Row],[Fecha]],Opex!$B:$Y,OPEX_SALES!L$1,1)</f>
        <v>55000</v>
      </c>
      <c r="M121" s="153">
        <f>+SUM(Opex_VE[[#This Row],[Internet]:[Electricidad]])</f>
        <v>26378.966666666667</v>
      </c>
      <c r="N121" s="152">
        <f>+VLOOKUP(Opex_VE[[#This Row],[Fecha]],Opex!$B:$Y,OPEX_SALES!N$1,1)</f>
        <v>3500</v>
      </c>
      <c r="O121" s="152">
        <f>+VLOOKUP(Opex_VE[[#This Row],[Fecha]],Opex!$B:$Y,OPEX_SALES!O$1,1)</f>
        <v>8243.9666666666672</v>
      </c>
      <c r="P121" s="152">
        <f>+VLOOKUP(Opex_VE[[#This Row],[Fecha]],Opex!$B:$Y,OPEX_SALES!P$1,1)</f>
        <v>4000</v>
      </c>
      <c r="Q121" s="152">
        <f>+VLOOKUP(Opex_VE[[#This Row],[Fecha]],Opex!$B:$Y,OPEX_SALES!Q$1,1)</f>
        <v>10635</v>
      </c>
      <c r="R121" s="153">
        <f>+SUM(Opex_VE[[#This Row],[Cajero]:[Domiciliario]])</f>
        <v>140000</v>
      </c>
      <c r="S121" s="152">
        <v>70000</v>
      </c>
      <c r="T121" s="152">
        <v>70000</v>
      </c>
      <c r="U121" s="152">
        <v>0</v>
      </c>
      <c r="V121"/>
    </row>
    <row r="122" spans="1:22" x14ac:dyDescent="0.2">
      <c r="A122" s="149">
        <v>46185</v>
      </c>
      <c r="B122" s="3">
        <f t="shared" si="3"/>
        <v>16</v>
      </c>
      <c r="C122" s="3" t="str">
        <f>+TEXT(Opex_VE[[#This Row],[Fecha]],"ddd")</f>
        <v>vie</v>
      </c>
      <c r="E122" s="14" t="s">
        <v>217</v>
      </c>
      <c r="F122" s="168">
        <f>IFERROR(VLOOKUP(Opex_VE[[#This Row],[Fecha]],Historia!A:B,2,0),_xlfn.XLOOKUP(Opex_VE[[#This Row],[dia]],Forecast!I:I,Forecast!J:J))</f>
        <v>184566.66666666666</v>
      </c>
      <c r="G122" s="168">
        <f>IFERROR(VLOOKUP(Opex_VE[[#This Row],[Fecha]],Historia!A:C,3,0),_xlfn.XLOOKUP(Opex_VE[[#This Row],[dia]],Forecast!I:I,Forecast!K:K))</f>
        <v>73826.666666666672</v>
      </c>
      <c r="H122" s="182">
        <f>+Opex_VE[[#This Row],[MG]]-Opex_VE[[#This Row],[Opex]]</f>
        <v>-147552.29999999999</v>
      </c>
      <c r="I122" s="168" t="str">
        <f>IFERROR(VLOOKUP(Opex_VE[[#This Row],[Fecha]],Historia!A:D,4,0),"Forecast")</f>
        <v>Forecast</v>
      </c>
      <c r="J122" s="157">
        <f t="shared" si="2"/>
        <v>553447.41666666663</v>
      </c>
      <c r="K122" s="151">
        <f>+Opex_VE[[#This Row],[Arriendo]]+Opex_VE[[#This Row],[Servicios publicos]]+Opex_VE[[#This Row],[Nomina]]</f>
        <v>221378.96666666667</v>
      </c>
      <c r="L122" s="152">
        <f>+VLOOKUP(Opex_VE[[#This Row],[Fecha]],Opex!$B:$Y,OPEX_SALES!L$1,1)</f>
        <v>55000</v>
      </c>
      <c r="M122" s="153">
        <f>+SUM(Opex_VE[[#This Row],[Internet]:[Electricidad]])</f>
        <v>26378.966666666667</v>
      </c>
      <c r="N122" s="152">
        <f>+VLOOKUP(Opex_VE[[#This Row],[Fecha]],Opex!$B:$Y,OPEX_SALES!N$1,1)</f>
        <v>3500</v>
      </c>
      <c r="O122" s="152">
        <f>+VLOOKUP(Opex_VE[[#This Row],[Fecha]],Opex!$B:$Y,OPEX_SALES!O$1,1)</f>
        <v>8243.9666666666672</v>
      </c>
      <c r="P122" s="152">
        <f>+VLOOKUP(Opex_VE[[#This Row],[Fecha]],Opex!$B:$Y,OPEX_SALES!P$1,1)</f>
        <v>4000</v>
      </c>
      <c r="Q122" s="152">
        <f>+VLOOKUP(Opex_VE[[#This Row],[Fecha]],Opex!$B:$Y,OPEX_SALES!Q$1,1)</f>
        <v>10635</v>
      </c>
      <c r="R122" s="153">
        <f>+SUM(Opex_VE[[#This Row],[Cajero]:[Domiciliario]])</f>
        <v>140000</v>
      </c>
      <c r="S122" s="152">
        <v>70000</v>
      </c>
      <c r="T122" s="152">
        <v>70000</v>
      </c>
      <c r="U122" s="152">
        <v>0</v>
      </c>
      <c r="V122"/>
    </row>
    <row r="123" spans="1:22" x14ac:dyDescent="0.2">
      <c r="A123" s="149">
        <v>46186</v>
      </c>
      <c r="B123" s="3">
        <f t="shared" si="3"/>
        <v>16</v>
      </c>
      <c r="C123" s="3" t="str">
        <f>+TEXT(Opex_VE[[#This Row],[Fecha]],"ddd")</f>
        <v>sáb</v>
      </c>
      <c r="E123" s="14" t="s">
        <v>113</v>
      </c>
      <c r="F123" s="168">
        <f>IFERROR(VLOOKUP(Opex_VE[[#This Row],[Fecha]],Historia!A:B,2,0),_xlfn.XLOOKUP(Opex_VE[[#This Row],[dia]],Forecast!I:I,Forecast!J:J))</f>
        <v>398333.33333333331</v>
      </c>
      <c r="G123" s="168">
        <f>IFERROR(VLOOKUP(Opex_VE[[#This Row],[Fecha]],Historia!A:C,3,0),_xlfn.XLOOKUP(Opex_VE[[#This Row],[dia]],Forecast!I:I,Forecast!K:K))</f>
        <v>159333.33333333334</v>
      </c>
      <c r="H123" s="182">
        <f>+Opex_VE[[#This Row],[MG]]-Opex_VE[[#This Row],[Opex]]</f>
        <v>-62045.633333333331</v>
      </c>
      <c r="I123" s="169" t="str">
        <f>IFERROR(VLOOKUP(Opex_VE[[#This Row],[Fecha]],Historia!A:D,4,0),"Forecast")</f>
        <v>Forecast</v>
      </c>
      <c r="J123" s="157">
        <f t="shared" si="2"/>
        <v>553447.41666666663</v>
      </c>
      <c r="K123" s="151">
        <f>+Opex_VE[[#This Row],[Arriendo]]+Opex_VE[[#This Row],[Servicios publicos]]+Opex_VE[[#This Row],[Nomina]]</f>
        <v>221378.96666666667</v>
      </c>
      <c r="L123" s="152">
        <f>+VLOOKUP(Opex_VE[[#This Row],[Fecha]],Opex!$B:$Y,OPEX_SALES!L$1,1)</f>
        <v>55000</v>
      </c>
      <c r="M123" s="153">
        <f>+SUM(Opex_VE[[#This Row],[Internet]:[Electricidad]])</f>
        <v>26378.966666666667</v>
      </c>
      <c r="N123" s="152">
        <f>+VLOOKUP(Opex_VE[[#This Row],[Fecha]],Opex!$B:$Y,OPEX_SALES!N$1,1)</f>
        <v>3500</v>
      </c>
      <c r="O123" s="152">
        <f>+VLOOKUP(Opex_VE[[#This Row],[Fecha]],Opex!$B:$Y,OPEX_SALES!O$1,1)</f>
        <v>8243.9666666666672</v>
      </c>
      <c r="P123" s="152">
        <f>+VLOOKUP(Opex_VE[[#This Row],[Fecha]],Opex!$B:$Y,OPEX_SALES!P$1,1)</f>
        <v>4000</v>
      </c>
      <c r="Q123" s="152">
        <f>+VLOOKUP(Opex_VE[[#This Row],[Fecha]],Opex!$B:$Y,OPEX_SALES!Q$1,1)</f>
        <v>10635</v>
      </c>
      <c r="R123" s="153">
        <f>+SUM(Opex_VE[[#This Row],[Cajero]:[Domiciliario]])</f>
        <v>140000</v>
      </c>
      <c r="S123" s="152">
        <v>70000</v>
      </c>
      <c r="T123" s="152">
        <v>70000</v>
      </c>
      <c r="U123" s="152">
        <v>0</v>
      </c>
      <c r="V123"/>
    </row>
    <row r="124" spans="1:22" x14ac:dyDescent="0.2">
      <c r="A124" s="149">
        <v>46187</v>
      </c>
      <c r="B124" s="3">
        <f t="shared" si="3"/>
        <v>16</v>
      </c>
      <c r="C124" s="3" t="str">
        <f>+TEXT(Opex_VE[[#This Row],[Fecha]],"ddd")</f>
        <v>dom</v>
      </c>
      <c r="E124" s="14" t="s">
        <v>145</v>
      </c>
      <c r="F124" s="168">
        <f>IFERROR(VLOOKUP(Opex_VE[[#This Row],[Fecha]],Historia!A:B,2,0),_xlfn.XLOOKUP(Opex_VE[[#This Row],[dia]],Forecast!I:I,Forecast!J:J))</f>
        <v>168750</v>
      </c>
      <c r="G124" s="168">
        <f>IFERROR(VLOOKUP(Opex_VE[[#This Row],[Fecha]],Historia!A:C,3,0),_xlfn.XLOOKUP(Opex_VE[[#This Row],[dia]],Forecast!I:I,Forecast!K:K))</f>
        <v>67500</v>
      </c>
      <c r="H124" s="182">
        <f>+Opex_VE[[#This Row],[MG]]-Opex_VE[[#This Row],[Opex]]</f>
        <v>-153878.96666666667</v>
      </c>
      <c r="I124" s="168" t="str">
        <f>IFERROR(VLOOKUP(Opex_VE[[#This Row],[Fecha]],Historia!A:D,4,0),"Forecast")</f>
        <v>Forecast</v>
      </c>
      <c r="J124" s="157">
        <f t="shared" si="2"/>
        <v>553447.41666666663</v>
      </c>
      <c r="K124" s="151">
        <f>+Opex_VE[[#This Row],[Arriendo]]+Opex_VE[[#This Row],[Servicios publicos]]+Opex_VE[[#This Row],[Nomina]]</f>
        <v>221378.96666666667</v>
      </c>
      <c r="L124" s="152">
        <f>+VLOOKUP(Opex_VE[[#This Row],[Fecha]],Opex!$B:$Y,OPEX_SALES!L$1,1)</f>
        <v>55000</v>
      </c>
      <c r="M124" s="153">
        <f>+SUM(Opex_VE[[#This Row],[Internet]:[Electricidad]])</f>
        <v>26378.966666666667</v>
      </c>
      <c r="N124" s="152">
        <f>+VLOOKUP(Opex_VE[[#This Row],[Fecha]],Opex!$B:$Y,OPEX_SALES!N$1,1)</f>
        <v>3500</v>
      </c>
      <c r="O124" s="152">
        <f>+VLOOKUP(Opex_VE[[#This Row],[Fecha]],Opex!$B:$Y,OPEX_SALES!O$1,1)</f>
        <v>8243.9666666666672</v>
      </c>
      <c r="P124" s="152">
        <f>+VLOOKUP(Opex_VE[[#This Row],[Fecha]],Opex!$B:$Y,OPEX_SALES!P$1,1)</f>
        <v>4000</v>
      </c>
      <c r="Q124" s="152">
        <f>+VLOOKUP(Opex_VE[[#This Row],[Fecha]],Opex!$B:$Y,OPEX_SALES!Q$1,1)</f>
        <v>10635</v>
      </c>
      <c r="R124" s="153">
        <f>+SUM(Opex_VE[[#This Row],[Cajero]:[Domiciliario]])</f>
        <v>140000</v>
      </c>
      <c r="S124" s="152">
        <v>70000</v>
      </c>
      <c r="T124" s="152">
        <v>70000</v>
      </c>
      <c r="U124" s="152">
        <v>0</v>
      </c>
      <c r="V124"/>
    </row>
    <row r="125" spans="1:22" x14ac:dyDescent="0.2">
      <c r="A125" s="149">
        <v>46188</v>
      </c>
      <c r="B125" s="3">
        <f t="shared" si="3"/>
        <v>17</v>
      </c>
      <c r="C125" s="3" t="str">
        <f>+TEXT(Opex_VE[[#This Row],[Fecha]],"ddd")</f>
        <v>lun</v>
      </c>
      <c r="E125" s="14" t="s">
        <v>112</v>
      </c>
      <c r="F125" s="168">
        <f>IFERROR(VLOOKUP(Opex_VE[[#This Row],[Fecha]],Historia!A:B,2,0),_xlfn.XLOOKUP(Opex_VE[[#This Row],[dia]],Forecast!I:I,Forecast!J:J))</f>
        <v>164375</v>
      </c>
      <c r="G125" s="168">
        <f>IFERROR(VLOOKUP(Opex_VE[[#This Row],[Fecha]],Historia!A:C,3,0),_xlfn.XLOOKUP(Opex_VE[[#This Row],[dia]],Forecast!I:I,Forecast!K:K))</f>
        <v>65750</v>
      </c>
      <c r="H125" s="182">
        <f>+Opex_VE[[#This Row],[MG]]-Opex_VE[[#This Row],[Opex]]</f>
        <v>-158435.13793103449</v>
      </c>
      <c r="I125" s="168" t="str">
        <f>IFERROR(VLOOKUP(Opex_VE[[#This Row],[Fecha]],Historia!A:D,4,0),"Forecast")</f>
        <v>Forecast</v>
      </c>
      <c r="J125" s="157">
        <f t="shared" si="2"/>
        <v>560462.8448275862</v>
      </c>
      <c r="K125" s="151">
        <f>+Opex_VE[[#This Row],[Arriendo]]+Opex_VE[[#This Row],[Servicios publicos]]+Opex_VE[[#This Row],[Nomina]]</f>
        <v>224185.13793103449</v>
      </c>
      <c r="L125" s="152">
        <f>+VLOOKUP(Opex_VE[[#This Row],[Fecha]],Opex!$B:$Y,OPEX_SALES!L$1,1)</f>
        <v>56896.551724137928</v>
      </c>
      <c r="M125" s="153">
        <f>+SUM(Opex_VE[[#This Row],[Internet]:[Electricidad]])</f>
        <v>27288.586206896551</v>
      </c>
      <c r="N125" s="152">
        <f>+VLOOKUP(Opex_VE[[#This Row],[Fecha]],Opex!$B:$Y,OPEX_SALES!N$1,1)</f>
        <v>3620.6896551724139</v>
      </c>
      <c r="O125" s="152">
        <f>+VLOOKUP(Opex_VE[[#This Row],[Fecha]],Opex!$B:$Y,OPEX_SALES!O$1,1)</f>
        <v>8528.2413793103442</v>
      </c>
      <c r="P125" s="152">
        <f>+VLOOKUP(Opex_VE[[#This Row],[Fecha]],Opex!$B:$Y,OPEX_SALES!P$1,1)</f>
        <v>4137.9310344827591</v>
      </c>
      <c r="Q125" s="152">
        <f>+VLOOKUP(Opex_VE[[#This Row],[Fecha]],Opex!$B:$Y,OPEX_SALES!Q$1,1)</f>
        <v>11001.724137931034</v>
      </c>
      <c r="R125" s="153">
        <f>+SUM(Opex_VE[[#This Row],[Cajero]:[Domiciliario]])</f>
        <v>140000</v>
      </c>
      <c r="S125" s="152">
        <v>70000</v>
      </c>
      <c r="T125" s="152">
        <v>70000</v>
      </c>
      <c r="U125" s="152">
        <v>0</v>
      </c>
      <c r="V125"/>
    </row>
    <row r="126" spans="1:22" x14ac:dyDescent="0.2">
      <c r="A126" s="149">
        <v>46189</v>
      </c>
      <c r="B126" s="3">
        <f t="shared" si="3"/>
        <v>17</v>
      </c>
      <c r="C126" s="3" t="str">
        <f>+TEXT(Opex_VE[[#This Row],[Fecha]],"ddd")</f>
        <v>mar</v>
      </c>
      <c r="E126" s="14" t="s">
        <v>112</v>
      </c>
      <c r="F126" s="168">
        <f>IFERROR(VLOOKUP(Opex_VE[[#This Row],[Fecha]],Historia!A:B,2,0),_xlfn.XLOOKUP(Opex_VE[[#This Row],[dia]],Forecast!I:I,Forecast!J:J))</f>
        <v>199625</v>
      </c>
      <c r="G126" s="168">
        <f>IFERROR(VLOOKUP(Opex_VE[[#This Row],[Fecha]],Historia!A:C,3,0),_xlfn.XLOOKUP(Opex_VE[[#This Row],[dia]],Forecast!I:I,Forecast!K:K))</f>
        <v>79850</v>
      </c>
      <c r="H126" s="182">
        <f>+Opex_VE[[#This Row],[MG]]-Opex_VE[[#This Row],[Opex]]</f>
        <v>-144335.13793103449</v>
      </c>
      <c r="I126" s="168" t="str">
        <f>IFERROR(VLOOKUP(Opex_VE[[#This Row],[Fecha]],Historia!A:D,4,0),"Forecast")</f>
        <v>Forecast</v>
      </c>
      <c r="J126" s="157">
        <f t="shared" si="2"/>
        <v>560462.8448275862</v>
      </c>
      <c r="K126" s="151">
        <f>+Opex_VE[[#This Row],[Arriendo]]+Opex_VE[[#This Row],[Servicios publicos]]+Opex_VE[[#This Row],[Nomina]]</f>
        <v>224185.13793103449</v>
      </c>
      <c r="L126" s="152">
        <f>+VLOOKUP(Opex_VE[[#This Row],[Fecha]],Opex!$B:$Y,OPEX_SALES!L$1,1)</f>
        <v>56896.551724137928</v>
      </c>
      <c r="M126" s="153">
        <f>+SUM(Opex_VE[[#This Row],[Internet]:[Electricidad]])</f>
        <v>27288.586206896551</v>
      </c>
      <c r="N126" s="152">
        <f>+VLOOKUP(Opex_VE[[#This Row],[Fecha]],Opex!$B:$Y,OPEX_SALES!N$1,1)</f>
        <v>3620.6896551724139</v>
      </c>
      <c r="O126" s="152">
        <f>+VLOOKUP(Opex_VE[[#This Row],[Fecha]],Opex!$B:$Y,OPEX_SALES!O$1,1)</f>
        <v>8528.2413793103442</v>
      </c>
      <c r="P126" s="152">
        <f>+VLOOKUP(Opex_VE[[#This Row],[Fecha]],Opex!$B:$Y,OPEX_SALES!P$1,1)</f>
        <v>4137.9310344827591</v>
      </c>
      <c r="Q126" s="152">
        <f>+VLOOKUP(Opex_VE[[#This Row],[Fecha]],Opex!$B:$Y,OPEX_SALES!Q$1,1)</f>
        <v>11001.724137931034</v>
      </c>
      <c r="R126" s="153">
        <f>+SUM(Opex_VE[[#This Row],[Cajero]:[Domiciliario]])</f>
        <v>140000</v>
      </c>
      <c r="S126" s="152">
        <v>70000</v>
      </c>
      <c r="T126" s="152">
        <v>70000</v>
      </c>
      <c r="U126" s="152">
        <v>0</v>
      </c>
      <c r="V126"/>
    </row>
    <row r="127" spans="1:22" x14ac:dyDescent="0.2">
      <c r="A127" s="149">
        <v>46190</v>
      </c>
      <c r="B127" s="3">
        <f t="shared" si="3"/>
        <v>17</v>
      </c>
      <c r="C127" s="3" t="str">
        <f>+TEXT(Opex_VE[[#This Row],[Fecha]],"ddd")</f>
        <v>mié</v>
      </c>
      <c r="E127" s="14" t="s">
        <v>112</v>
      </c>
      <c r="F127" s="168">
        <f>IFERROR(VLOOKUP(Opex_VE[[#This Row],[Fecha]],Historia!A:B,2,0),_xlfn.XLOOKUP(Opex_VE[[#This Row],[dia]],Forecast!I:I,Forecast!J:J))</f>
        <v>339250</v>
      </c>
      <c r="G127" s="168">
        <f>IFERROR(VLOOKUP(Opex_VE[[#This Row],[Fecha]],Historia!A:C,3,0),_xlfn.XLOOKUP(Opex_VE[[#This Row],[dia]],Forecast!I:I,Forecast!K:K))</f>
        <v>135700</v>
      </c>
      <c r="H127" s="182">
        <f>+Opex_VE[[#This Row],[MG]]-Opex_VE[[#This Row],[Opex]]</f>
        <v>-88485.137931034493</v>
      </c>
      <c r="I127" s="168" t="str">
        <f>IFERROR(VLOOKUP(Opex_VE[[#This Row],[Fecha]],Historia!A:D,4,0),"Forecast")</f>
        <v>Forecast</v>
      </c>
      <c r="J127" s="157">
        <f t="shared" si="2"/>
        <v>560462.8448275862</v>
      </c>
      <c r="K127" s="151">
        <f>+Opex_VE[[#This Row],[Arriendo]]+Opex_VE[[#This Row],[Servicios publicos]]+Opex_VE[[#This Row],[Nomina]]</f>
        <v>224185.13793103449</v>
      </c>
      <c r="L127" s="152">
        <f>+VLOOKUP(Opex_VE[[#This Row],[Fecha]],Opex!$B:$Y,OPEX_SALES!L$1,1)</f>
        <v>56896.551724137928</v>
      </c>
      <c r="M127" s="153">
        <f>+SUM(Opex_VE[[#This Row],[Internet]:[Electricidad]])</f>
        <v>27288.586206896551</v>
      </c>
      <c r="N127" s="152">
        <f>+VLOOKUP(Opex_VE[[#This Row],[Fecha]],Opex!$B:$Y,OPEX_SALES!N$1,1)</f>
        <v>3620.6896551724139</v>
      </c>
      <c r="O127" s="152">
        <f>+VLOOKUP(Opex_VE[[#This Row],[Fecha]],Opex!$B:$Y,OPEX_SALES!O$1,1)</f>
        <v>8528.2413793103442</v>
      </c>
      <c r="P127" s="152">
        <f>+VLOOKUP(Opex_VE[[#This Row],[Fecha]],Opex!$B:$Y,OPEX_SALES!P$1,1)</f>
        <v>4137.9310344827591</v>
      </c>
      <c r="Q127" s="152">
        <f>+VLOOKUP(Opex_VE[[#This Row],[Fecha]],Opex!$B:$Y,OPEX_SALES!Q$1,1)</f>
        <v>11001.724137931034</v>
      </c>
      <c r="R127" s="153">
        <f>+SUM(Opex_VE[[#This Row],[Cajero]:[Domiciliario]])</f>
        <v>140000</v>
      </c>
      <c r="S127" s="152">
        <v>70000</v>
      </c>
      <c r="T127" s="152">
        <v>70000</v>
      </c>
      <c r="U127" s="152">
        <v>0</v>
      </c>
      <c r="V127"/>
    </row>
    <row r="128" spans="1:22" x14ac:dyDescent="0.2">
      <c r="A128" s="149">
        <v>46191</v>
      </c>
      <c r="B128" s="3">
        <f t="shared" si="3"/>
        <v>17</v>
      </c>
      <c r="C128" s="3" t="str">
        <f>+TEXT(Opex_VE[[#This Row],[Fecha]],"ddd")</f>
        <v>jue</v>
      </c>
      <c r="E128" s="14" t="s">
        <v>112</v>
      </c>
      <c r="F128" s="168">
        <f>IFERROR(VLOOKUP(Opex_VE[[#This Row],[Fecha]],Historia!A:B,2,0),_xlfn.XLOOKUP(Opex_VE[[#This Row],[dia]],Forecast!I:I,Forecast!J:J))</f>
        <v>274975</v>
      </c>
      <c r="G128" s="168">
        <f>IFERROR(VLOOKUP(Opex_VE[[#This Row],[Fecha]],Historia!A:C,3,0),_xlfn.XLOOKUP(Opex_VE[[#This Row],[dia]],Forecast!I:I,Forecast!K:K))</f>
        <v>109990</v>
      </c>
      <c r="H128" s="182">
        <f>+Opex_VE[[#This Row],[MG]]-Opex_VE[[#This Row],[Opex]]</f>
        <v>-114195.13793103449</v>
      </c>
      <c r="I128" s="168" t="str">
        <f>IFERROR(VLOOKUP(Opex_VE[[#This Row],[Fecha]],Historia!A:D,4,0),"Forecast")</f>
        <v>Forecast</v>
      </c>
      <c r="J128" s="157">
        <f t="shared" si="2"/>
        <v>560462.8448275862</v>
      </c>
      <c r="K128" s="151">
        <f>+Opex_VE[[#This Row],[Arriendo]]+Opex_VE[[#This Row],[Servicios publicos]]+Opex_VE[[#This Row],[Nomina]]</f>
        <v>224185.13793103449</v>
      </c>
      <c r="L128" s="152">
        <f>+VLOOKUP(Opex_VE[[#This Row],[Fecha]],Opex!$B:$Y,OPEX_SALES!L$1,1)</f>
        <v>56896.551724137928</v>
      </c>
      <c r="M128" s="153">
        <f>+SUM(Opex_VE[[#This Row],[Internet]:[Electricidad]])</f>
        <v>27288.586206896551</v>
      </c>
      <c r="N128" s="152">
        <f>+VLOOKUP(Opex_VE[[#This Row],[Fecha]],Opex!$B:$Y,OPEX_SALES!N$1,1)</f>
        <v>3620.6896551724139</v>
      </c>
      <c r="O128" s="152">
        <f>+VLOOKUP(Opex_VE[[#This Row],[Fecha]],Opex!$B:$Y,OPEX_SALES!O$1,1)</f>
        <v>8528.2413793103442</v>
      </c>
      <c r="P128" s="152">
        <f>+VLOOKUP(Opex_VE[[#This Row],[Fecha]],Opex!$B:$Y,OPEX_SALES!P$1,1)</f>
        <v>4137.9310344827591</v>
      </c>
      <c r="Q128" s="152">
        <f>+VLOOKUP(Opex_VE[[#This Row],[Fecha]],Opex!$B:$Y,OPEX_SALES!Q$1,1)</f>
        <v>11001.724137931034</v>
      </c>
      <c r="R128" s="153">
        <f>+SUM(Opex_VE[[#This Row],[Cajero]:[Domiciliario]])</f>
        <v>140000</v>
      </c>
      <c r="S128" s="152">
        <v>70000</v>
      </c>
      <c r="T128" s="152">
        <v>70000</v>
      </c>
      <c r="U128" s="152">
        <v>0</v>
      </c>
      <c r="V128"/>
    </row>
    <row r="129" spans="1:22" x14ac:dyDescent="0.2">
      <c r="A129" s="149">
        <v>46192</v>
      </c>
      <c r="B129" s="3">
        <f t="shared" si="3"/>
        <v>17</v>
      </c>
      <c r="C129" s="3" t="str">
        <f>+TEXT(Opex_VE[[#This Row],[Fecha]],"ddd")</f>
        <v>vie</v>
      </c>
      <c r="E129" s="14" t="s">
        <v>217</v>
      </c>
      <c r="F129" s="168">
        <f>IFERROR(VLOOKUP(Opex_VE[[#This Row],[Fecha]],Historia!A:B,2,0),_xlfn.XLOOKUP(Opex_VE[[#This Row],[dia]],Forecast!I:I,Forecast!J:J))</f>
        <v>184566.66666666666</v>
      </c>
      <c r="G129" s="168">
        <f>IFERROR(VLOOKUP(Opex_VE[[#This Row],[Fecha]],Historia!A:C,3,0),_xlfn.XLOOKUP(Opex_VE[[#This Row],[dia]],Forecast!I:I,Forecast!K:K))</f>
        <v>73826.666666666672</v>
      </c>
      <c r="H129" s="182">
        <f>+Opex_VE[[#This Row],[MG]]-Opex_VE[[#This Row],[Opex]]</f>
        <v>-150358.47126436781</v>
      </c>
      <c r="I129" s="168" t="str">
        <f>IFERROR(VLOOKUP(Opex_VE[[#This Row],[Fecha]],Historia!A:D,4,0),"Forecast")</f>
        <v>Forecast</v>
      </c>
      <c r="J129" s="157">
        <f t="shared" si="2"/>
        <v>560462.8448275862</v>
      </c>
      <c r="K129" s="151">
        <f>+Opex_VE[[#This Row],[Arriendo]]+Opex_VE[[#This Row],[Servicios publicos]]+Opex_VE[[#This Row],[Nomina]]</f>
        <v>224185.13793103449</v>
      </c>
      <c r="L129" s="152">
        <f>+VLOOKUP(Opex_VE[[#This Row],[Fecha]],Opex!$B:$Y,OPEX_SALES!L$1,1)</f>
        <v>56896.551724137928</v>
      </c>
      <c r="M129" s="153">
        <f>+SUM(Opex_VE[[#This Row],[Internet]:[Electricidad]])</f>
        <v>27288.586206896551</v>
      </c>
      <c r="N129" s="152">
        <f>+VLOOKUP(Opex_VE[[#This Row],[Fecha]],Opex!$B:$Y,OPEX_SALES!N$1,1)</f>
        <v>3620.6896551724139</v>
      </c>
      <c r="O129" s="152">
        <f>+VLOOKUP(Opex_VE[[#This Row],[Fecha]],Opex!$B:$Y,OPEX_SALES!O$1,1)</f>
        <v>8528.2413793103442</v>
      </c>
      <c r="P129" s="152">
        <f>+VLOOKUP(Opex_VE[[#This Row],[Fecha]],Opex!$B:$Y,OPEX_SALES!P$1,1)</f>
        <v>4137.9310344827591</v>
      </c>
      <c r="Q129" s="152">
        <f>+VLOOKUP(Opex_VE[[#This Row],[Fecha]],Opex!$B:$Y,OPEX_SALES!Q$1,1)</f>
        <v>11001.724137931034</v>
      </c>
      <c r="R129" s="153">
        <f>+SUM(Opex_VE[[#This Row],[Cajero]:[Domiciliario]])</f>
        <v>140000</v>
      </c>
      <c r="S129" s="152">
        <v>70000</v>
      </c>
      <c r="T129" s="152">
        <v>70000</v>
      </c>
      <c r="U129" s="152">
        <v>0</v>
      </c>
      <c r="V129"/>
    </row>
    <row r="130" spans="1:22" x14ac:dyDescent="0.2">
      <c r="A130" s="149">
        <v>46193</v>
      </c>
      <c r="B130" s="3">
        <f t="shared" si="3"/>
        <v>17</v>
      </c>
      <c r="C130" s="3" t="str">
        <f>+TEXT(Opex_VE[[#This Row],[Fecha]],"ddd")</f>
        <v>sáb</v>
      </c>
      <c r="E130" s="14" t="s">
        <v>113</v>
      </c>
      <c r="F130" s="168">
        <f>IFERROR(VLOOKUP(Opex_VE[[#This Row],[Fecha]],Historia!A:B,2,0),_xlfn.XLOOKUP(Opex_VE[[#This Row],[dia]],Forecast!I:I,Forecast!J:J))</f>
        <v>398333.33333333331</v>
      </c>
      <c r="G130" s="168">
        <f>IFERROR(VLOOKUP(Opex_VE[[#This Row],[Fecha]],Historia!A:C,3,0),_xlfn.XLOOKUP(Opex_VE[[#This Row],[dia]],Forecast!I:I,Forecast!K:K))</f>
        <v>159333.33333333334</v>
      </c>
      <c r="H130" s="182">
        <f>+Opex_VE[[#This Row],[MG]]-Opex_VE[[#This Row],[Opex]]</f>
        <v>-64851.80459770115</v>
      </c>
      <c r="I130" s="169" t="str">
        <f>IFERROR(VLOOKUP(Opex_VE[[#This Row],[Fecha]],Historia!A:D,4,0),"Forecast")</f>
        <v>Forecast</v>
      </c>
      <c r="J130" s="157">
        <f t="shared" si="2"/>
        <v>560462.8448275862</v>
      </c>
      <c r="K130" s="151">
        <f>+Opex_VE[[#This Row],[Arriendo]]+Opex_VE[[#This Row],[Servicios publicos]]+Opex_VE[[#This Row],[Nomina]]</f>
        <v>224185.13793103449</v>
      </c>
      <c r="L130" s="152">
        <f>+VLOOKUP(Opex_VE[[#This Row],[Fecha]],Opex!$B:$Y,OPEX_SALES!L$1,1)</f>
        <v>56896.551724137928</v>
      </c>
      <c r="M130" s="153">
        <f>+SUM(Opex_VE[[#This Row],[Internet]:[Electricidad]])</f>
        <v>27288.586206896551</v>
      </c>
      <c r="N130" s="152">
        <f>+VLOOKUP(Opex_VE[[#This Row],[Fecha]],Opex!$B:$Y,OPEX_SALES!N$1,1)</f>
        <v>3620.6896551724139</v>
      </c>
      <c r="O130" s="152">
        <f>+VLOOKUP(Opex_VE[[#This Row],[Fecha]],Opex!$B:$Y,OPEX_SALES!O$1,1)</f>
        <v>8528.2413793103442</v>
      </c>
      <c r="P130" s="152">
        <f>+VLOOKUP(Opex_VE[[#This Row],[Fecha]],Opex!$B:$Y,OPEX_SALES!P$1,1)</f>
        <v>4137.9310344827591</v>
      </c>
      <c r="Q130" s="152">
        <f>+VLOOKUP(Opex_VE[[#This Row],[Fecha]],Opex!$B:$Y,OPEX_SALES!Q$1,1)</f>
        <v>11001.724137931034</v>
      </c>
      <c r="R130" s="153">
        <f>+SUM(Opex_VE[[#This Row],[Cajero]:[Domiciliario]])</f>
        <v>140000</v>
      </c>
      <c r="S130" s="152">
        <v>70000</v>
      </c>
      <c r="T130" s="152">
        <v>70000</v>
      </c>
      <c r="U130" s="152">
        <v>0</v>
      </c>
      <c r="V130"/>
    </row>
    <row r="131" spans="1:22" x14ac:dyDescent="0.2">
      <c r="A131" s="149">
        <v>46194</v>
      </c>
      <c r="B131" s="3">
        <f t="shared" si="3"/>
        <v>17</v>
      </c>
      <c r="C131" s="3" t="str">
        <f>+TEXT(Opex_VE[[#This Row],[Fecha]],"ddd")</f>
        <v>dom</v>
      </c>
      <c r="E131" s="14" t="s">
        <v>145</v>
      </c>
      <c r="F131" s="168">
        <f>IFERROR(VLOOKUP(Opex_VE[[#This Row],[Fecha]],Historia!A:B,2,0),_xlfn.XLOOKUP(Opex_VE[[#This Row],[dia]],Forecast!I:I,Forecast!J:J))</f>
        <v>168750</v>
      </c>
      <c r="G131" s="168">
        <f>IFERROR(VLOOKUP(Opex_VE[[#This Row],[Fecha]],Historia!A:C,3,0),_xlfn.XLOOKUP(Opex_VE[[#This Row],[dia]],Forecast!I:I,Forecast!K:K))</f>
        <v>67500</v>
      </c>
      <c r="H131" s="182">
        <f>+Opex_VE[[#This Row],[MG]]-Opex_VE[[#This Row],[Opex]]</f>
        <v>-156685.13793103449</v>
      </c>
      <c r="I131" s="168" t="str">
        <f>IFERROR(VLOOKUP(Opex_VE[[#This Row],[Fecha]],Historia!A:D,4,0),"Forecast")</f>
        <v>Forecast</v>
      </c>
      <c r="J131" s="157">
        <f t="shared" si="2"/>
        <v>560462.8448275862</v>
      </c>
      <c r="K131" s="151">
        <f>+Opex_VE[[#This Row],[Arriendo]]+Opex_VE[[#This Row],[Servicios publicos]]+Opex_VE[[#This Row],[Nomina]]</f>
        <v>224185.13793103449</v>
      </c>
      <c r="L131" s="152">
        <f>+VLOOKUP(Opex_VE[[#This Row],[Fecha]],Opex!$B:$Y,OPEX_SALES!L$1,1)</f>
        <v>56896.551724137928</v>
      </c>
      <c r="M131" s="153">
        <f>+SUM(Opex_VE[[#This Row],[Internet]:[Electricidad]])</f>
        <v>27288.586206896551</v>
      </c>
      <c r="N131" s="152">
        <f>+VLOOKUP(Opex_VE[[#This Row],[Fecha]],Opex!$B:$Y,OPEX_SALES!N$1,1)</f>
        <v>3620.6896551724139</v>
      </c>
      <c r="O131" s="152">
        <f>+VLOOKUP(Opex_VE[[#This Row],[Fecha]],Opex!$B:$Y,OPEX_SALES!O$1,1)</f>
        <v>8528.2413793103442</v>
      </c>
      <c r="P131" s="152">
        <f>+VLOOKUP(Opex_VE[[#This Row],[Fecha]],Opex!$B:$Y,OPEX_SALES!P$1,1)</f>
        <v>4137.9310344827591</v>
      </c>
      <c r="Q131" s="152">
        <f>+VLOOKUP(Opex_VE[[#This Row],[Fecha]],Opex!$B:$Y,OPEX_SALES!Q$1,1)</f>
        <v>11001.724137931034</v>
      </c>
      <c r="R131" s="153">
        <f>+SUM(Opex_VE[[#This Row],[Cajero]:[Domiciliario]])</f>
        <v>140000</v>
      </c>
      <c r="S131" s="152">
        <v>70000</v>
      </c>
      <c r="T131" s="152">
        <v>70000</v>
      </c>
      <c r="U131" s="152">
        <v>0</v>
      </c>
      <c r="V131"/>
    </row>
    <row r="132" spans="1:22" x14ac:dyDescent="0.2">
      <c r="A132" s="149">
        <v>46195</v>
      </c>
      <c r="B132" s="3">
        <f t="shared" si="3"/>
        <v>18</v>
      </c>
      <c r="C132" s="3" t="str">
        <f>+TEXT(Opex_VE[[#This Row],[Fecha]],"ddd")</f>
        <v>lun</v>
      </c>
      <c r="E132" s="14" t="s">
        <v>112</v>
      </c>
      <c r="F132" s="168">
        <f>IFERROR(VLOOKUP(Opex_VE[[#This Row],[Fecha]],Historia!A:B,2,0),_xlfn.XLOOKUP(Opex_VE[[#This Row],[dia]],Forecast!I:I,Forecast!J:J))</f>
        <v>164375</v>
      </c>
      <c r="G132" s="168">
        <f>IFERROR(VLOOKUP(Opex_VE[[#This Row],[Fecha]],Historia!A:C,3,0),_xlfn.XLOOKUP(Opex_VE[[#This Row],[dia]],Forecast!I:I,Forecast!K:K))</f>
        <v>65750</v>
      </c>
      <c r="H132" s="182">
        <f>+Opex_VE[[#This Row],[MG]]-Opex_VE[[#This Row],[Opex]]</f>
        <v>-158435.13793103449</v>
      </c>
      <c r="I132" s="168" t="str">
        <f>IFERROR(VLOOKUP(Opex_VE[[#This Row],[Fecha]],Historia!A:D,4,0),"Forecast")</f>
        <v>Forecast</v>
      </c>
      <c r="J132" s="157">
        <f t="shared" si="2"/>
        <v>560462.8448275862</v>
      </c>
      <c r="K132" s="151">
        <f>+Opex_VE[[#This Row],[Arriendo]]+Opex_VE[[#This Row],[Servicios publicos]]+Opex_VE[[#This Row],[Nomina]]</f>
        <v>224185.13793103449</v>
      </c>
      <c r="L132" s="152">
        <f>+VLOOKUP(Opex_VE[[#This Row],[Fecha]],Opex!$B:$Y,OPEX_SALES!L$1,1)</f>
        <v>56896.551724137928</v>
      </c>
      <c r="M132" s="153">
        <f>+SUM(Opex_VE[[#This Row],[Internet]:[Electricidad]])</f>
        <v>27288.586206896551</v>
      </c>
      <c r="N132" s="152">
        <f>+VLOOKUP(Opex_VE[[#This Row],[Fecha]],Opex!$B:$Y,OPEX_SALES!N$1,1)</f>
        <v>3620.6896551724139</v>
      </c>
      <c r="O132" s="152">
        <f>+VLOOKUP(Opex_VE[[#This Row],[Fecha]],Opex!$B:$Y,OPEX_SALES!O$1,1)</f>
        <v>8528.2413793103442</v>
      </c>
      <c r="P132" s="152">
        <f>+VLOOKUP(Opex_VE[[#This Row],[Fecha]],Opex!$B:$Y,OPEX_SALES!P$1,1)</f>
        <v>4137.9310344827591</v>
      </c>
      <c r="Q132" s="152">
        <f>+VLOOKUP(Opex_VE[[#This Row],[Fecha]],Opex!$B:$Y,OPEX_SALES!Q$1,1)</f>
        <v>11001.724137931034</v>
      </c>
      <c r="R132" s="153">
        <f>+SUM(Opex_VE[[#This Row],[Cajero]:[Domiciliario]])</f>
        <v>140000</v>
      </c>
      <c r="S132" s="152">
        <v>70000</v>
      </c>
      <c r="T132" s="152">
        <v>70000</v>
      </c>
      <c r="U132" s="152">
        <v>0</v>
      </c>
      <c r="V132"/>
    </row>
    <row r="133" spans="1:22" x14ac:dyDescent="0.2">
      <c r="A133" s="149">
        <v>46196</v>
      </c>
      <c r="B133" s="3">
        <f t="shared" si="3"/>
        <v>18</v>
      </c>
      <c r="C133" s="3" t="str">
        <f>+TEXT(Opex_VE[[#This Row],[Fecha]],"ddd")</f>
        <v>mar</v>
      </c>
      <c r="E133" s="14" t="s">
        <v>112</v>
      </c>
      <c r="F133" s="168">
        <f>IFERROR(VLOOKUP(Opex_VE[[#This Row],[Fecha]],Historia!A:B,2,0),_xlfn.XLOOKUP(Opex_VE[[#This Row],[dia]],Forecast!I:I,Forecast!J:J))</f>
        <v>199625</v>
      </c>
      <c r="G133" s="168">
        <f>IFERROR(VLOOKUP(Opex_VE[[#This Row],[Fecha]],Historia!A:C,3,0),_xlfn.XLOOKUP(Opex_VE[[#This Row],[dia]],Forecast!I:I,Forecast!K:K))</f>
        <v>79850</v>
      </c>
      <c r="H133" s="182">
        <f>+Opex_VE[[#This Row],[MG]]-Opex_VE[[#This Row],[Opex]]</f>
        <v>-144335.13793103449</v>
      </c>
      <c r="I133" s="168" t="str">
        <f>IFERROR(VLOOKUP(Opex_VE[[#This Row],[Fecha]],Historia!A:D,4,0),"Forecast")</f>
        <v>Forecast</v>
      </c>
      <c r="J133" s="157">
        <f t="shared" si="2"/>
        <v>560462.8448275862</v>
      </c>
      <c r="K133" s="151">
        <f>+Opex_VE[[#This Row],[Arriendo]]+Opex_VE[[#This Row],[Servicios publicos]]+Opex_VE[[#This Row],[Nomina]]</f>
        <v>224185.13793103449</v>
      </c>
      <c r="L133" s="152">
        <f>+VLOOKUP(Opex_VE[[#This Row],[Fecha]],Opex!$B:$Y,OPEX_SALES!L$1,1)</f>
        <v>56896.551724137928</v>
      </c>
      <c r="M133" s="153">
        <f>+SUM(Opex_VE[[#This Row],[Internet]:[Electricidad]])</f>
        <v>27288.586206896551</v>
      </c>
      <c r="N133" s="152">
        <f>+VLOOKUP(Opex_VE[[#This Row],[Fecha]],Opex!$B:$Y,OPEX_SALES!N$1,1)</f>
        <v>3620.6896551724139</v>
      </c>
      <c r="O133" s="152">
        <f>+VLOOKUP(Opex_VE[[#This Row],[Fecha]],Opex!$B:$Y,OPEX_SALES!O$1,1)</f>
        <v>8528.2413793103442</v>
      </c>
      <c r="P133" s="152">
        <f>+VLOOKUP(Opex_VE[[#This Row],[Fecha]],Opex!$B:$Y,OPEX_SALES!P$1,1)</f>
        <v>4137.9310344827591</v>
      </c>
      <c r="Q133" s="152">
        <f>+VLOOKUP(Opex_VE[[#This Row],[Fecha]],Opex!$B:$Y,OPEX_SALES!Q$1,1)</f>
        <v>11001.724137931034</v>
      </c>
      <c r="R133" s="153">
        <f>+SUM(Opex_VE[[#This Row],[Cajero]:[Domiciliario]])</f>
        <v>140000</v>
      </c>
      <c r="S133" s="152">
        <v>70000</v>
      </c>
      <c r="T133" s="152">
        <v>70000</v>
      </c>
      <c r="U133" s="152">
        <v>0</v>
      </c>
      <c r="V133"/>
    </row>
    <row r="134" spans="1:22" x14ac:dyDescent="0.2">
      <c r="A134" s="149">
        <v>46197</v>
      </c>
      <c r="B134" s="3">
        <f t="shared" si="3"/>
        <v>18</v>
      </c>
      <c r="C134" s="3" t="str">
        <f>+TEXT(Opex_VE[[#This Row],[Fecha]],"ddd")</f>
        <v>mié</v>
      </c>
      <c r="E134" s="14" t="s">
        <v>112</v>
      </c>
      <c r="F134" s="168">
        <f>IFERROR(VLOOKUP(Opex_VE[[#This Row],[Fecha]],Historia!A:B,2,0),_xlfn.XLOOKUP(Opex_VE[[#This Row],[dia]],Forecast!I:I,Forecast!J:J))</f>
        <v>339250</v>
      </c>
      <c r="G134" s="168">
        <f>IFERROR(VLOOKUP(Opex_VE[[#This Row],[Fecha]],Historia!A:C,3,0),_xlfn.XLOOKUP(Opex_VE[[#This Row],[dia]],Forecast!I:I,Forecast!K:K))</f>
        <v>135700</v>
      </c>
      <c r="H134" s="182">
        <f>+Opex_VE[[#This Row],[MG]]-Opex_VE[[#This Row],[Opex]]</f>
        <v>-88485.137931034493</v>
      </c>
      <c r="I134" s="168" t="str">
        <f>IFERROR(VLOOKUP(Opex_VE[[#This Row],[Fecha]],Historia!A:D,4,0),"Forecast")</f>
        <v>Forecast</v>
      </c>
      <c r="J134" s="157">
        <f t="shared" si="2"/>
        <v>560462.8448275862</v>
      </c>
      <c r="K134" s="151">
        <f>+Opex_VE[[#This Row],[Arriendo]]+Opex_VE[[#This Row],[Servicios publicos]]+Opex_VE[[#This Row],[Nomina]]</f>
        <v>224185.13793103449</v>
      </c>
      <c r="L134" s="152">
        <f>+VLOOKUP(Opex_VE[[#This Row],[Fecha]],Opex!$B:$Y,OPEX_SALES!L$1,1)</f>
        <v>56896.551724137928</v>
      </c>
      <c r="M134" s="153">
        <f>+SUM(Opex_VE[[#This Row],[Internet]:[Electricidad]])</f>
        <v>27288.586206896551</v>
      </c>
      <c r="N134" s="152">
        <f>+VLOOKUP(Opex_VE[[#This Row],[Fecha]],Opex!$B:$Y,OPEX_SALES!N$1,1)</f>
        <v>3620.6896551724139</v>
      </c>
      <c r="O134" s="152">
        <f>+VLOOKUP(Opex_VE[[#This Row],[Fecha]],Opex!$B:$Y,OPEX_SALES!O$1,1)</f>
        <v>8528.2413793103442</v>
      </c>
      <c r="P134" s="152">
        <f>+VLOOKUP(Opex_VE[[#This Row],[Fecha]],Opex!$B:$Y,OPEX_SALES!P$1,1)</f>
        <v>4137.9310344827591</v>
      </c>
      <c r="Q134" s="152">
        <f>+VLOOKUP(Opex_VE[[#This Row],[Fecha]],Opex!$B:$Y,OPEX_SALES!Q$1,1)</f>
        <v>11001.724137931034</v>
      </c>
      <c r="R134" s="153">
        <f>+SUM(Opex_VE[[#This Row],[Cajero]:[Domiciliario]])</f>
        <v>140000</v>
      </c>
      <c r="S134" s="152">
        <v>70000</v>
      </c>
      <c r="T134" s="152">
        <v>70000</v>
      </c>
      <c r="U134" s="152">
        <v>0</v>
      </c>
      <c r="V134"/>
    </row>
    <row r="135" spans="1:22" x14ac:dyDescent="0.2">
      <c r="A135" s="149">
        <v>46198</v>
      </c>
      <c r="B135" s="3">
        <f t="shared" si="3"/>
        <v>18</v>
      </c>
      <c r="C135" s="3" t="str">
        <f>+TEXT(Opex_VE[[#This Row],[Fecha]],"ddd")</f>
        <v>jue</v>
      </c>
      <c r="E135" s="14" t="s">
        <v>112</v>
      </c>
      <c r="F135" s="168">
        <f>IFERROR(VLOOKUP(Opex_VE[[#This Row],[Fecha]],Historia!A:B,2,0),_xlfn.XLOOKUP(Opex_VE[[#This Row],[dia]],Forecast!I:I,Forecast!J:J))</f>
        <v>274975</v>
      </c>
      <c r="G135" s="168">
        <f>IFERROR(VLOOKUP(Opex_VE[[#This Row],[Fecha]],Historia!A:C,3,0),_xlfn.XLOOKUP(Opex_VE[[#This Row],[dia]],Forecast!I:I,Forecast!K:K))</f>
        <v>109990</v>
      </c>
      <c r="H135" s="182">
        <f>+Opex_VE[[#This Row],[MG]]-Opex_VE[[#This Row],[Opex]]</f>
        <v>-114195.13793103449</v>
      </c>
      <c r="I135" s="168" t="str">
        <f>IFERROR(VLOOKUP(Opex_VE[[#This Row],[Fecha]],Historia!A:D,4,0),"Forecast")</f>
        <v>Forecast</v>
      </c>
      <c r="J135" s="157">
        <f t="shared" si="2"/>
        <v>560462.8448275862</v>
      </c>
      <c r="K135" s="151">
        <f>+Opex_VE[[#This Row],[Arriendo]]+Opex_VE[[#This Row],[Servicios publicos]]+Opex_VE[[#This Row],[Nomina]]</f>
        <v>224185.13793103449</v>
      </c>
      <c r="L135" s="152">
        <f>+VLOOKUP(Opex_VE[[#This Row],[Fecha]],Opex!$B:$Y,OPEX_SALES!L$1,1)</f>
        <v>56896.551724137928</v>
      </c>
      <c r="M135" s="153">
        <f>+SUM(Opex_VE[[#This Row],[Internet]:[Electricidad]])</f>
        <v>27288.586206896551</v>
      </c>
      <c r="N135" s="152">
        <f>+VLOOKUP(Opex_VE[[#This Row],[Fecha]],Opex!$B:$Y,OPEX_SALES!N$1,1)</f>
        <v>3620.6896551724139</v>
      </c>
      <c r="O135" s="152">
        <f>+VLOOKUP(Opex_VE[[#This Row],[Fecha]],Opex!$B:$Y,OPEX_SALES!O$1,1)</f>
        <v>8528.2413793103442</v>
      </c>
      <c r="P135" s="152">
        <f>+VLOOKUP(Opex_VE[[#This Row],[Fecha]],Opex!$B:$Y,OPEX_SALES!P$1,1)</f>
        <v>4137.9310344827591</v>
      </c>
      <c r="Q135" s="152">
        <f>+VLOOKUP(Opex_VE[[#This Row],[Fecha]],Opex!$B:$Y,OPEX_SALES!Q$1,1)</f>
        <v>11001.724137931034</v>
      </c>
      <c r="R135" s="153">
        <f>+SUM(Opex_VE[[#This Row],[Cajero]:[Domiciliario]])</f>
        <v>140000</v>
      </c>
      <c r="S135" s="152">
        <v>70000</v>
      </c>
      <c r="T135" s="152">
        <v>70000</v>
      </c>
      <c r="U135" s="152">
        <v>0</v>
      </c>
      <c r="V135"/>
    </row>
    <row r="136" spans="1:22" x14ac:dyDescent="0.2">
      <c r="A136" s="149">
        <v>46199</v>
      </c>
      <c r="B136" s="3">
        <f t="shared" si="3"/>
        <v>18</v>
      </c>
      <c r="C136" s="3" t="str">
        <f>+TEXT(Opex_VE[[#This Row],[Fecha]],"ddd")</f>
        <v>vie</v>
      </c>
      <c r="E136" s="14" t="s">
        <v>217</v>
      </c>
      <c r="F136" s="168">
        <f>IFERROR(VLOOKUP(Opex_VE[[#This Row],[Fecha]],Historia!A:B,2,0),_xlfn.XLOOKUP(Opex_VE[[#This Row],[dia]],Forecast!I:I,Forecast!J:J))</f>
        <v>184566.66666666666</v>
      </c>
      <c r="G136" s="168">
        <f>IFERROR(VLOOKUP(Opex_VE[[#This Row],[Fecha]],Historia!A:C,3,0),_xlfn.XLOOKUP(Opex_VE[[#This Row],[dia]],Forecast!I:I,Forecast!K:K))</f>
        <v>73826.666666666672</v>
      </c>
      <c r="H136" s="182">
        <f>+Opex_VE[[#This Row],[MG]]-Opex_VE[[#This Row],[Opex]]</f>
        <v>-150358.47126436781</v>
      </c>
      <c r="I136" s="168" t="str">
        <f>IFERROR(VLOOKUP(Opex_VE[[#This Row],[Fecha]],Historia!A:D,4,0),"Forecast")</f>
        <v>Forecast</v>
      </c>
      <c r="J136" s="157">
        <f t="shared" si="2"/>
        <v>560462.8448275862</v>
      </c>
      <c r="K136" s="151">
        <f>+Opex_VE[[#This Row],[Arriendo]]+Opex_VE[[#This Row],[Servicios publicos]]+Opex_VE[[#This Row],[Nomina]]</f>
        <v>224185.13793103449</v>
      </c>
      <c r="L136" s="152">
        <f>+VLOOKUP(Opex_VE[[#This Row],[Fecha]],Opex!$B:$Y,OPEX_SALES!L$1,1)</f>
        <v>56896.551724137928</v>
      </c>
      <c r="M136" s="153">
        <f>+SUM(Opex_VE[[#This Row],[Internet]:[Electricidad]])</f>
        <v>27288.586206896551</v>
      </c>
      <c r="N136" s="152">
        <f>+VLOOKUP(Opex_VE[[#This Row],[Fecha]],Opex!$B:$Y,OPEX_SALES!N$1,1)</f>
        <v>3620.6896551724139</v>
      </c>
      <c r="O136" s="152">
        <f>+VLOOKUP(Opex_VE[[#This Row],[Fecha]],Opex!$B:$Y,OPEX_SALES!O$1,1)</f>
        <v>8528.2413793103442</v>
      </c>
      <c r="P136" s="152">
        <f>+VLOOKUP(Opex_VE[[#This Row],[Fecha]],Opex!$B:$Y,OPEX_SALES!P$1,1)</f>
        <v>4137.9310344827591</v>
      </c>
      <c r="Q136" s="152">
        <f>+VLOOKUP(Opex_VE[[#This Row],[Fecha]],Opex!$B:$Y,OPEX_SALES!Q$1,1)</f>
        <v>11001.724137931034</v>
      </c>
      <c r="R136" s="153">
        <f>+SUM(Opex_VE[[#This Row],[Cajero]:[Domiciliario]])</f>
        <v>140000</v>
      </c>
      <c r="S136" s="152">
        <v>70000</v>
      </c>
      <c r="T136" s="152">
        <v>70000</v>
      </c>
      <c r="U136" s="152">
        <v>0</v>
      </c>
      <c r="V136"/>
    </row>
    <row r="137" spans="1:22" x14ac:dyDescent="0.2">
      <c r="A137" s="149">
        <v>46200</v>
      </c>
      <c r="B137" s="3">
        <f t="shared" si="3"/>
        <v>18</v>
      </c>
      <c r="C137" s="3" t="str">
        <f>+TEXT(Opex_VE[[#This Row],[Fecha]],"ddd")</f>
        <v>sáb</v>
      </c>
      <c r="E137" s="14" t="s">
        <v>113</v>
      </c>
      <c r="F137" s="168">
        <f>IFERROR(VLOOKUP(Opex_VE[[#This Row],[Fecha]],Historia!A:B,2,0),_xlfn.XLOOKUP(Opex_VE[[#This Row],[dia]],Forecast!I:I,Forecast!J:J))</f>
        <v>398333.33333333331</v>
      </c>
      <c r="G137" s="168">
        <f>IFERROR(VLOOKUP(Opex_VE[[#This Row],[Fecha]],Historia!A:C,3,0),_xlfn.XLOOKUP(Opex_VE[[#This Row],[dia]],Forecast!I:I,Forecast!K:K))</f>
        <v>159333.33333333334</v>
      </c>
      <c r="H137" s="182">
        <f>+Opex_VE[[#This Row],[MG]]-Opex_VE[[#This Row],[Opex]]</f>
        <v>-64851.80459770115</v>
      </c>
      <c r="I137" s="169" t="str">
        <f>IFERROR(VLOOKUP(Opex_VE[[#This Row],[Fecha]],Historia!A:D,4,0),"Forecast")</f>
        <v>Forecast</v>
      </c>
      <c r="J137" s="157">
        <f t="shared" si="2"/>
        <v>560462.8448275862</v>
      </c>
      <c r="K137" s="151">
        <f>+Opex_VE[[#This Row],[Arriendo]]+Opex_VE[[#This Row],[Servicios publicos]]+Opex_VE[[#This Row],[Nomina]]</f>
        <v>224185.13793103449</v>
      </c>
      <c r="L137" s="152">
        <f>+VLOOKUP(Opex_VE[[#This Row],[Fecha]],Opex!$B:$Y,OPEX_SALES!L$1,1)</f>
        <v>56896.551724137928</v>
      </c>
      <c r="M137" s="153">
        <f>+SUM(Opex_VE[[#This Row],[Internet]:[Electricidad]])</f>
        <v>27288.586206896551</v>
      </c>
      <c r="N137" s="152">
        <f>+VLOOKUP(Opex_VE[[#This Row],[Fecha]],Opex!$B:$Y,OPEX_SALES!N$1,1)</f>
        <v>3620.6896551724139</v>
      </c>
      <c r="O137" s="152">
        <f>+VLOOKUP(Opex_VE[[#This Row],[Fecha]],Opex!$B:$Y,OPEX_SALES!O$1,1)</f>
        <v>8528.2413793103442</v>
      </c>
      <c r="P137" s="152">
        <f>+VLOOKUP(Opex_VE[[#This Row],[Fecha]],Opex!$B:$Y,OPEX_SALES!P$1,1)</f>
        <v>4137.9310344827591</v>
      </c>
      <c r="Q137" s="152">
        <f>+VLOOKUP(Opex_VE[[#This Row],[Fecha]],Opex!$B:$Y,OPEX_SALES!Q$1,1)</f>
        <v>11001.724137931034</v>
      </c>
      <c r="R137" s="153">
        <f>+SUM(Opex_VE[[#This Row],[Cajero]:[Domiciliario]])</f>
        <v>140000</v>
      </c>
      <c r="S137" s="152">
        <v>70000</v>
      </c>
      <c r="T137" s="152">
        <v>70000</v>
      </c>
      <c r="U137" s="152">
        <v>0</v>
      </c>
      <c r="V137"/>
    </row>
    <row r="138" spans="1:22" x14ac:dyDescent="0.2">
      <c r="A138" s="149">
        <v>46201</v>
      </c>
      <c r="B138" s="3">
        <f t="shared" si="3"/>
        <v>18</v>
      </c>
      <c r="C138" s="3" t="str">
        <f>+TEXT(Opex_VE[[#This Row],[Fecha]],"ddd")</f>
        <v>dom</v>
      </c>
      <c r="E138" s="14" t="s">
        <v>145</v>
      </c>
      <c r="F138" s="168">
        <f>IFERROR(VLOOKUP(Opex_VE[[#This Row],[Fecha]],Historia!A:B,2,0),_xlfn.XLOOKUP(Opex_VE[[#This Row],[dia]],Forecast!I:I,Forecast!J:J))</f>
        <v>168750</v>
      </c>
      <c r="G138" s="168">
        <f>IFERROR(VLOOKUP(Opex_VE[[#This Row],[Fecha]],Historia!A:C,3,0),_xlfn.XLOOKUP(Opex_VE[[#This Row],[dia]],Forecast!I:I,Forecast!K:K))</f>
        <v>67500</v>
      </c>
      <c r="H138" s="182">
        <f>+Opex_VE[[#This Row],[MG]]-Opex_VE[[#This Row],[Opex]]</f>
        <v>-156685.13793103449</v>
      </c>
      <c r="I138" s="168" t="str">
        <f>IFERROR(VLOOKUP(Opex_VE[[#This Row],[Fecha]],Historia!A:D,4,0),"Forecast")</f>
        <v>Forecast</v>
      </c>
      <c r="J138" s="157">
        <f t="shared" si="2"/>
        <v>560462.8448275862</v>
      </c>
      <c r="K138" s="151">
        <f>+Opex_VE[[#This Row],[Arriendo]]+Opex_VE[[#This Row],[Servicios publicos]]+Opex_VE[[#This Row],[Nomina]]</f>
        <v>224185.13793103449</v>
      </c>
      <c r="L138" s="152">
        <f>+VLOOKUP(Opex_VE[[#This Row],[Fecha]],Opex!$B:$Y,OPEX_SALES!L$1,1)</f>
        <v>56896.551724137928</v>
      </c>
      <c r="M138" s="153">
        <f>+SUM(Opex_VE[[#This Row],[Internet]:[Electricidad]])</f>
        <v>27288.586206896551</v>
      </c>
      <c r="N138" s="152">
        <f>+VLOOKUP(Opex_VE[[#This Row],[Fecha]],Opex!$B:$Y,OPEX_SALES!N$1,1)</f>
        <v>3620.6896551724139</v>
      </c>
      <c r="O138" s="152">
        <f>+VLOOKUP(Opex_VE[[#This Row],[Fecha]],Opex!$B:$Y,OPEX_SALES!O$1,1)</f>
        <v>8528.2413793103442</v>
      </c>
      <c r="P138" s="152">
        <f>+VLOOKUP(Opex_VE[[#This Row],[Fecha]],Opex!$B:$Y,OPEX_SALES!P$1,1)</f>
        <v>4137.9310344827591</v>
      </c>
      <c r="Q138" s="152">
        <f>+VLOOKUP(Opex_VE[[#This Row],[Fecha]],Opex!$B:$Y,OPEX_SALES!Q$1,1)</f>
        <v>11001.724137931034</v>
      </c>
      <c r="R138" s="153">
        <f>+SUM(Opex_VE[[#This Row],[Cajero]:[Domiciliario]])</f>
        <v>140000</v>
      </c>
      <c r="S138" s="152">
        <v>70000</v>
      </c>
      <c r="T138" s="152">
        <v>70000</v>
      </c>
      <c r="U138" s="152">
        <v>0</v>
      </c>
      <c r="V138"/>
    </row>
    <row r="139" spans="1:22" x14ac:dyDescent="0.2">
      <c r="A139" s="149">
        <v>46202</v>
      </c>
      <c r="B139" s="3">
        <f t="shared" si="3"/>
        <v>19</v>
      </c>
      <c r="C139" s="3" t="str">
        <f>+TEXT(Opex_VE[[#This Row],[Fecha]],"ddd")</f>
        <v>lun</v>
      </c>
      <c r="E139" s="14" t="s">
        <v>112</v>
      </c>
      <c r="F139" s="168">
        <f>IFERROR(VLOOKUP(Opex_VE[[#This Row],[Fecha]],Historia!A:B,2,0),_xlfn.XLOOKUP(Opex_VE[[#This Row],[dia]],Forecast!I:I,Forecast!J:J))</f>
        <v>164375</v>
      </c>
      <c r="G139" s="168">
        <f>IFERROR(VLOOKUP(Opex_VE[[#This Row],[Fecha]],Historia!A:C,3,0),_xlfn.XLOOKUP(Opex_VE[[#This Row],[dia]],Forecast!I:I,Forecast!K:K))</f>
        <v>65750</v>
      </c>
      <c r="H139" s="182">
        <f>+Opex_VE[[#This Row],[MG]]-Opex_VE[[#This Row],[Opex]]</f>
        <v>-158435.13793103449</v>
      </c>
      <c r="I139" s="168" t="str">
        <f>IFERROR(VLOOKUP(Opex_VE[[#This Row],[Fecha]],Historia!A:D,4,0),"Forecast")</f>
        <v>Forecast</v>
      </c>
      <c r="J139" s="157">
        <f t="shared" si="2"/>
        <v>560462.8448275862</v>
      </c>
      <c r="K139" s="151">
        <f>+Opex_VE[[#This Row],[Arriendo]]+Opex_VE[[#This Row],[Servicios publicos]]+Opex_VE[[#This Row],[Nomina]]</f>
        <v>224185.13793103449</v>
      </c>
      <c r="L139" s="152">
        <f>+VLOOKUP(Opex_VE[[#This Row],[Fecha]],Opex!$B:$Y,OPEX_SALES!L$1,1)</f>
        <v>56896.551724137928</v>
      </c>
      <c r="M139" s="153">
        <f>+SUM(Opex_VE[[#This Row],[Internet]:[Electricidad]])</f>
        <v>27288.586206896551</v>
      </c>
      <c r="N139" s="152">
        <f>+VLOOKUP(Opex_VE[[#This Row],[Fecha]],Opex!$B:$Y,OPEX_SALES!N$1,1)</f>
        <v>3620.6896551724139</v>
      </c>
      <c r="O139" s="152">
        <f>+VLOOKUP(Opex_VE[[#This Row],[Fecha]],Opex!$B:$Y,OPEX_SALES!O$1,1)</f>
        <v>8528.2413793103442</v>
      </c>
      <c r="P139" s="152">
        <f>+VLOOKUP(Opex_VE[[#This Row],[Fecha]],Opex!$B:$Y,OPEX_SALES!P$1,1)</f>
        <v>4137.9310344827591</v>
      </c>
      <c r="Q139" s="152">
        <f>+VLOOKUP(Opex_VE[[#This Row],[Fecha]],Opex!$B:$Y,OPEX_SALES!Q$1,1)</f>
        <v>11001.724137931034</v>
      </c>
      <c r="R139" s="153">
        <f>+SUM(Opex_VE[[#This Row],[Cajero]:[Domiciliario]])</f>
        <v>140000</v>
      </c>
      <c r="S139" s="152">
        <v>70000</v>
      </c>
      <c r="T139" s="152">
        <v>70000</v>
      </c>
      <c r="U139" s="152">
        <v>0</v>
      </c>
      <c r="V139"/>
    </row>
    <row r="140" spans="1:22" x14ac:dyDescent="0.2">
      <c r="A140" s="149">
        <v>46203</v>
      </c>
      <c r="B140" s="3">
        <f t="shared" si="3"/>
        <v>19</v>
      </c>
      <c r="C140" s="3" t="str">
        <f>+TEXT(Opex_VE[[#This Row],[Fecha]],"ddd")</f>
        <v>mar</v>
      </c>
      <c r="E140" s="14" t="s">
        <v>112</v>
      </c>
      <c r="F140" s="168">
        <f>IFERROR(VLOOKUP(Opex_VE[[#This Row],[Fecha]],Historia!A:B,2,0),_xlfn.XLOOKUP(Opex_VE[[#This Row],[dia]],Forecast!I:I,Forecast!J:J))</f>
        <v>199625</v>
      </c>
      <c r="G140" s="168">
        <f>IFERROR(VLOOKUP(Opex_VE[[#This Row],[Fecha]],Historia!A:C,3,0),_xlfn.XLOOKUP(Opex_VE[[#This Row],[dia]],Forecast!I:I,Forecast!K:K))</f>
        <v>79850</v>
      </c>
      <c r="H140" s="182">
        <f>+Opex_VE[[#This Row],[MG]]-Opex_VE[[#This Row],[Opex]]</f>
        <v>-144335.13793103449</v>
      </c>
      <c r="I140" s="168" t="str">
        <f>IFERROR(VLOOKUP(Opex_VE[[#This Row],[Fecha]],Historia!A:D,4,0),"Forecast")</f>
        <v>Forecast</v>
      </c>
      <c r="J140" s="157">
        <f t="shared" si="2"/>
        <v>560462.8448275862</v>
      </c>
      <c r="K140" s="151">
        <f>+Opex_VE[[#This Row],[Arriendo]]+Opex_VE[[#This Row],[Servicios publicos]]+Opex_VE[[#This Row],[Nomina]]</f>
        <v>224185.13793103449</v>
      </c>
      <c r="L140" s="152">
        <f>+VLOOKUP(Opex_VE[[#This Row],[Fecha]],Opex!$B:$Y,OPEX_SALES!L$1,1)</f>
        <v>56896.551724137928</v>
      </c>
      <c r="M140" s="153">
        <f>+SUM(Opex_VE[[#This Row],[Internet]:[Electricidad]])</f>
        <v>27288.586206896551</v>
      </c>
      <c r="N140" s="152">
        <f>+VLOOKUP(Opex_VE[[#This Row],[Fecha]],Opex!$B:$Y,OPEX_SALES!N$1,1)</f>
        <v>3620.6896551724139</v>
      </c>
      <c r="O140" s="152">
        <f>+VLOOKUP(Opex_VE[[#This Row],[Fecha]],Opex!$B:$Y,OPEX_SALES!O$1,1)</f>
        <v>8528.2413793103442</v>
      </c>
      <c r="P140" s="152">
        <f>+VLOOKUP(Opex_VE[[#This Row],[Fecha]],Opex!$B:$Y,OPEX_SALES!P$1,1)</f>
        <v>4137.9310344827591</v>
      </c>
      <c r="Q140" s="152">
        <f>+VLOOKUP(Opex_VE[[#This Row],[Fecha]],Opex!$B:$Y,OPEX_SALES!Q$1,1)</f>
        <v>11001.724137931034</v>
      </c>
      <c r="R140" s="153">
        <f>+SUM(Opex_VE[[#This Row],[Cajero]:[Domiciliario]])</f>
        <v>140000</v>
      </c>
      <c r="S140" s="152">
        <v>70000</v>
      </c>
      <c r="T140" s="152">
        <v>70000</v>
      </c>
      <c r="U140" s="152">
        <v>0</v>
      </c>
      <c r="V140"/>
    </row>
    <row r="141" spans="1:22" x14ac:dyDescent="0.2">
      <c r="A141" s="149">
        <v>46204</v>
      </c>
      <c r="B141" s="3">
        <f t="shared" si="3"/>
        <v>19</v>
      </c>
      <c r="C141" s="3" t="str">
        <f>+TEXT(Opex_VE[[#This Row],[Fecha]],"ddd")</f>
        <v>mié</v>
      </c>
      <c r="E141" s="14" t="s">
        <v>112</v>
      </c>
      <c r="F141" s="168">
        <f>IFERROR(VLOOKUP(Opex_VE[[#This Row],[Fecha]],Historia!A:B,2,0),_xlfn.XLOOKUP(Opex_VE[[#This Row],[dia]],Forecast!I:I,Forecast!J:J))</f>
        <v>339250</v>
      </c>
      <c r="G141" s="168">
        <f>IFERROR(VLOOKUP(Opex_VE[[#This Row],[Fecha]],Historia!A:C,3,0),_xlfn.XLOOKUP(Opex_VE[[#This Row],[dia]],Forecast!I:I,Forecast!K:K))</f>
        <v>135700</v>
      </c>
      <c r="H141" s="182">
        <f>+Opex_VE[[#This Row],[MG]]-Opex_VE[[#This Row],[Opex]]</f>
        <v>-88485.137931034493</v>
      </c>
      <c r="I141" s="168" t="str">
        <f>IFERROR(VLOOKUP(Opex_VE[[#This Row],[Fecha]],Historia!A:D,4,0),"Forecast")</f>
        <v>Forecast</v>
      </c>
      <c r="J141" s="157">
        <f t="shared" ref="J141:J204" si="4">+K141/0.4</f>
        <v>560462.8448275862</v>
      </c>
      <c r="K141" s="151">
        <f>+Opex_VE[[#This Row],[Arriendo]]+Opex_VE[[#This Row],[Servicios publicos]]+Opex_VE[[#This Row],[Nomina]]</f>
        <v>224185.13793103449</v>
      </c>
      <c r="L141" s="152">
        <f>+VLOOKUP(Opex_VE[[#This Row],[Fecha]],Opex!$B:$Y,OPEX_SALES!L$1,1)</f>
        <v>56896.551724137928</v>
      </c>
      <c r="M141" s="153">
        <f>+SUM(Opex_VE[[#This Row],[Internet]:[Electricidad]])</f>
        <v>27288.586206896551</v>
      </c>
      <c r="N141" s="152">
        <f>+VLOOKUP(Opex_VE[[#This Row],[Fecha]],Opex!$B:$Y,OPEX_SALES!N$1,1)</f>
        <v>3620.6896551724139</v>
      </c>
      <c r="O141" s="152">
        <f>+VLOOKUP(Opex_VE[[#This Row],[Fecha]],Opex!$B:$Y,OPEX_SALES!O$1,1)</f>
        <v>8528.2413793103442</v>
      </c>
      <c r="P141" s="152">
        <f>+VLOOKUP(Opex_VE[[#This Row],[Fecha]],Opex!$B:$Y,OPEX_SALES!P$1,1)</f>
        <v>4137.9310344827591</v>
      </c>
      <c r="Q141" s="152">
        <f>+VLOOKUP(Opex_VE[[#This Row],[Fecha]],Opex!$B:$Y,OPEX_SALES!Q$1,1)</f>
        <v>11001.724137931034</v>
      </c>
      <c r="R141" s="153">
        <f>+SUM(Opex_VE[[#This Row],[Cajero]:[Domiciliario]])</f>
        <v>140000</v>
      </c>
      <c r="S141" s="152">
        <v>70000</v>
      </c>
      <c r="T141" s="152">
        <v>70000</v>
      </c>
      <c r="U141" s="152">
        <v>0</v>
      </c>
      <c r="V141"/>
    </row>
    <row r="142" spans="1:22" x14ac:dyDescent="0.2">
      <c r="A142" s="149">
        <v>46205</v>
      </c>
      <c r="B142" s="3">
        <f t="shared" si="3"/>
        <v>19</v>
      </c>
      <c r="C142" s="3" t="str">
        <f>+TEXT(Opex_VE[[#This Row],[Fecha]],"ddd")</f>
        <v>jue</v>
      </c>
      <c r="E142" s="14" t="s">
        <v>112</v>
      </c>
      <c r="F142" s="168">
        <f>IFERROR(VLOOKUP(Opex_VE[[#This Row],[Fecha]],Historia!A:B,2,0),_xlfn.XLOOKUP(Opex_VE[[#This Row],[dia]],Forecast!I:I,Forecast!J:J))</f>
        <v>274975</v>
      </c>
      <c r="G142" s="168">
        <f>IFERROR(VLOOKUP(Opex_VE[[#This Row],[Fecha]],Historia!A:C,3,0),_xlfn.XLOOKUP(Opex_VE[[#This Row],[dia]],Forecast!I:I,Forecast!K:K))</f>
        <v>109990</v>
      </c>
      <c r="H142" s="182">
        <f>+Opex_VE[[#This Row],[MG]]-Opex_VE[[#This Row],[Opex]]</f>
        <v>-114195.13793103449</v>
      </c>
      <c r="I142" s="168" t="str">
        <f>IFERROR(VLOOKUP(Opex_VE[[#This Row],[Fecha]],Historia!A:D,4,0),"Forecast")</f>
        <v>Forecast</v>
      </c>
      <c r="J142" s="157">
        <f t="shared" si="4"/>
        <v>560462.8448275862</v>
      </c>
      <c r="K142" s="151">
        <f>+Opex_VE[[#This Row],[Arriendo]]+Opex_VE[[#This Row],[Servicios publicos]]+Opex_VE[[#This Row],[Nomina]]</f>
        <v>224185.13793103449</v>
      </c>
      <c r="L142" s="152">
        <f>+VLOOKUP(Opex_VE[[#This Row],[Fecha]],Opex!$B:$Y,OPEX_SALES!L$1,1)</f>
        <v>56896.551724137928</v>
      </c>
      <c r="M142" s="153">
        <f>+SUM(Opex_VE[[#This Row],[Internet]:[Electricidad]])</f>
        <v>27288.586206896551</v>
      </c>
      <c r="N142" s="152">
        <f>+VLOOKUP(Opex_VE[[#This Row],[Fecha]],Opex!$B:$Y,OPEX_SALES!N$1,1)</f>
        <v>3620.6896551724139</v>
      </c>
      <c r="O142" s="152">
        <f>+VLOOKUP(Opex_VE[[#This Row],[Fecha]],Opex!$B:$Y,OPEX_SALES!O$1,1)</f>
        <v>8528.2413793103442</v>
      </c>
      <c r="P142" s="152">
        <f>+VLOOKUP(Opex_VE[[#This Row],[Fecha]],Opex!$B:$Y,OPEX_SALES!P$1,1)</f>
        <v>4137.9310344827591</v>
      </c>
      <c r="Q142" s="152">
        <f>+VLOOKUP(Opex_VE[[#This Row],[Fecha]],Opex!$B:$Y,OPEX_SALES!Q$1,1)</f>
        <v>11001.724137931034</v>
      </c>
      <c r="R142" s="153">
        <f>+SUM(Opex_VE[[#This Row],[Cajero]:[Domiciliario]])</f>
        <v>140000</v>
      </c>
      <c r="S142" s="152">
        <v>70000</v>
      </c>
      <c r="T142" s="152">
        <v>70000</v>
      </c>
      <c r="U142" s="152">
        <v>0</v>
      </c>
      <c r="V142"/>
    </row>
    <row r="143" spans="1:22" x14ac:dyDescent="0.2">
      <c r="A143" s="149">
        <v>46206</v>
      </c>
      <c r="B143" s="3">
        <f t="shared" si="3"/>
        <v>19</v>
      </c>
      <c r="C143" s="3" t="str">
        <f>+TEXT(Opex_VE[[#This Row],[Fecha]],"ddd")</f>
        <v>vie</v>
      </c>
      <c r="E143" s="14" t="s">
        <v>217</v>
      </c>
      <c r="F143" s="168">
        <f>IFERROR(VLOOKUP(Opex_VE[[#This Row],[Fecha]],Historia!A:B,2,0),_xlfn.XLOOKUP(Opex_VE[[#This Row],[dia]],Forecast!I:I,Forecast!J:J))</f>
        <v>184566.66666666666</v>
      </c>
      <c r="G143" s="168">
        <f>IFERROR(VLOOKUP(Opex_VE[[#This Row],[Fecha]],Historia!A:C,3,0),_xlfn.XLOOKUP(Opex_VE[[#This Row],[dia]],Forecast!I:I,Forecast!K:K))</f>
        <v>73826.666666666672</v>
      </c>
      <c r="H143" s="182">
        <f>+Opex_VE[[#This Row],[MG]]-Opex_VE[[#This Row],[Opex]]</f>
        <v>-150358.47126436781</v>
      </c>
      <c r="I143" s="168" t="str">
        <f>IFERROR(VLOOKUP(Opex_VE[[#This Row],[Fecha]],Historia!A:D,4,0),"Forecast")</f>
        <v>Forecast</v>
      </c>
      <c r="J143" s="157">
        <f t="shared" si="4"/>
        <v>560462.8448275862</v>
      </c>
      <c r="K143" s="151">
        <f>+Opex_VE[[#This Row],[Arriendo]]+Opex_VE[[#This Row],[Servicios publicos]]+Opex_VE[[#This Row],[Nomina]]</f>
        <v>224185.13793103449</v>
      </c>
      <c r="L143" s="152">
        <f>+VLOOKUP(Opex_VE[[#This Row],[Fecha]],Opex!$B:$Y,OPEX_SALES!L$1,1)</f>
        <v>56896.551724137928</v>
      </c>
      <c r="M143" s="153">
        <f>+SUM(Opex_VE[[#This Row],[Internet]:[Electricidad]])</f>
        <v>27288.586206896551</v>
      </c>
      <c r="N143" s="152">
        <f>+VLOOKUP(Opex_VE[[#This Row],[Fecha]],Opex!$B:$Y,OPEX_SALES!N$1,1)</f>
        <v>3620.6896551724139</v>
      </c>
      <c r="O143" s="152">
        <f>+VLOOKUP(Opex_VE[[#This Row],[Fecha]],Opex!$B:$Y,OPEX_SALES!O$1,1)</f>
        <v>8528.2413793103442</v>
      </c>
      <c r="P143" s="152">
        <f>+VLOOKUP(Opex_VE[[#This Row],[Fecha]],Opex!$B:$Y,OPEX_SALES!P$1,1)</f>
        <v>4137.9310344827591</v>
      </c>
      <c r="Q143" s="152">
        <f>+VLOOKUP(Opex_VE[[#This Row],[Fecha]],Opex!$B:$Y,OPEX_SALES!Q$1,1)</f>
        <v>11001.724137931034</v>
      </c>
      <c r="R143" s="153">
        <f>+SUM(Opex_VE[[#This Row],[Cajero]:[Domiciliario]])</f>
        <v>140000</v>
      </c>
      <c r="S143" s="152">
        <v>70000</v>
      </c>
      <c r="T143" s="152">
        <v>70000</v>
      </c>
      <c r="U143" s="152">
        <v>0</v>
      </c>
      <c r="V143"/>
    </row>
    <row r="144" spans="1:22" x14ac:dyDescent="0.2">
      <c r="A144" s="149">
        <v>46207</v>
      </c>
      <c r="B144" s="3">
        <f t="shared" si="3"/>
        <v>19</v>
      </c>
      <c r="C144" s="3" t="str">
        <f>+TEXT(Opex_VE[[#This Row],[Fecha]],"ddd")</f>
        <v>sáb</v>
      </c>
      <c r="E144" s="14" t="s">
        <v>113</v>
      </c>
      <c r="F144" s="168">
        <f>IFERROR(VLOOKUP(Opex_VE[[#This Row],[Fecha]],Historia!A:B,2,0),_xlfn.XLOOKUP(Opex_VE[[#This Row],[dia]],Forecast!I:I,Forecast!J:J))</f>
        <v>398333.33333333331</v>
      </c>
      <c r="G144" s="168">
        <f>IFERROR(VLOOKUP(Opex_VE[[#This Row],[Fecha]],Historia!A:C,3,0),_xlfn.XLOOKUP(Opex_VE[[#This Row],[dia]],Forecast!I:I,Forecast!K:K))</f>
        <v>159333.33333333334</v>
      </c>
      <c r="H144" s="182">
        <f>+Opex_VE[[#This Row],[MG]]-Opex_VE[[#This Row],[Opex]]</f>
        <v>-64851.80459770115</v>
      </c>
      <c r="I144" s="169" t="str">
        <f>IFERROR(VLOOKUP(Opex_VE[[#This Row],[Fecha]],Historia!A:D,4,0),"Forecast")</f>
        <v>Forecast</v>
      </c>
      <c r="J144" s="157">
        <f t="shared" si="4"/>
        <v>560462.8448275862</v>
      </c>
      <c r="K144" s="151">
        <f>+Opex_VE[[#This Row],[Arriendo]]+Opex_VE[[#This Row],[Servicios publicos]]+Opex_VE[[#This Row],[Nomina]]</f>
        <v>224185.13793103449</v>
      </c>
      <c r="L144" s="152">
        <f>+VLOOKUP(Opex_VE[[#This Row],[Fecha]],Opex!$B:$Y,OPEX_SALES!L$1,1)</f>
        <v>56896.551724137928</v>
      </c>
      <c r="M144" s="153">
        <f>+SUM(Opex_VE[[#This Row],[Internet]:[Electricidad]])</f>
        <v>27288.586206896551</v>
      </c>
      <c r="N144" s="152">
        <f>+VLOOKUP(Opex_VE[[#This Row],[Fecha]],Opex!$B:$Y,OPEX_SALES!N$1,1)</f>
        <v>3620.6896551724139</v>
      </c>
      <c r="O144" s="152">
        <f>+VLOOKUP(Opex_VE[[#This Row],[Fecha]],Opex!$B:$Y,OPEX_SALES!O$1,1)</f>
        <v>8528.2413793103442</v>
      </c>
      <c r="P144" s="152">
        <f>+VLOOKUP(Opex_VE[[#This Row],[Fecha]],Opex!$B:$Y,OPEX_SALES!P$1,1)</f>
        <v>4137.9310344827591</v>
      </c>
      <c r="Q144" s="152">
        <f>+VLOOKUP(Opex_VE[[#This Row],[Fecha]],Opex!$B:$Y,OPEX_SALES!Q$1,1)</f>
        <v>11001.724137931034</v>
      </c>
      <c r="R144" s="153">
        <f>+SUM(Opex_VE[[#This Row],[Cajero]:[Domiciliario]])</f>
        <v>140000</v>
      </c>
      <c r="S144" s="152">
        <v>70000</v>
      </c>
      <c r="T144" s="152">
        <v>70000</v>
      </c>
      <c r="U144" s="152">
        <v>0</v>
      </c>
      <c r="V144"/>
    </row>
    <row r="145" spans="1:22" x14ac:dyDescent="0.2">
      <c r="A145" s="149">
        <v>46208</v>
      </c>
      <c r="B145" s="3">
        <f t="shared" si="3"/>
        <v>19</v>
      </c>
      <c r="C145" s="3" t="str">
        <f>+TEXT(Opex_VE[[#This Row],[Fecha]],"ddd")</f>
        <v>dom</v>
      </c>
      <c r="E145" s="14" t="s">
        <v>145</v>
      </c>
      <c r="F145" s="168">
        <f>IFERROR(VLOOKUP(Opex_VE[[#This Row],[Fecha]],Historia!A:B,2,0),_xlfn.XLOOKUP(Opex_VE[[#This Row],[dia]],Forecast!I:I,Forecast!J:J))</f>
        <v>168750</v>
      </c>
      <c r="G145" s="168">
        <f>IFERROR(VLOOKUP(Opex_VE[[#This Row],[Fecha]],Historia!A:C,3,0),_xlfn.XLOOKUP(Opex_VE[[#This Row],[dia]],Forecast!I:I,Forecast!K:K))</f>
        <v>67500</v>
      </c>
      <c r="H145" s="182">
        <f>+Opex_VE[[#This Row],[MG]]-Opex_VE[[#This Row],[Opex]]</f>
        <v>-156685.13793103449</v>
      </c>
      <c r="I145" s="168" t="str">
        <f>IFERROR(VLOOKUP(Opex_VE[[#This Row],[Fecha]],Historia!A:D,4,0),"Forecast")</f>
        <v>Forecast</v>
      </c>
      <c r="J145" s="157">
        <f t="shared" si="4"/>
        <v>560462.8448275862</v>
      </c>
      <c r="K145" s="151">
        <f>+Opex_VE[[#This Row],[Arriendo]]+Opex_VE[[#This Row],[Servicios publicos]]+Opex_VE[[#This Row],[Nomina]]</f>
        <v>224185.13793103449</v>
      </c>
      <c r="L145" s="152">
        <f>+VLOOKUP(Opex_VE[[#This Row],[Fecha]],Opex!$B:$Y,OPEX_SALES!L$1,1)</f>
        <v>56896.551724137928</v>
      </c>
      <c r="M145" s="153">
        <f>+SUM(Opex_VE[[#This Row],[Internet]:[Electricidad]])</f>
        <v>27288.586206896551</v>
      </c>
      <c r="N145" s="152">
        <f>+VLOOKUP(Opex_VE[[#This Row],[Fecha]],Opex!$B:$Y,OPEX_SALES!N$1,1)</f>
        <v>3620.6896551724139</v>
      </c>
      <c r="O145" s="152">
        <f>+VLOOKUP(Opex_VE[[#This Row],[Fecha]],Opex!$B:$Y,OPEX_SALES!O$1,1)</f>
        <v>8528.2413793103442</v>
      </c>
      <c r="P145" s="152">
        <f>+VLOOKUP(Opex_VE[[#This Row],[Fecha]],Opex!$B:$Y,OPEX_SALES!P$1,1)</f>
        <v>4137.9310344827591</v>
      </c>
      <c r="Q145" s="152">
        <f>+VLOOKUP(Opex_VE[[#This Row],[Fecha]],Opex!$B:$Y,OPEX_SALES!Q$1,1)</f>
        <v>11001.724137931034</v>
      </c>
      <c r="R145" s="153">
        <f>+SUM(Opex_VE[[#This Row],[Cajero]:[Domiciliario]])</f>
        <v>140000</v>
      </c>
      <c r="S145" s="152">
        <v>70000</v>
      </c>
      <c r="T145" s="152">
        <v>70000</v>
      </c>
      <c r="U145" s="152">
        <v>0</v>
      </c>
      <c r="V145"/>
    </row>
    <row r="146" spans="1:22" x14ac:dyDescent="0.2">
      <c r="A146" s="149">
        <v>46209</v>
      </c>
      <c r="B146" s="3">
        <f t="shared" si="3"/>
        <v>20</v>
      </c>
      <c r="C146" s="3" t="str">
        <f>+TEXT(Opex_VE[[#This Row],[Fecha]],"ddd")</f>
        <v>lun</v>
      </c>
      <c r="E146" s="14" t="s">
        <v>112</v>
      </c>
      <c r="F146" s="168">
        <f>IFERROR(VLOOKUP(Opex_VE[[#This Row],[Fecha]],Historia!A:B,2,0),_xlfn.XLOOKUP(Opex_VE[[#This Row],[dia]],Forecast!I:I,Forecast!J:J))</f>
        <v>164375</v>
      </c>
      <c r="G146" s="168">
        <f>IFERROR(VLOOKUP(Opex_VE[[#This Row],[Fecha]],Historia!A:C,3,0),_xlfn.XLOOKUP(Opex_VE[[#This Row],[dia]],Forecast!I:I,Forecast!K:K))</f>
        <v>65750</v>
      </c>
      <c r="H146" s="182">
        <f>+Opex_VE[[#This Row],[MG]]-Opex_VE[[#This Row],[Opex]]</f>
        <v>-158435.13793103449</v>
      </c>
      <c r="I146" s="168" t="str">
        <f>IFERROR(VLOOKUP(Opex_VE[[#This Row],[Fecha]],Historia!A:D,4,0),"Forecast")</f>
        <v>Forecast</v>
      </c>
      <c r="J146" s="157">
        <f t="shared" si="4"/>
        <v>560462.8448275862</v>
      </c>
      <c r="K146" s="151">
        <f>+Opex_VE[[#This Row],[Arriendo]]+Opex_VE[[#This Row],[Servicios publicos]]+Opex_VE[[#This Row],[Nomina]]</f>
        <v>224185.13793103449</v>
      </c>
      <c r="L146" s="152">
        <f>+VLOOKUP(Opex_VE[[#This Row],[Fecha]],Opex!$B:$Y,OPEX_SALES!L$1,1)</f>
        <v>56896.551724137928</v>
      </c>
      <c r="M146" s="153">
        <f>+SUM(Opex_VE[[#This Row],[Internet]:[Electricidad]])</f>
        <v>27288.586206896551</v>
      </c>
      <c r="N146" s="152">
        <f>+VLOOKUP(Opex_VE[[#This Row],[Fecha]],Opex!$B:$Y,OPEX_SALES!N$1,1)</f>
        <v>3620.6896551724139</v>
      </c>
      <c r="O146" s="152">
        <f>+VLOOKUP(Opex_VE[[#This Row],[Fecha]],Opex!$B:$Y,OPEX_SALES!O$1,1)</f>
        <v>8528.2413793103442</v>
      </c>
      <c r="P146" s="152">
        <f>+VLOOKUP(Opex_VE[[#This Row],[Fecha]],Opex!$B:$Y,OPEX_SALES!P$1,1)</f>
        <v>4137.9310344827591</v>
      </c>
      <c r="Q146" s="152">
        <f>+VLOOKUP(Opex_VE[[#This Row],[Fecha]],Opex!$B:$Y,OPEX_SALES!Q$1,1)</f>
        <v>11001.724137931034</v>
      </c>
      <c r="R146" s="153">
        <f>+SUM(Opex_VE[[#This Row],[Cajero]:[Domiciliario]])</f>
        <v>140000</v>
      </c>
      <c r="S146" s="152">
        <v>70000</v>
      </c>
      <c r="T146" s="152">
        <v>70000</v>
      </c>
      <c r="U146" s="152">
        <v>0</v>
      </c>
      <c r="V146"/>
    </row>
    <row r="147" spans="1:22" x14ac:dyDescent="0.2">
      <c r="A147" s="149">
        <v>46210</v>
      </c>
      <c r="B147" s="3">
        <f t="shared" si="3"/>
        <v>20</v>
      </c>
      <c r="C147" s="3" t="str">
        <f>+TEXT(Opex_VE[[#This Row],[Fecha]],"ddd")</f>
        <v>mar</v>
      </c>
      <c r="E147" s="14" t="s">
        <v>112</v>
      </c>
      <c r="F147" s="168">
        <f>IFERROR(VLOOKUP(Opex_VE[[#This Row],[Fecha]],Historia!A:B,2,0),_xlfn.XLOOKUP(Opex_VE[[#This Row],[dia]],Forecast!I:I,Forecast!J:J))</f>
        <v>199625</v>
      </c>
      <c r="G147" s="168">
        <f>IFERROR(VLOOKUP(Opex_VE[[#This Row],[Fecha]],Historia!A:C,3,0),_xlfn.XLOOKUP(Opex_VE[[#This Row],[dia]],Forecast!I:I,Forecast!K:K))</f>
        <v>79850</v>
      </c>
      <c r="H147" s="182">
        <f>+Opex_VE[[#This Row],[MG]]-Opex_VE[[#This Row],[Opex]]</f>
        <v>-144335.13793103449</v>
      </c>
      <c r="I147" s="168" t="str">
        <f>IFERROR(VLOOKUP(Opex_VE[[#This Row],[Fecha]],Historia!A:D,4,0),"Forecast")</f>
        <v>Forecast</v>
      </c>
      <c r="J147" s="157">
        <f t="shared" si="4"/>
        <v>560462.8448275862</v>
      </c>
      <c r="K147" s="151">
        <f>+Opex_VE[[#This Row],[Arriendo]]+Opex_VE[[#This Row],[Servicios publicos]]+Opex_VE[[#This Row],[Nomina]]</f>
        <v>224185.13793103449</v>
      </c>
      <c r="L147" s="152">
        <f>+VLOOKUP(Opex_VE[[#This Row],[Fecha]],Opex!$B:$Y,OPEX_SALES!L$1,1)</f>
        <v>56896.551724137928</v>
      </c>
      <c r="M147" s="153">
        <f>+SUM(Opex_VE[[#This Row],[Internet]:[Electricidad]])</f>
        <v>27288.586206896551</v>
      </c>
      <c r="N147" s="152">
        <f>+VLOOKUP(Opex_VE[[#This Row],[Fecha]],Opex!$B:$Y,OPEX_SALES!N$1,1)</f>
        <v>3620.6896551724139</v>
      </c>
      <c r="O147" s="152">
        <f>+VLOOKUP(Opex_VE[[#This Row],[Fecha]],Opex!$B:$Y,OPEX_SALES!O$1,1)</f>
        <v>8528.2413793103442</v>
      </c>
      <c r="P147" s="152">
        <f>+VLOOKUP(Opex_VE[[#This Row],[Fecha]],Opex!$B:$Y,OPEX_SALES!P$1,1)</f>
        <v>4137.9310344827591</v>
      </c>
      <c r="Q147" s="152">
        <f>+VLOOKUP(Opex_VE[[#This Row],[Fecha]],Opex!$B:$Y,OPEX_SALES!Q$1,1)</f>
        <v>11001.724137931034</v>
      </c>
      <c r="R147" s="153">
        <f>+SUM(Opex_VE[[#This Row],[Cajero]:[Domiciliario]])</f>
        <v>140000</v>
      </c>
      <c r="S147" s="152">
        <v>70000</v>
      </c>
      <c r="T147" s="152">
        <v>70000</v>
      </c>
      <c r="U147" s="152">
        <v>0</v>
      </c>
      <c r="V147"/>
    </row>
    <row r="148" spans="1:22" x14ac:dyDescent="0.2">
      <c r="A148" s="149">
        <v>46211</v>
      </c>
      <c r="B148" s="3">
        <f t="shared" si="3"/>
        <v>20</v>
      </c>
      <c r="C148" s="3" t="str">
        <f>+TEXT(Opex_VE[[#This Row],[Fecha]],"ddd")</f>
        <v>mié</v>
      </c>
      <c r="E148" s="14" t="s">
        <v>112</v>
      </c>
      <c r="F148" s="168">
        <f>IFERROR(VLOOKUP(Opex_VE[[#This Row],[Fecha]],Historia!A:B,2,0),_xlfn.XLOOKUP(Opex_VE[[#This Row],[dia]],Forecast!I:I,Forecast!J:J))</f>
        <v>339250</v>
      </c>
      <c r="G148" s="168">
        <f>IFERROR(VLOOKUP(Opex_VE[[#This Row],[Fecha]],Historia!A:C,3,0),_xlfn.XLOOKUP(Opex_VE[[#This Row],[dia]],Forecast!I:I,Forecast!K:K))</f>
        <v>135700</v>
      </c>
      <c r="H148" s="182">
        <f>+Opex_VE[[#This Row],[MG]]-Opex_VE[[#This Row],[Opex]]</f>
        <v>-88485.137931034493</v>
      </c>
      <c r="I148" s="168" t="str">
        <f>IFERROR(VLOOKUP(Opex_VE[[#This Row],[Fecha]],Historia!A:D,4,0),"Forecast")</f>
        <v>Forecast</v>
      </c>
      <c r="J148" s="157">
        <f t="shared" si="4"/>
        <v>560462.8448275862</v>
      </c>
      <c r="K148" s="151">
        <f>+Opex_VE[[#This Row],[Arriendo]]+Opex_VE[[#This Row],[Servicios publicos]]+Opex_VE[[#This Row],[Nomina]]</f>
        <v>224185.13793103449</v>
      </c>
      <c r="L148" s="152">
        <f>+VLOOKUP(Opex_VE[[#This Row],[Fecha]],Opex!$B:$Y,OPEX_SALES!L$1,1)</f>
        <v>56896.551724137928</v>
      </c>
      <c r="M148" s="153">
        <f>+SUM(Opex_VE[[#This Row],[Internet]:[Electricidad]])</f>
        <v>27288.586206896551</v>
      </c>
      <c r="N148" s="152">
        <f>+VLOOKUP(Opex_VE[[#This Row],[Fecha]],Opex!$B:$Y,OPEX_SALES!N$1,1)</f>
        <v>3620.6896551724139</v>
      </c>
      <c r="O148" s="152">
        <f>+VLOOKUP(Opex_VE[[#This Row],[Fecha]],Opex!$B:$Y,OPEX_SALES!O$1,1)</f>
        <v>8528.2413793103442</v>
      </c>
      <c r="P148" s="152">
        <f>+VLOOKUP(Opex_VE[[#This Row],[Fecha]],Opex!$B:$Y,OPEX_SALES!P$1,1)</f>
        <v>4137.9310344827591</v>
      </c>
      <c r="Q148" s="152">
        <f>+VLOOKUP(Opex_VE[[#This Row],[Fecha]],Opex!$B:$Y,OPEX_SALES!Q$1,1)</f>
        <v>11001.724137931034</v>
      </c>
      <c r="R148" s="153">
        <f>+SUM(Opex_VE[[#This Row],[Cajero]:[Domiciliario]])</f>
        <v>140000</v>
      </c>
      <c r="S148" s="152">
        <v>70000</v>
      </c>
      <c r="T148" s="152">
        <v>70000</v>
      </c>
      <c r="U148" s="152">
        <v>0</v>
      </c>
      <c r="V148"/>
    </row>
    <row r="149" spans="1:22" x14ac:dyDescent="0.2">
      <c r="A149" s="149">
        <v>46212</v>
      </c>
      <c r="B149" s="3">
        <f t="shared" ref="B149:B212" si="5">+B142+1</f>
        <v>20</v>
      </c>
      <c r="C149" s="3" t="str">
        <f>+TEXT(Opex_VE[[#This Row],[Fecha]],"ddd")</f>
        <v>jue</v>
      </c>
      <c r="E149" s="14" t="s">
        <v>112</v>
      </c>
      <c r="F149" s="168">
        <f>IFERROR(VLOOKUP(Opex_VE[[#This Row],[Fecha]],Historia!A:B,2,0),_xlfn.XLOOKUP(Opex_VE[[#This Row],[dia]],Forecast!I:I,Forecast!J:J))</f>
        <v>274975</v>
      </c>
      <c r="G149" s="168">
        <f>IFERROR(VLOOKUP(Opex_VE[[#This Row],[Fecha]],Historia!A:C,3,0),_xlfn.XLOOKUP(Opex_VE[[#This Row],[dia]],Forecast!I:I,Forecast!K:K))</f>
        <v>109990</v>
      </c>
      <c r="H149" s="182">
        <f>+Opex_VE[[#This Row],[MG]]-Opex_VE[[#This Row],[Opex]]</f>
        <v>-114195.13793103449</v>
      </c>
      <c r="I149" s="168" t="str">
        <f>IFERROR(VLOOKUP(Opex_VE[[#This Row],[Fecha]],Historia!A:D,4,0),"Forecast")</f>
        <v>Forecast</v>
      </c>
      <c r="J149" s="157">
        <f t="shared" si="4"/>
        <v>560462.8448275862</v>
      </c>
      <c r="K149" s="151">
        <f>+Opex_VE[[#This Row],[Arriendo]]+Opex_VE[[#This Row],[Servicios publicos]]+Opex_VE[[#This Row],[Nomina]]</f>
        <v>224185.13793103449</v>
      </c>
      <c r="L149" s="152">
        <f>+VLOOKUP(Opex_VE[[#This Row],[Fecha]],Opex!$B:$Y,OPEX_SALES!L$1,1)</f>
        <v>56896.551724137928</v>
      </c>
      <c r="M149" s="153">
        <f>+SUM(Opex_VE[[#This Row],[Internet]:[Electricidad]])</f>
        <v>27288.586206896551</v>
      </c>
      <c r="N149" s="152">
        <f>+VLOOKUP(Opex_VE[[#This Row],[Fecha]],Opex!$B:$Y,OPEX_SALES!N$1,1)</f>
        <v>3620.6896551724139</v>
      </c>
      <c r="O149" s="152">
        <f>+VLOOKUP(Opex_VE[[#This Row],[Fecha]],Opex!$B:$Y,OPEX_SALES!O$1,1)</f>
        <v>8528.2413793103442</v>
      </c>
      <c r="P149" s="152">
        <f>+VLOOKUP(Opex_VE[[#This Row],[Fecha]],Opex!$B:$Y,OPEX_SALES!P$1,1)</f>
        <v>4137.9310344827591</v>
      </c>
      <c r="Q149" s="152">
        <f>+VLOOKUP(Opex_VE[[#This Row],[Fecha]],Opex!$B:$Y,OPEX_SALES!Q$1,1)</f>
        <v>11001.724137931034</v>
      </c>
      <c r="R149" s="153">
        <f>+SUM(Opex_VE[[#This Row],[Cajero]:[Domiciliario]])</f>
        <v>140000</v>
      </c>
      <c r="S149" s="152">
        <v>70000</v>
      </c>
      <c r="T149" s="152">
        <v>70000</v>
      </c>
      <c r="U149" s="152">
        <v>0</v>
      </c>
      <c r="V149"/>
    </row>
    <row r="150" spans="1:22" x14ac:dyDescent="0.2">
      <c r="A150" s="149">
        <v>46213</v>
      </c>
      <c r="B150" s="3">
        <f t="shared" si="5"/>
        <v>20</v>
      </c>
      <c r="C150" s="3" t="str">
        <f>+TEXT(Opex_VE[[#This Row],[Fecha]],"ddd")</f>
        <v>vie</v>
      </c>
      <c r="E150" s="14" t="s">
        <v>217</v>
      </c>
      <c r="F150" s="168">
        <f>IFERROR(VLOOKUP(Opex_VE[[#This Row],[Fecha]],Historia!A:B,2,0),_xlfn.XLOOKUP(Opex_VE[[#This Row],[dia]],Forecast!I:I,Forecast!J:J))</f>
        <v>184566.66666666666</v>
      </c>
      <c r="G150" s="168">
        <f>IFERROR(VLOOKUP(Opex_VE[[#This Row],[Fecha]],Historia!A:C,3,0),_xlfn.XLOOKUP(Opex_VE[[#This Row],[dia]],Forecast!I:I,Forecast!K:K))</f>
        <v>73826.666666666672</v>
      </c>
      <c r="H150" s="182">
        <f>+Opex_VE[[#This Row],[MG]]-Opex_VE[[#This Row],[Opex]]</f>
        <v>-150358.47126436781</v>
      </c>
      <c r="I150" s="168" t="str">
        <f>IFERROR(VLOOKUP(Opex_VE[[#This Row],[Fecha]],Historia!A:D,4,0),"Forecast")</f>
        <v>Forecast</v>
      </c>
      <c r="J150" s="157">
        <f t="shared" si="4"/>
        <v>560462.8448275862</v>
      </c>
      <c r="K150" s="151">
        <f>+Opex_VE[[#This Row],[Arriendo]]+Opex_VE[[#This Row],[Servicios publicos]]+Opex_VE[[#This Row],[Nomina]]</f>
        <v>224185.13793103449</v>
      </c>
      <c r="L150" s="152">
        <f>+VLOOKUP(Opex_VE[[#This Row],[Fecha]],Opex!$B:$Y,OPEX_SALES!L$1,1)</f>
        <v>56896.551724137928</v>
      </c>
      <c r="M150" s="153">
        <f>+SUM(Opex_VE[[#This Row],[Internet]:[Electricidad]])</f>
        <v>27288.586206896551</v>
      </c>
      <c r="N150" s="152">
        <f>+VLOOKUP(Opex_VE[[#This Row],[Fecha]],Opex!$B:$Y,OPEX_SALES!N$1,1)</f>
        <v>3620.6896551724139</v>
      </c>
      <c r="O150" s="152">
        <f>+VLOOKUP(Opex_VE[[#This Row],[Fecha]],Opex!$B:$Y,OPEX_SALES!O$1,1)</f>
        <v>8528.2413793103442</v>
      </c>
      <c r="P150" s="152">
        <f>+VLOOKUP(Opex_VE[[#This Row],[Fecha]],Opex!$B:$Y,OPEX_SALES!P$1,1)</f>
        <v>4137.9310344827591</v>
      </c>
      <c r="Q150" s="152">
        <f>+VLOOKUP(Opex_VE[[#This Row],[Fecha]],Opex!$B:$Y,OPEX_SALES!Q$1,1)</f>
        <v>11001.724137931034</v>
      </c>
      <c r="R150" s="153">
        <f>+SUM(Opex_VE[[#This Row],[Cajero]:[Domiciliario]])</f>
        <v>140000</v>
      </c>
      <c r="S150" s="152">
        <v>70000</v>
      </c>
      <c r="T150" s="152">
        <v>70000</v>
      </c>
      <c r="U150" s="152">
        <v>0</v>
      </c>
      <c r="V150"/>
    </row>
    <row r="151" spans="1:22" x14ac:dyDescent="0.2">
      <c r="A151" s="149">
        <v>46214</v>
      </c>
      <c r="B151" s="3">
        <f t="shared" si="5"/>
        <v>20</v>
      </c>
      <c r="C151" s="3" t="str">
        <f>+TEXT(Opex_VE[[#This Row],[Fecha]],"ddd")</f>
        <v>sáb</v>
      </c>
      <c r="E151" s="14" t="s">
        <v>113</v>
      </c>
      <c r="F151" s="168">
        <f>IFERROR(VLOOKUP(Opex_VE[[#This Row],[Fecha]],Historia!A:B,2,0),_xlfn.XLOOKUP(Opex_VE[[#This Row],[dia]],Forecast!I:I,Forecast!J:J))</f>
        <v>398333.33333333331</v>
      </c>
      <c r="G151" s="168">
        <f>IFERROR(VLOOKUP(Opex_VE[[#This Row],[Fecha]],Historia!A:C,3,0),_xlfn.XLOOKUP(Opex_VE[[#This Row],[dia]],Forecast!I:I,Forecast!K:K))</f>
        <v>159333.33333333334</v>
      </c>
      <c r="H151" s="182">
        <f>+Opex_VE[[#This Row],[MG]]-Opex_VE[[#This Row],[Opex]]</f>
        <v>-64851.80459770115</v>
      </c>
      <c r="I151" s="169" t="str">
        <f>IFERROR(VLOOKUP(Opex_VE[[#This Row],[Fecha]],Historia!A:D,4,0),"Forecast")</f>
        <v>Forecast</v>
      </c>
      <c r="J151" s="157">
        <f t="shared" si="4"/>
        <v>560462.8448275862</v>
      </c>
      <c r="K151" s="151">
        <f>+Opex_VE[[#This Row],[Arriendo]]+Opex_VE[[#This Row],[Servicios publicos]]+Opex_VE[[#This Row],[Nomina]]</f>
        <v>224185.13793103449</v>
      </c>
      <c r="L151" s="152">
        <f>+VLOOKUP(Opex_VE[[#This Row],[Fecha]],Opex!$B:$Y,OPEX_SALES!L$1,1)</f>
        <v>56896.551724137928</v>
      </c>
      <c r="M151" s="153">
        <f>+SUM(Opex_VE[[#This Row],[Internet]:[Electricidad]])</f>
        <v>27288.586206896551</v>
      </c>
      <c r="N151" s="152">
        <f>+VLOOKUP(Opex_VE[[#This Row],[Fecha]],Opex!$B:$Y,OPEX_SALES!N$1,1)</f>
        <v>3620.6896551724139</v>
      </c>
      <c r="O151" s="152">
        <f>+VLOOKUP(Opex_VE[[#This Row],[Fecha]],Opex!$B:$Y,OPEX_SALES!O$1,1)</f>
        <v>8528.2413793103442</v>
      </c>
      <c r="P151" s="152">
        <f>+VLOOKUP(Opex_VE[[#This Row],[Fecha]],Opex!$B:$Y,OPEX_SALES!P$1,1)</f>
        <v>4137.9310344827591</v>
      </c>
      <c r="Q151" s="152">
        <f>+VLOOKUP(Opex_VE[[#This Row],[Fecha]],Opex!$B:$Y,OPEX_SALES!Q$1,1)</f>
        <v>11001.724137931034</v>
      </c>
      <c r="R151" s="153">
        <f>+SUM(Opex_VE[[#This Row],[Cajero]:[Domiciliario]])</f>
        <v>140000</v>
      </c>
      <c r="S151" s="152">
        <v>70000</v>
      </c>
      <c r="T151" s="152">
        <v>70000</v>
      </c>
      <c r="U151" s="152">
        <v>0</v>
      </c>
      <c r="V151"/>
    </row>
    <row r="152" spans="1:22" x14ac:dyDescent="0.2">
      <c r="A152" s="149">
        <v>46215</v>
      </c>
      <c r="B152" s="3">
        <f t="shared" si="5"/>
        <v>20</v>
      </c>
      <c r="C152" s="3" t="str">
        <f>+TEXT(Opex_VE[[#This Row],[Fecha]],"ddd")</f>
        <v>dom</v>
      </c>
      <c r="E152" s="14" t="s">
        <v>145</v>
      </c>
      <c r="F152" s="168">
        <f>IFERROR(VLOOKUP(Opex_VE[[#This Row],[Fecha]],Historia!A:B,2,0),_xlfn.XLOOKUP(Opex_VE[[#This Row],[dia]],Forecast!I:I,Forecast!J:J))</f>
        <v>168750</v>
      </c>
      <c r="G152" s="168">
        <f>IFERROR(VLOOKUP(Opex_VE[[#This Row],[Fecha]],Historia!A:C,3,0),_xlfn.XLOOKUP(Opex_VE[[#This Row],[dia]],Forecast!I:I,Forecast!K:K))</f>
        <v>67500</v>
      </c>
      <c r="H152" s="182">
        <f>+Opex_VE[[#This Row],[MG]]-Opex_VE[[#This Row],[Opex]]</f>
        <v>-156685.13793103449</v>
      </c>
      <c r="I152" s="168" t="str">
        <f>IFERROR(VLOOKUP(Opex_VE[[#This Row],[Fecha]],Historia!A:D,4,0),"Forecast")</f>
        <v>Forecast</v>
      </c>
      <c r="J152" s="157">
        <f t="shared" si="4"/>
        <v>560462.8448275862</v>
      </c>
      <c r="K152" s="151">
        <f>+Opex_VE[[#This Row],[Arriendo]]+Opex_VE[[#This Row],[Servicios publicos]]+Opex_VE[[#This Row],[Nomina]]</f>
        <v>224185.13793103449</v>
      </c>
      <c r="L152" s="152">
        <f>+VLOOKUP(Opex_VE[[#This Row],[Fecha]],Opex!$B:$Y,OPEX_SALES!L$1,1)</f>
        <v>56896.551724137928</v>
      </c>
      <c r="M152" s="153">
        <f>+SUM(Opex_VE[[#This Row],[Internet]:[Electricidad]])</f>
        <v>27288.586206896551</v>
      </c>
      <c r="N152" s="152">
        <f>+VLOOKUP(Opex_VE[[#This Row],[Fecha]],Opex!$B:$Y,OPEX_SALES!N$1,1)</f>
        <v>3620.6896551724139</v>
      </c>
      <c r="O152" s="152">
        <f>+VLOOKUP(Opex_VE[[#This Row],[Fecha]],Opex!$B:$Y,OPEX_SALES!O$1,1)</f>
        <v>8528.2413793103442</v>
      </c>
      <c r="P152" s="152">
        <f>+VLOOKUP(Opex_VE[[#This Row],[Fecha]],Opex!$B:$Y,OPEX_SALES!P$1,1)</f>
        <v>4137.9310344827591</v>
      </c>
      <c r="Q152" s="152">
        <f>+VLOOKUP(Opex_VE[[#This Row],[Fecha]],Opex!$B:$Y,OPEX_SALES!Q$1,1)</f>
        <v>11001.724137931034</v>
      </c>
      <c r="R152" s="153">
        <f>+SUM(Opex_VE[[#This Row],[Cajero]:[Domiciliario]])</f>
        <v>140000</v>
      </c>
      <c r="S152" s="152">
        <v>70000</v>
      </c>
      <c r="T152" s="152">
        <v>70000</v>
      </c>
      <c r="U152" s="152">
        <v>0</v>
      </c>
      <c r="V152"/>
    </row>
    <row r="153" spans="1:22" x14ac:dyDescent="0.2">
      <c r="A153" s="149">
        <v>46216</v>
      </c>
      <c r="B153" s="3">
        <f t="shared" si="5"/>
        <v>21</v>
      </c>
      <c r="C153" s="3" t="str">
        <f>+TEXT(Opex_VE[[#This Row],[Fecha]],"ddd")</f>
        <v>lun</v>
      </c>
      <c r="E153" s="14" t="s">
        <v>112</v>
      </c>
      <c r="F153" s="168">
        <f>IFERROR(VLOOKUP(Opex_VE[[#This Row],[Fecha]],Historia!A:B,2,0),_xlfn.XLOOKUP(Opex_VE[[#This Row],[dia]],Forecast!I:I,Forecast!J:J))</f>
        <v>164375</v>
      </c>
      <c r="G153" s="168">
        <f>IFERROR(VLOOKUP(Opex_VE[[#This Row],[Fecha]],Historia!A:C,3,0),_xlfn.XLOOKUP(Opex_VE[[#This Row],[dia]],Forecast!I:I,Forecast!K:K))</f>
        <v>65750</v>
      </c>
      <c r="H153" s="182">
        <f>+Opex_VE[[#This Row],[MG]]-Opex_VE[[#This Row],[Opex]]</f>
        <v>-158435.13793103449</v>
      </c>
      <c r="I153" s="168" t="str">
        <f>IFERROR(VLOOKUP(Opex_VE[[#This Row],[Fecha]],Historia!A:D,4,0),"Forecast")</f>
        <v>Forecast</v>
      </c>
      <c r="J153" s="157">
        <f t="shared" si="4"/>
        <v>560462.8448275862</v>
      </c>
      <c r="K153" s="151">
        <f>+Opex_VE[[#This Row],[Arriendo]]+Opex_VE[[#This Row],[Servicios publicos]]+Opex_VE[[#This Row],[Nomina]]</f>
        <v>224185.13793103449</v>
      </c>
      <c r="L153" s="152">
        <f>+VLOOKUP(Opex_VE[[#This Row],[Fecha]],Opex!$B:$Y,OPEX_SALES!L$1,1)</f>
        <v>56896.551724137928</v>
      </c>
      <c r="M153" s="153">
        <f>+SUM(Opex_VE[[#This Row],[Internet]:[Electricidad]])</f>
        <v>27288.586206896551</v>
      </c>
      <c r="N153" s="152">
        <f>+VLOOKUP(Opex_VE[[#This Row],[Fecha]],Opex!$B:$Y,OPEX_SALES!N$1,1)</f>
        <v>3620.6896551724139</v>
      </c>
      <c r="O153" s="152">
        <f>+VLOOKUP(Opex_VE[[#This Row],[Fecha]],Opex!$B:$Y,OPEX_SALES!O$1,1)</f>
        <v>8528.2413793103442</v>
      </c>
      <c r="P153" s="152">
        <f>+VLOOKUP(Opex_VE[[#This Row],[Fecha]],Opex!$B:$Y,OPEX_SALES!P$1,1)</f>
        <v>4137.9310344827591</v>
      </c>
      <c r="Q153" s="152">
        <f>+VLOOKUP(Opex_VE[[#This Row],[Fecha]],Opex!$B:$Y,OPEX_SALES!Q$1,1)</f>
        <v>11001.724137931034</v>
      </c>
      <c r="R153" s="153">
        <f>+SUM(Opex_VE[[#This Row],[Cajero]:[Domiciliario]])</f>
        <v>140000</v>
      </c>
      <c r="S153" s="152">
        <v>70000</v>
      </c>
      <c r="T153" s="152">
        <v>70000</v>
      </c>
      <c r="U153" s="152">
        <v>0</v>
      </c>
      <c r="V153"/>
    </row>
    <row r="154" spans="1:22" x14ac:dyDescent="0.2">
      <c r="A154" s="149">
        <v>46217</v>
      </c>
      <c r="B154" s="3">
        <f t="shared" si="5"/>
        <v>21</v>
      </c>
      <c r="C154" s="3" t="str">
        <f>+TEXT(Opex_VE[[#This Row],[Fecha]],"ddd")</f>
        <v>mar</v>
      </c>
      <c r="E154" s="14" t="s">
        <v>112</v>
      </c>
      <c r="F154" s="168">
        <f>IFERROR(VLOOKUP(Opex_VE[[#This Row],[Fecha]],Historia!A:B,2,0),_xlfn.XLOOKUP(Opex_VE[[#This Row],[dia]],Forecast!I:I,Forecast!J:J))</f>
        <v>199625</v>
      </c>
      <c r="G154" s="168">
        <f>IFERROR(VLOOKUP(Opex_VE[[#This Row],[Fecha]],Historia!A:C,3,0),_xlfn.XLOOKUP(Opex_VE[[#This Row],[dia]],Forecast!I:I,Forecast!K:K))</f>
        <v>79850</v>
      </c>
      <c r="H154" s="182">
        <f>+Opex_VE[[#This Row],[MG]]-Opex_VE[[#This Row],[Opex]]</f>
        <v>-144335.13793103449</v>
      </c>
      <c r="I154" s="168" t="str">
        <f>IFERROR(VLOOKUP(Opex_VE[[#This Row],[Fecha]],Historia!A:D,4,0),"Forecast")</f>
        <v>Forecast</v>
      </c>
      <c r="J154" s="157">
        <f t="shared" si="4"/>
        <v>560462.8448275862</v>
      </c>
      <c r="K154" s="151">
        <f>+Opex_VE[[#This Row],[Arriendo]]+Opex_VE[[#This Row],[Servicios publicos]]+Opex_VE[[#This Row],[Nomina]]</f>
        <v>224185.13793103449</v>
      </c>
      <c r="L154" s="152">
        <f>+VLOOKUP(Opex_VE[[#This Row],[Fecha]],Opex!$B:$Y,OPEX_SALES!L$1,1)</f>
        <v>56896.551724137928</v>
      </c>
      <c r="M154" s="153">
        <f>+SUM(Opex_VE[[#This Row],[Internet]:[Electricidad]])</f>
        <v>27288.586206896551</v>
      </c>
      <c r="N154" s="152">
        <f>+VLOOKUP(Opex_VE[[#This Row],[Fecha]],Opex!$B:$Y,OPEX_SALES!N$1,1)</f>
        <v>3620.6896551724139</v>
      </c>
      <c r="O154" s="152">
        <f>+VLOOKUP(Opex_VE[[#This Row],[Fecha]],Opex!$B:$Y,OPEX_SALES!O$1,1)</f>
        <v>8528.2413793103442</v>
      </c>
      <c r="P154" s="152">
        <f>+VLOOKUP(Opex_VE[[#This Row],[Fecha]],Opex!$B:$Y,OPEX_SALES!P$1,1)</f>
        <v>4137.9310344827591</v>
      </c>
      <c r="Q154" s="152">
        <f>+VLOOKUP(Opex_VE[[#This Row],[Fecha]],Opex!$B:$Y,OPEX_SALES!Q$1,1)</f>
        <v>11001.724137931034</v>
      </c>
      <c r="R154" s="153">
        <f>+SUM(Opex_VE[[#This Row],[Cajero]:[Domiciliario]])</f>
        <v>140000</v>
      </c>
      <c r="S154" s="152">
        <v>70000</v>
      </c>
      <c r="T154" s="152">
        <v>70000</v>
      </c>
      <c r="U154" s="152">
        <v>0</v>
      </c>
      <c r="V154"/>
    </row>
    <row r="155" spans="1:22" x14ac:dyDescent="0.2">
      <c r="A155" s="149">
        <v>46218</v>
      </c>
      <c r="B155" s="3">
        <f t="shared" si="5"/>
        <v>21</v>
      </c>
      <c r="C155" s="3" t="str">
        <f>+TEXT(Opex_VE[[#This Row],[Fecha]],"ddd")</f>
        <v>mié</v>
      </c>
      <c r="E155" s="14" t="s">
        <v>112</v>
      </c>
      <c r="F155" s="168">
        <f>IFERROR(VLOOKUP(Opex_VE[[#This Row],[Fecha]],Historia!A:B,2,0),_xlfn.XLOOKUP(Opex_VE[[#This Row],[dia]],Forecast!I:I,Forecast!J:J))</f>
        <v>339250</v>
      </c>
      <c r="G155" s="168">
        <f>IFERROR(VLOOKUP(Opex_VE[[#This Row],[Fecha]],Historia!A:C,3,0),_xlfn.XLOOKUP(Opex_VE[[#This Row],[dia]],Forecast!I:I,Forecast!K:K))</f>
        <v>135700</v>
      </c>
      <c r="H155" s="182">
        <f>+Opex_VE[[#This Row],[MG]]-Opex_VE[[#This Row],[Opex]]</f>
        <v>-85678.966666666674</v>
      </c>
      <c r="I155" s="168" t="str">
        <f>IFERROR(VLOOKUP(Opex_VE[[#This Row],[Fecha]],Historia!A:D,4,0),"Forecast")</f>
        <v>Forecast</v>
      </c>
      <c r="J155" s="157">
        <f t="shared" si="4"/>
        <v>553447.41666666663</v>
      </c>
      <c r="K155" s="151">
        <f>+Opex_VE[[#This Row],[Arriendo]]+Opex_VE[[#This Row],[Servicios publicos]]+Opex_VE[[#This Row],[Nomina]]</f>
        <v>221378.96666666667</v>
      </c>
      <c r="L155" s="152">
        <f>+VLOOKUP(Opex_VE[[#This Row],[Fecha]],Opex!$B:$Y,OPEX_SALES!L$1,1)</f>
        <v>55000</v>
      </c>
      <c r="M155" s="153">
        <f>+SUM(Opex_VE[[#This Row],[Internet]:[Electricidad]])</f>
        <v>26378.966666666667</v>
      </c>
      <c r="N155" s="152">
        <f>+VLOOKUP(Opex_VE[[#This Row],[Fecha]],Opex!$B:$Y,OPEX_SALES!N$1,1)</f>
        <v>3500</v>
      </c>
      <c r="O155" s="152">
        <f>+VLOOKUP(Opex_VE[[#This Row],[Fecha]],Opex!$B:$Y,OPEX_SALES!O$1,1)</f>
        <v>8243.9666666666672</v>
      </c>
      <c r="P155" s="152">
        <f>+VLOOKUP(Opex_VE[[#This Row],[Fecha]],Opex!$B:$Y,OPEX_SALES!P$1,1)</f>
        <v>4000</v>
      </c>
      <c r="Q155" s="152">
        <f>+VLOOKUP(Opex_VE[[#This Row],[Fecha]],Opex!$B:$Y,OPEX_SALES!Q$1,1)</f>
        <v>10635</v>
      </c>
      <c r="R155" s="153">
        <f>+SUM(Opex_VE[[#This Row],[Cajero]:[Domiciliario]])</f>
        <v>140000</v>
      </c>
      <c r="S155" s="152">
        <v>70000</v>
      </c>
      <c r="T155" s="152">
        <v>70000</v>
      </c>
      <c r="U155" s="152">
        <v>0</v>
      </c>
      <c r="V155"/>
    </row>
    <row r="156" spans="1:22" x14ac:dyDescent="0.2">
      <c r="A156" s="149">
        <v>46219</v>
      </c>
      <c r="B156" s="3">
        <f t="shared" si="5"/>
        <v>21</v>
      </c>
      <c r="C156" s="3" t="str">
        <f>+TEXT(Opex_VE[[#This Row],[Fecha]],"ddd")</f>
        <v>jue</v>
      </c>
      <c r="E156" s="14" t="s">
        <v>112</v>
      </c>
      <c r="F156" s="168">
        <f>IFERROR(VLOOKUP(Opex_VE[[#This Row],[Fecha]],Historia!A:B,2,0),_xlfn.XLOOKUP(Opex_VE[[#This Row],[dia]],Forecast!I:I,Forecast!J:J))</f>
        <v>274975</v>
      </c>
      <c r="G156" s="168">
        <f>IFERROR(VLOOKUP(Opex_VE[[#This Row],[Fecha]],Historia!A:C,3,0),_xlfn.XLOOKUP(Opex_VE[[#This Row],[dia]],Forecast!I:I,Forecast!K:K))</f>
        <v>109990</v>
      </c>
      <c r="H156" s="182">
        <f>+Opex_VE[[#This Row],[MG]]-Opex_VE[[#This Row],[Opex]]</f>
        <v>-111388.96666666667</v>
      </c>
      <c r="I156" s="168" t="str">
        <f>IFERROR(VLOOKUP(Opex_VE[[#This Row],[Fecha]],Historia!A:D,4,0),"Forecast")</f>
        <v>Forecast</v>
      </c>
      <c r="J156" s="157">
        <f t="shared" si="4"/>
        <v>553447.41666666663</v>
      </c>
      <c r="K156" s="151">
        <f>+Opex_VE[[#This Row],[Arriendo]]+Opex_VE[[#This Row],[Servicios publicos]]+Opex_VE[[#This Row],[Nomina]]</f>
        <v>221378.96666666667</v>
      </c>
      <c r="L156" s="152">
        <f>+VLOOKUP(Opex_VE[[#This Row],[Fecha]],Opex!$B:$Y,OPEX_SALES!L$1,1)</f>
        <v>55000</v>
      </c>
      <c r="M156" s="153">
        <f>+SUM(Opex_VE[[#This Row],[Internet]:[Electricidad]])</f>
        <v>26378.966666666667</v>
      </c>
      <c r="N156" s="152">
        <f>+VLOOKUP(Opex_VE[[#This Row],[Fecha]],Opex!$B:$Y,OPEX_SALES!N$1,1)</f>
        <v>3500</v>
      </c>
      <c r="O156" s="152">
        <f>+VLOOKUP(Opex_VE[[#This Row],[Fecha]],Opex!$B:$Y,OPEX_SALES!O$1,1)</f>
        <v>8243.9666666666672</v>
      </c>
      <c r="P156" s="152">
        <f>+VLOOKUP(Opex_VE[[#This Row],[Fecha]],Opex!$B:$Y,OPEX_SALES!P$1,1)</f>
        <v>4000</v>
      </c>
      <c r="Q156" s="152">
        <f>+VLOOKUP(Opex_VE[[#This Row],[Fecha]],Opex!$B:$Y,OPEX_SALES!Q$1,1)</f>
        <v>10635</v>
      </c>
      <c r="R156" s="153">
        <f>+SUM(Opex_VE[[#This Row],[Cajero]:[Domiciliario]])</f>
        <v>140000</v>
      </c>
      <c r="S156" s="152">
        <v>70000</v>
      </c>
      <c r="T156" s="152">
        <v>70000</v>
      </c>
      <c r="U156" s="152">
        <v>0</v>
      </c>
      <c r="V156"/>
    </row>
    <row r="157" spans="1:22" x14ac:dyDescent="0.2">
      <c r="A157" s="149">
        <v>46220</v>
      </c>
      <c r="B157" s="3">
        <f t="shared" si="5"/>
        <v>21</v>
      </c>
      <c r="C157" s="3" t="str">
        <f>+TEXT(Opex_VE[[#This Row],[Fecha]],"ddd")</f>
        <v>vie</v>
      </c>
      <c r="E157" s="14" t="s">
        <v>217</v>
      </c>
      <c r="F157" s="168">
        <f>IFERROR(VLOOKUP(Opex_VE[[#This Row],[Fecha]],Historia!A:B,2,0),_xlfn.XLOOKUP(Opex_VE[[#This Row],[dia]],Forecast!I:I,Forecast!J:J))</f>
        <v>184566.66666666666</v>
      </c>
      <c r="G157" s="168">
        <f>IFERROR(VLOOKUP(Opex_VE[[#This Row],[Fecha]],Historia!A:C,3,0),_xlfn.XLOOKUP(Opex_VE[[#This Row],[dia]],Forecast!I:I,Forecast!K:K))</f>
        <v>73826.666666666672</v>
      </c>
      <c r="H157" s="182">
        <f>+Opex_VE[[#This Row],[MG]]-Opex_VE[[#This Row],[Opex]]</f>
        <v>-147552.29999999999</v>
      </c>
      <c r="I157" s="168" t="str">
        <f>IFERROR(VLOOKUP(Opex_VE[[#This Row],[Fecha]],Historia!A:D,4,0),"Forecast")</f>
        <v>Forecast</v>
      </c>
      <c r="J157" s="157">
        <f t="shared" si="4"/>
        <v>553447.41666666663</v>
      </c>
      <c r="K157" s="151">
        <f>+Opex_VE[[#This Row],[Arriendo]]+Opex_VE[[#This Row],[Servicios publicos]]+Opex_VE[[#This Row],[Nomina]]</f>
        <v>221378.96666666667</v>
      </c>
      <c r="L157" s="152">
        <f>+VLOOKUP(Opex_VE[[#This Row],[Fecha]],Opex!$B:$Y,OPEX_SALES!L$1,1)</f>
        <v>55000</v>
      </c>
      <c r="M157" s="153">
        <f>+SUM(Opex_VE[[#This Row],[Internet]:[Electricidad]])</f>
        <v>26378.966666666667</v>
      </c>
      <c r="N157" s="152">
        <f>+VLOOKUP(Opex_VE[[#This Row],[Fecha]],Opex!$B:$Y,OPEX_SALES!N$1,1)</f>
        <v>3500</v>
      </c>
      <c r="O157" s="152">
        <f>+VLOOKUP(Opex_VE[[#This Row],[Fecha]],Opex!$B:$Y,OPEX_SALES!O$1,1)</f>
        <v>8243.9666666666672</v>
      </c>
      <c r="P157" s="152">
        <f>+VLOOKUP(Opex_VE[[#This Row],[Fecha]],Opex!$B:$Y,OPEX_SALES!P$1,1)</f>
        <v>4000</v>
      </c>
      <c r="Q157" s="152">
        <f>+VLOOKUP(Opex_VE[[#This Row],[Fecha]],Opex!$B:$Y,OPEX_SALES!Q$1,1)</f>
        <v>10635</v>
      </c>
      <c r="R157" s="153">
        <f>+SUM(Opex_VE[[#This Row],[Cajero]:[Domiciliario]])</f>
        <v>140000</v>
      </c>
      <c r="S157" s="152">
        <v>70000</v>
      </c>
      <c r="T157" s="152">
        <v>70000</v>
      </c>
      <c r="U157" s="152">
        <v>0</v>
      </c>
      <c r="V157"/>
    </row>
    <row r="158" spans="1:22" x14ac:dyDescent="0.2">
      <c r="A158" s="149">
        <v>46221</v>
      </c>
      <c r="B158" s="3">
        <f t="shared" si="5"/>
        <v>21</v>
      </c>
      <c r="C158" s="3" t="str">
        <f>+TEXT(Opex_VE[[#This Row],[Fecha]],"ddd")</f>
        <v>sáb</v>
      </c>
      <c r="E158" s="14" t="s">
        <v>113</v>
      </c>
      <c r="F158" s="168">
        <f>IFERROR(VLOOKUP(Opex_VE[[#This Row],[Fecha]],Historia!A:B,2,0),_xlfn.XLOOKUP(Opex_VE[[#This Row],[dia]],Forecast!I:I,Forecast!J:J))</f>
        <v>398333.33333333331</v>
      </c>
      <c r="G158" s="168">
        <f>IFERROR(VLOOKUP(Opex_VE[[#This Row],[Fecha]],Historia!A:C,3,0),_xlfn.XLOOKUP(Opex_VE[[#This Row],[dia]],Forecast!I:I,Forecast!K:K))</f>
        <v>159333.33333333334</v>
      </c>
      <c r="H158" s="182">
        <f>+Opex_VE[[#This Row],[MG]]-Opex_VE[[#This Row],[Opex]]</f>
        <v>-62045.633333333331</v>
      </c>
      <c r="I158" s="169" t="str">
        <f>IFERROR(VLOOKUP(Opex_VE[[#This Row],[Fecha]],Historia!A:D,4,0),"Forecast")</f>
        <v>Forecast</v>
      </c>
      <c r="J158" s="157">
        <f t="shared" si="4"/>
        <v>553447.41666666663</v>
      </c>
      <c r="K158" s="151">
        <f>+Opex_VE[[#This Row],[Arriendo]]+Opex_VE[[#This Row],[Servicios publicos]]+Opex_VE[[#This Row],[Nomina]]</f>
        <v>221378.96666666667</v>
      </c>
      <c r="L158" s="152">
        <f>+VLOOKUP(Opex_VE[[#This Row],[Fecha]],Opex!$B:$Y,OPEX_SALES!L$1,1)</f>
        <v>55000</v>
      </c>
      <c r="M158" s="153">
        <f>+SUM(Opex_VE[[#This Row],[Internet]:[Electricidad]])</f>
        <v>26378.966666666667</v>
      </c>
      <c r="N158" s="152">
        <f>+VLOOKUP(Opex_VE[[#This Row],[Fecha]],Opex!$B:$Y,OPEX_SALES!N$1,1)</f>
        <v>3500</v>
      </c>
      <c r="O158" s="152">
        <f>+VLOOKUP(Opex_VE[[#This Row],[Fecha]],Opex!$B:$Y,OPEX_SALES!O$1,1)</f>
        <v>8243.9666666666672</v>
      </c>
      <c r="P158" s="152">
        <f>+VLOOKUP(Opex_VE[[#This Row],[Fecha]],Opex!$B:$Y,OPEX_SALES!P$1,1)</f>
        <v>4000</v>
      </c>
      <c r="Q158" s="152">
        <f>+VLOOKUP(Opex_VE[[#This Row],[Fecha]],Opex!$B:$Y,OPEX_SALES!Q$1,1)</f>
        <v>10635</v>
      </c>
      <c r="R158" s="153">
        <f>+SUM(Opex_VE[[#This Row],[Cajero]:[Domiciliario]])</f>
        <v>140000</v>
      </c>
      <c r="S158" s="152">
        <v>70000</v>
      </c>
      <c r="T158" s="152">
        <v>70000</v>
      </c>
      <c r="U158" s="152">
        <v>0</v>
      </c>
      <c r="V158"/>
    </row>
    <row r="159" spans="1:22" x14ac:dyDescent="0.2">
      <c r="A159" s="149">
        <v>46222</v>
      </c>
      <c r="B159" s="3">
        <f t="shared" si="5"/>
        <v>21</v>
      </c>
      <c r="C159" s="3" t="str">
        <f>+TEXT(Opex_VE[[#This Row],[Fecha]],"ddd")</f>
        <v>dom</v>
      </c>
      <c r="E159" s="14" t="s">
        <v>145</v>
      </c>
      <c r="F159" s="168">
        <f>IFERROR(VLOOKUP(Opex_VE[[#This Row],[Fecha]],Historia!A:B,2,0),_xlfn.XLOOKUP(Opex_VE[[#This Row],[dia]],Forecast!I:I,Forecast!J:J))</f>
        <v>168750</v>
      </c>
      <c r="G159" s="168">
        <f>IFERROR(VLOOKUP(Opex_VE[[#This Row],[Fecha]],Historia!A:C,3,0),_xlfn.XLOOKUP(Opex_VE[[#This Row],[dia]],Forecast!I:I,Forecast!K:K))</f>
        <v>67500</v>
      </c>
      <c r="H159" s="182">
        <f>+Opex_VE[[#This Row],[MG]]-Opex_VE[[#This Row],[Opex]]</f>
        <v>-153878.96666666667</v>
      </c>
      <c r="I159" s="168" t="str">
        <f>IFERROR(VLOOKUP(Opex_VE[[#This Row],[Fecha]],Historia!A:D,4,0),"Forecast")</f>
        <v>Forecast</v>
      </c>
      <c r="J159" s="157">
        <f t="shared" si="4"/>
        <v>553447.41666666663</v>
      </c>
      <c r="K159" s="151">
        <f>+Opex_VE[[#This Row],[Arriendo]]+Opex_VE[[#This Row],[Servicios publicos]]+Opex_VE[[#This Row],[Nomina]]</f>
        <v>221378.96666666667</v>
      </c>
      <c r="L159" s="152">
        <f>+VLOOKUP(Opex_VE[[#This Row],[Fecha]],Opex!$B:$Y,OPEX_SALES!L$1,1)</f>
        <v>55000</v>
      </c>
      <c r="M159" s="153">
        <f>+SUM(Opex_VE[[#This Row],[Internet]:[Electricidad]])</f>
        <v>26378.966666666667</v>
      </c>
      <c r="N159" s="152">
        <f>+VLOOKUP(Opex_VE[[#This Row],[Fecha]],Opex!$B:$Y,OPEX_SALES!N$1,1)</f>
        <v>3500</v>
      </c>
      <c r="O159" s="152">
        <f>+VLOOKUP(Opex_VE[[#This Row],[Fecha]],Opex!$B:$Y,OPEX_SALES!O$1,1)</f>
        <v>8243.9666666666672</v>
      </c>
      <c r="P159" s="152">
        <f>+VLOOKUP(Opex_VE[[#This Row],[Fecha]],Opex!$B:$Y,OPEX_SALES!P$1,1)</f>
        <v>4000</v>
      </c>
      <c r="Q159" s="152">
        <f>+VLOOKUP(Opex_VE[[#This Row],[Fecha]],Opex!$B:$Y,OPEX_SALES!Q$1,1)</f>
        <v>10635</v>
      </c>
      <c r="R159" s="153">
        <f>+SUM(Opex_VE[[#This Row],[Cajero]:[Domiciliario]])</f>
        <v>140000</v>
      </c>
      <c r="S159" s="152">
        <v>70000</v>
      </c>
      <c r="T159" s="152">
        <v>70000</v>
      </c>
      <c r="U159" s="152">
        <v>0</v>
      </c>
      <c r="V159"/>
    </row>
    <row r="160" spans="1:22" x14ac:dyDescent="0.2">
      <c r="A160" s="149">
        <v>46223</v>
      </c>
      <c r="B160" s="3">
        <f t="shared" si="5"/>
        <v>22</v>
      </c>
      <c r="C160" s="3" t="str">
        <f>+TEXT(Opex_VE[[#This Row],[Fecha]],"ddd")</f>
        <v>lun</v>
      </c>
      <c r="E160" s="14" t="s">
        <v>112</v>
      </c>
      <c r="F160" s="168">
        <f>IFERROR(VLOOKUP(Opex_VE[[#This Row],[Fecha]],Historia!A:B,2,0),_xlfn.XLOOKUP(Opex_VE[[#This Row],[dia]],Forecast!I:I,Forecast!J:J))</f>
        <v>164375</v>
      </c>
      <c r="G160" s="168">
        <f>IFERROR(VLOOKUP(Opex_VE[[#This Row],[Fecha]],Historia!A:C,3,0),_xlfn.XLOOKUP(Opex_VE[[#This Row],[dia]],Forecast!I:I,Forecast!K:K))</f>
        <v>65750</v>
      </c>
      <c r="H160" s="182">
        <f>+Opex_VE[[#This Row],[MG]]-Opex_VE[[#This Row],[Opex]]</f>
        <v>-155628.96666666667</v>
      </c>
      <c r="I160" s="168" t="str">
        <f>IFERROR(VLOOKUP(Opex_VE[[#This Row],[Fecha]],Historia!A:D,4,0),"Forecast")</f>
        <v>Forecast</v>
      </c>
      <c r="J160" s="157">
        <f t="shared" si="4"/>
        <v>553447.41666666663</v>
      </c>
      <c r="K160" s="151">
        <f>+Opex_VE[[#This Row],[Arriendo]]+Opex_VE[[#This Row],[Servicios publicos]]+Opex_VE[[#This Row],[Nomina]]</f>
        <v>221378.96666666667</v>
      </c>
      <c r="L160" s="152">
        <f>+VLOOKUP(Opex_VE[[#This Row],[Fecha]],Opex!$B:$Y,OPEX_SALES!L$1,1)</f>
        <v>55000</v>
      </c>
      <c r="M160" s="153">
        <f>+SUM(Opex_VE[[#This Row],[Internet]:[Electricidad]])</f>
        <v>26378.966666666667</v>
      </c>
      <c r="N160" s="152">
        <f>+VLOOKUP(Opex_VE[[#This Row],[Fecha]],Opex!$B:$Y,OPEX_SALES!N$1,1)</f>
        <v>3500</v>
      </c>
      <c r="O160" s="152">
        <f>+VLOOKUP(Opex_VE[[#This Row],[Fecha]],Opex!$B:$Y,OPEX_SALES!O$1,1)</f>
        <v>8243.9666666666672</v>
      </c>
      <c r="P160" s="152">
        <f>+VLOOKUP(Opex_VE[[#This Row],[Fecha]],Opex!$B:$Y,OPEX_SALES!P$1,1)</f>
        <v>4000</v>
      </c>
      <c r="Q160" s="152">
        <f>+VLOOKUP(Opex_VE[[#This Row],[Fecha]],Opex!$B:$Y,OPEX_SALES!Q$1,1)</f>
        <v>10635</v>
      </c>
      <c r="R160" s="153">
        <f>+SUM(Opex_VE[[#This Row],[Cajero]:[Domiciliario]])</f>
        <v>140000</v>
      </c>
      <c r="S160" s="152">
        <v>70000</v>
      </c>
      <c r="T160" s="152">
        <v>70000</v>
      </c>
      <c r="U160" s="152">
        <v>0</v>
      </c>
      <c r="V160"/>
    </row>
    <row r="161" spans="1:22" x14ac:dyDescent="0.2">
      <c r="A161" s="149">
        <v>46224</v>
      </c>
      <c r="B161" s="3">
        <f t="shared" si="5"/>
        <v>22</v>
      </c>
      <c r="C161" s="3" t="str">
        <f>+TEXT(Opex_VE[[#This Row],[Fecha]],"ddd")</f>
        <v>mar</v>
      </c>
      <c r="E161" s="14" t="s">
        <v>112</v>
      </c>
      <c r="F161" s="168">
        <f>IFERROR(VLOOKUP(Opex_VE[[#This Row],[Fecha]],Historia!A:B,2,0),_xlfn.XLOOKUP(Opex_VE[[#This Row],[dia]],Forecast!I:I,Forecast!J:J))</f>
        <v>199625</v>
      </c>
      <c r="G161" s="168">
        <f>IFERROR(VLOOKUP(Opex_VE[[#This Row],[Fecha]],Historia!A:C,3,0),_xlfn.XLOOKUP(Opex_VE[[#This Row],[dia]],Forecast!I:I,Forecast!K:K))</f>
        <v>79850</v>
      </c>
      <c r="H161" s="182">
        <f>+Opex_VE[[#This Row],[MG]]-Opex_VE[[#This Row],[Opex]]</f>
        <v>-141528.96666666667</v>
      </c>
      <c r="I161" s="168" t="str">
        <f>IFERROR(VLOOKUP(Opex_VE[[#This Row],[Fecha]],Historia!A:D,4,0),"Forecast")</f>
        <v>Forecast</v>
      </c>
      <c r="J161" s="157">
        <f t="shared" si="4"/>
        <v>553447.41666666663</v>
      </c>
      <c r="K161" s="151">
        <f>+Opex_VE[[#This Row],[Arriendo]]+Opex_VE[[#This Row],[Servicios publicos]]+Opex_VE[[#This Row],[Nomina]]</f>
        <v>221378.96666666667</v>
      </c>
      <c r="L161" s="152">
        <f>+VLOOKUP(Opex_VE[[#This Row],[Fecha]],Opex!$B:$Y,OPEX_SALES!L$1,1)</f>
        <v>55000</v>
      </c>
      <c r="M161" s="153">
        <f>+SUM(Opex_VE[[#This Row],[Internet]:[Electricidad]])</f>
        <v>26378.966666666667</v>
      </c>
      <c r="N161" s="152">
        <f>+VLOOKUP(Opex_VE[[#This Row],[Fecha]],Opex!$B:$Y,OPEX_SALES!N$1,1)</f>
        <v>3500</v>
      </c>
      <c r="O161" s="152">
        <f>+VLOOKUP(Opex_VE[[#This Row],[Fecha]],Opex!$B:$Y,OPEX_SALES!O$1,1)</f>
        <v>8243.9666666666672</v>
      </c>
      <c r="P161" s="152">
        <f>+VLOOKUP(Opex_VE[[#This Row],[Fecha]],Opex!$B:$Y,OPEX_SALES!P$1,1)</f>
        <v>4000</v>
      </c>
      <c r="Q161" s="152">
        <f>+VLOOKUP(Opex_VE[[#This Row],[Fecha]],Opex!$B:$Y,OPEX_SALES!Q$1,1)</f>
        <v>10635</v>
      </c>
      <c r="R161" s="153">
        <f>+SUM(Opex_VE[[#This Row],[Cajero]:[Domiciliario]])</f>
        <v>140000</v>
      </c>
      <c r="S161" s="152">
        <v>70000</v>
      </c>
      <c r="T161" s="152">
        <v>70000</v>
      </c>
      <c r="U161" s="152">
        <v>0</v>
      </c>
      <c r="V161"/>
    </row>
    <row r="162" spans="1:22" x14ac:dyDescent="0.2">
      <c r="A162" s="149">
        <v>46225</v>
      </c>
      <c r="B162" s="3">
        <f t="shared" si="5"/>
        <v>22</v>
      </c>
      <c r="C162" s="3" t="str">
        <f>+TEXT(Opex_VE[[#This Row],[Fecha]],"ddd")</f>
        <v>mié</v>
      </c>
      <c r="E162" s="14" t="s">
        <v>112</v>
      </c>
      <c r="F162" s="168">
        <f>IFERROR(VLOOKUP(Opex_VE[[#This Row],[Fecha]],Historia!A:B,2,0),_xlfn.XLOOKUP(Opex_VE[[#This Row],[dia]],Forecast!I:I,Forecast!J:J))</f>
        <v>339250</v>
      </c>
      <c r="G162" s="168">
        <f>IFERROR(VLOOKUP(Opex_VE[[#This Row],[Fecha]],Historia!A:C,3,0),_xlfn.XLOOKUP(Opex_VE[[#This Row],[dia]],Forecast!I:I,Forecast!K:K))</f>
        <v>135700</v>
      </c>
      <c r="H162" s="182">
        <f>+Opex_VE[[#This Row],[MG]]-Opex_VE[[#This Row],[Opex]]</f>
        <v>-85678.966666666674</v>
      </c>
      <c r="I162" s="168" t="str">
        <f>IFERROR(VLOOKUP(Opex_VE[[#This Row],[Fecha]],Historia!A:D,4,0),"Forecast")</f>
        <v>Forecast</v>
      </c>
      <c r="J162" s="157">
        <f t="shared" si="4"/>
        <v>553447.41666666663</v>
      </c>
      <c r="K162" s="151">
        <f>+Opex_VE[[#This Row],[Arriendo]]+Opex_VE[[#This Row],[Servicios publicos]]+Opex_VE[[#This Row],[Nomina]]</f>
        <v>221378.96666666667</v>
      </c>
      <c r="L162" s="152">
        <f>+VLOOKUP(Opex_VE[[#This Row],[Fecha]],Opex!$B:$Y,OPEX_SALES!L$1,1)</f>
        <v>55000</v>
      </c>
      <c r="M162" s="153">
        <f>+SUM(Opex_VE[[#This Row],[Internet]:[Electricidad]])</f>
        <v>26378.966666666667</v>
      </c>
      <c r="N162" s="152">
        <f>+VLOOKUP(Opex_VE[[#This Row],[Fecha]],Opex!$B:$Y,OPEX_SALES!N$1,1)</f>
        <v>3500</v>
      </c>
      <c r="O162" s="152">
        <f>+VLOOKUP(Opex_VE[[#This Row],[Fecha]],Opex!$B:$Y,OPEX_SALES!O$1,1)</f>
        <v>8243.9666666666672</v>
      </c>
      <c r="P162" s="152">
        <f>+VLOOKUP(Opex_VE[[#This Row],[Fecha]],Opex!$B:$Y,OPEX_SALES!P$1,1)</f>
        <v>4000</v>
      </c>
      <c r="Q162" s="152">
        <f>+VLOOKUP(Opex_VE[[#This Row],[Fecha]],Opex!$B:$Y,OPEX_SALES!Q$1,1)</f>
        <v>10635</v>
      </c>
      <c r="R162" s="153">
        <f>+SUM(Opex_VE[[#This Row],[Cajero]:[Domiciliario]])</f>
        <v>140000</v>
      </c>
      <c r="S162" s="152">
        <v>70000</v>
      </c>
      <c r="T162" s="152">
        <v>70000</v>
      </c>
      <c r="U162" s="152">
        <v>0</v>
      </c>
      <c r="V162"/>
    </row>
    <row r="163" spans="1:22" x14ac:dyDescent="0.2">
      <c r="A163" s="149">
        <v>46226</v>
      </c>
      <c r="B163" s="3">
        <f t="shared" si="5"/>
        <v>22</v>
      </c>
      <c r="C163" s="3" t="str">
        <f>+TEXT(Opex_VE[[#This Row],[Fecha]],"ddd")</f>
        <v>jue</v>
      </c>
      <c r="E163" s="14" t="s">
        <v>112</v>
      </c>
      <c r="F163" s="168">
        <f>IFERROR(VLOOKUP(Opex_VE[[#This Row],[Fecha]],Historia!A:B,2,0),_xlfn.XLOOKUP(Opex_VE[[#This Row],[dia]],Forecast!I:I,Forecast!J:J))</f>
        <v>274975</v>
      </c>
      <c r="G163" s="168">
        <f>IFERROR(VLOOKUP(Opex_VE[[#This Row],[Fecha]],Historia!A:C,3,0),_xlfn.XLOOKUP(Opex_VE[[#This Row],[dia]],Forecast!I:I,Forecast!K:K))</f>
        <v>109990</v>
      </c>
      <c r="H163" s="182">
        <f>+Opex_VE[[#This Row],[MG]]-Opex_VE[[#This Row],[Opex]]</f>
        <v>-111388.96666666667</v>
      </c>
      <c r="I163" s="168" t="str">
        <f>IFERROR(VLOOKUP(Opex_VE[[#This Row],[Fecha]],Historia!A:D,4,0),"Forecast")</f>
        <v>Forecast</v>
      </c>
      <c r="J163" s="157">
        <f t="shared" si="4"/>
        <v>553447.41666666663</v>
      </c>
      <c r="K163" s="151">
        <f>+Opex_VE[[#This Row],[Arriendo]]+Opex_VE[[#This Row],[Servicios publicos]]+Opex_VE[[#This Row],[Nomina]]</f>
        <v>221378.96666666667</v>
      </c>
      <c r="L163" s="152">
        <f>+VLOOKUP(Opex_VE[[#This Row],[Fecha]],Opex!$B:$Y,OPEX_SALES!L$1,1)</f>
        <v>55000</v>
      </c>
      <c r="M163" s="153">
        <f>+SUM(Opex_VE[[#This Row],[Internet]:[Electricidad]])</f>
        <v>26378.966666666667</v>
      </c>
      <c r="N163" s="152">
        <f>+VLOOKUP(Opex_VE[[#This Row],[Fecha]],Opex!$B:$Y,OPEX_SALES!N$1,1)</f>
        <v>3500</v>
      </c>
      <c r="O163" s="152">
        <f>+VLOOKUP(Opex_VE[[#This Row],[Fecha]],Opex!$B:$Y,OPEX_SALES!O$1,1)</f>
        <v>8243.9666666666672</v>
      </c>
      <c r="P163" s="152">
        <f>+VLOOKUP(Opex_VE[[#This Row],[Fecha]],Opex!$B:$Y,OPEX_SALES!P$1,1)</f>
        <v>4000</v>
      </c>
      <c r="Q163" s="152">
        <f>+VLOOKUP(Opex_VE[[#This Row],[Fecha]],Opex!$B:$Y,OPEX_SALES!Q$1,1)</f>
        <v>10635</v>
      </c>
      <c r="R163" s="153">
        <f>+SUM(Opex_VE[[#This Row],[Cajero]:[Domiciliario]])</f>
        <v>140000</v>
      </c>
      <c r="S163" s="152">
        <v>70000</v>
      </c>
      <c r="T163" s="152">
        <v>70000</v>
      </c>
      <c r="U163" s="152">
        <v>0</v>
      </c>
      <c r="V163"/>
    </row>
    <row r="164" spans="1:22" x14ac:dyDescent="0.2">
      <c r="A164" s="149">
        <v>46227</v>
      </c>
      <c r="B164" s="3">
        <f t="shared" si="5"/>
        <v>22</v>
      </c>
      <c r="C164" s="3" t="str">
        <f>+TEXT(Opex_VE[[#This Row],[Fecha]],"ddd")</f>
        <v>vie</v>
      </c>
      <c r="E164" s="14" t="s">
        <v>217</v>
      </c>
      <c r="F164" s="168">
        <f>IFERROR(VLOOKUP(Opex_VE[[#This Row],[Fecha]],Historia!A:B,2,0),_xlfn.XLOOKUP(Opex_VE[[#This Row],[dia]],Forecast!I:I,Forecast!J:J))</f>
        <v>184566.66666666666</v>
      </c>
      <c r="G164" s="168">
        <f>IFERROR(VLOOKUP(Opex_VE[[#This Row],[Fecha]],Historia!A:C,3,0),_xlfn.XLOOKUP(Opex_VE[[#This Row],[dia]],Forecast!I:I,Forecast!K:K))</f>
        <v>73826.666666666672</v>
      </c>
      <c r="H164" s="182">
        <f>+Opex_VE[[#This Row],[MG]]-Opex_VE[[#This Row],[Opex]]</f>
        <v>-147552.29999999999</v>
      </c>
      <c r="I164" s="168" t="str">
        <f>IFERROR(VLOOKUP(Opex_VE[[#This Row],[Fecha]],Historia!A:D,4,0),"Forecast")</f>
        <v>Forecast</v>
      </c>
      <c r="J164" s="157">
        <f t="shared" si="4"/>
        <v>553447.41666666663</v>
      </c>
      <c r="K164" s="151">
        <f>+Opex_VE[[#This Row],[Arriendo]]+Opex_VE[[#This Row],[Servicios publicos]]+Opex_VE[[#This Row],[Nomina]]</f>
        <v>221378.96666666667</v>
      </c>
      <c r="L164" s="152">
        <f>+VLOOKUP(Opex_VE[[#This Row],[Fecha]],Opex!$B:$Y,OPEX_SALES!L$1,1)</f>
        <v>55000</v>
      </c>
      <c r="M164" s="153">
        <f>+SUM(Opex_VE[[#This Row],[Internet]:[Electricidad]])</f>
        <v>26378.966666666667</v>
      </c>
      <c r="N164" s="152">
        <f>+VLOOKUP(Opex_VE[[#This Row],[Fecha]],Opex!$B:$Y,OPEX_SALES!N$1,1)</f>
        <v>3500</v>
      </c>
      <c r="O164" s="152">
        <f>+VLOOKUP(Opex_VE[[#This Row],[Fecha]],Opex!$B:$Y,OPEX_SALES!O$1,1)</f>
        <v>8243.9666666666672</v>
      </c>
      <c r="P164" s="152">
        <f>+VLOOKUP(Opex_VE[[#This Row],[Fecha]],Opex!$B:$Y,OPEX_SALES!P$1,1)</f>
        <v>4000</v>
      </c>
      <c r="Q164" s="152">
        <f>+VLOOKUP(Opex_VE[[#This Row],[Fecha]],Opex!$B:$Y,OPEX_SALES!Q$1,1)</f>
        <v>10635</v>
      </c>
      <c r="R164" s="153">
        <f>+SUM(Opex_VE[[#This Row],[Cajero]:[Domiciliario]])</f>
        <v>140000</v>
      </c>
      <c r="S164" s="152">
        <v>70000</v>
      </c>
      <c r="T164" s="152">
        <v>70000</v>
      </c>
      <c r="U164" s="152">
        <v>0</v>
      </c>
      <c r="V164"/>
    </row>
    <row r="165" spans="1:22" x14ac:dyDescent="0.2">
      <c r="A165" s="149">
        <v>46228</v>
      </c>
      <c r="B165" s="3">
        <f t="shared" si="5"/>
        <v>22</v>
      </c>
      <c r="C165" s="3" t="str">
        <f>+TEXT(Opex_VE[[#This Row],[Fecha]],"ddd")</f>
        <v>sáb</v>
      </c>
      <c r="E165" s="14" t="s">
        <v>113</v>
      </c>
      <c r="F165" s="168">
        <f>IFERROR(VLOOKUP(Opex_VE[[#This Row],[Fecha]],Historia!A:B,2,0),_xlfn.XLOOKUP(Opex_VE[[#This Row],[dia]],Forecast!I:I,Forecast!J:J))</f>
        <v>398333.33333333331</v>
      </c>
      <c r="G165" s="168">
        <f>IFERROR(VLOOKUP(Opex_VE[[#This Row],[Fecha]],Historia!A:C,3,0),_xlfn.XLOOKUP(Opex_VE[[#This Row],[dia]],Forecast!I:I,Forecast!K:K))</f>
        <v>159333.33333333334</v>
      </c>
      <c r="H165" s="182">
        <f>+Opex_VE[[#This Row],[MG]]-Opex_VE[[#This Row],[Opex]]</f>
        <v>-62045.633333333331</v>
      </c>
      <c r="I165" s="169" t="str">
        <f>IFERROR(VLOOKUP(Opex_VE[[#This Row],[Fecha]],Historia!A:D,4,0),"Forecast")</f>
        <v>Forecast</v>
      </c>
      <c r="J165" s="157">
        <f t="shared" si="4"/>
        <v>553447.41666666663</v>
      </c>
      <c r="K165" s="151">
        <f>+Opex_VE[[#This Row],[Arriendo]]+Opex_VE[[#This Row],[Servicios publicos]]+Opex_VE[[#This Row],[Nomina]]</f>
        <v>221378.96666666667</v>
      </c>
      <c r="L165" s="152">
        <f>+VLOOKUP(Opex_VE[[#This Row],[Fecha]],Opex!$B:$Y,OPEX_SALES!L$1,1)</f>
        <v>55000</v>
      </c>
      <c r="M165" s="153">
        <f>+SUM(Opex_VE[[#This Row],[Internet]:[Electricidad]])</f>
        <v>26378.966666666667</v>
      </c>
      <c r="N165" s="152">
        <f>+VLOOKUP(Opex_VE[[#This Row],[Fecha]],Opex!$B:$Y,OPEX_SALES!N$1,1)</f>
        <v>3500</v>
      </c>
      <c r="O165" s="152">
        <f>+VLOOKUP(Opex_VE[[#This Row],[Fecha]],Opex!$B:$Y,OPEX_SALES!O$1,1)</f>
        <v>8243.9666666666672</v>
      </c>
      <c r="P165" s="152">
        <f>+VLOOKUP(Opex_VE[[#This Row],[Fecha]],Opex!$B:$Y,OPEX_SALES!P$1,1)</f>
        <v>4000</v>
      </c>
      <c r="Q165" s="152">
        <f>+VLOOKUP(Opex_VE[[#This Row],[Fecha]],Opex!$B:$Y,OPEX_SALES!Q$1,1)</f>
        <v>10635</v>
      </c>
      <c r="R165" s="153">
        <f>+SUM(Opex_VE[[#This Row],[Cajero]:[Domiciliario]])</f>
        <v>140000</v>
      </c>
      <c r="S165" s="152">
        <v>70000</v>
      </c>
      <c r="T165" s="152">
        <v>70000</v>
      </c>
      <c r="U165" s="152">
        <v>0</v>
      </c>
      <c r="V165"/>
    </row>
    <row r="166" spans="1:22" x14ac:dyDescent="0.2">
      <c r="A166" s="149">
        <v>46229</v>
      </c>
      <c r="B166" s="3">
        <f t="shared" si="5"/>
        <v>22</v>
      </c>
      <c r="C166" s="3" t="str">
        <f>+TEXT(Opex_VE[[#This Row],[Fecha]],"ddd")</f>
        <v>dom</v>
      </c>
      <c r="E166" s="14" t="s">
        <v>145</v>
      </c>
      <c r="F166" s="168">
        <f>IFERROR(VLOOKUP(Opex_VE[[#This Row],[Fecha]],Historia!A:B,2,0),_xlfn.XLOOKUP(Opex_VE[[#This Row],[dia]],Forecast!I:I,Forecast!J:J))</f>
        <v>168750</v>
      </c>
      <c r="G166" s="168">
        <f>IFERROR(VLOOKUP(Opex_VE[[#This Row],[Fecha]],Historia!A:C,3,0),_xlfn.XLOOKUP(Opex_VE[[#This Row],[dia]],Forecast!I:I,Forecast!K:K))</f>
        <v>67500</v>
      </c>
      <c r="H166" s="182">
        <f>+Opex_VE[[#This Row],[MG]]-Opex_VE[[#This Row],[Opex]]</f>
        <v>-153878.96666666667</v>
      </c>
      <c r="I166" s="168" t="str">
        <f>IFERROR(VLOOKUP(Opex_VE[[#This Row],[Fecha]],Historia!A:D,4,0),"Forecast")</f>
        <v>Forecast</v>
      </c>
      <c r="J166" s="157">
        <f t="shared" si="4"/>
        <v>553447.41666666663</v>
      </c>
      <c r="K166" s="151">
        <f>+Opex_VE[[#This Row],[Arriendo]]+Opex_VE[[#This Row],[Servicios publicos]]+Opex_VE[[#This Row],[Nomina]]</f>
        <v>221378.96666666667</v>
      </c>
      <c r="L166" s="152">
        <f>+VLOOKUP(Opex_VE[[#This Row],[Fecha]],Opex!$B:$Y,OPEX_SALES!L$1,1)</f>
        <v>55000</v>
      </c>
      <c r="M166" s="153">
        <f>+SUM(Opex_VE[[#This Row],[Internet]:[Electricidad]])</f>
        <v>26378.966666666667</v>
      </c>
      <c r="N166" s="152">
        <f>+VLOOKUP(Opex_VE[[#This Row],[Fecha]],Opex!$B:$Y,OPEX_SALES!N$1,1)</f>
        <v>3500</v>
      </c>
      <c r="O166" s="152">
        <f>+VLOOKUP(Opex_VE[[#This Row],[Fecha]],Opex!$B:$Y,OPEX_SALES!O$1,1)</f>
        <v>8243.9666666666672</v>
      </c>
      <c r="P166" s="152">
        <f>+VLOOKUP(Opex_VE[[#This Row],[Fecha]],Opex!$B:$Y,OPEX_SALES!P$1,1)</f>
        <v>4000</v>
      </c>
      <c r="Q166" s="152">
        <f>+VLOOKUP(Opex_VE[[#This Row],[Fecha]],Opex!$B:$Y,OPEX_SALES!Q$1,1)</f>
        <v>10635</v>
      </c>
      <c r="R166" s="153">
        <f>+SUM(Opex_VE[[#This Row],[Cajero]:[Domiciliario]])</f>
        <v>140000</v>
      </c>
      <c r="S166" s="152">
        <v>70000</v>
      </c>
      <c r="T166" s="152">
        <v>70000</v>
      </c>
      <c r="U166" s="152">
        <v>0</v>
      </c>
      <c r="V166"/>
    </row>
    <row r="167" spans="1:22" x14ac:dyDescent="0.2">
      <c r="A167" s="149">
        <v>46230</v>
      </c>
      <c r="B167" s="3">
        <f t="shared" si="5"/>
        <v>23</v>
      </c>
      <c r="C167" s="3" t="str">
        <f>+TEXT(Opex_VE[[#This Row],[Fecha]],"ddd")</f>
        <v>lun</v>
      </c>
      <c r="E167" s="14" t="s">
        <v>112</v>
      </c>
      <c r="F167" s="168">
        <f>IFERROR(VLOOKUP(Opex_VE[[#This Row],[Fecha]],Historia!A:B,2,0),_xlfn.XLOOKUP(Opex_VE[[#This Row],[dia]],Forecast!I:I,Forecast!J:J))</f>
        <v>164375</v>
      </c>
      <c r="G167" s="168">
        <f>IFERROR(VLOOKUP(Opex_VE[[#This Row],[Fecha]],Historia!A:C,3,0),_xlfn.XLOOKUP(Opex_VE[[#This Row],[dia]],Forecast!I:I,Forecast!K:K))</f>
        <v>65750</v>
      </c>
      <c r="H167" s="182">
        <f>+Opex_VE[[#This Row],[MG]]-Opex_VE[[#This Row],[Opex]]</f>
        <v>-155628.96666666667</v>
      </c>
      <c r="I167" s="168" t="str">
        <f>IFERROR(VLOOKUP(Opex_VE[[#This Row],[Fecha]],Historia!A:D,4,0),"Forecast")</f>
        <v>Forecast</v>
      </c>
      <c r="J167" s="157">
        <f t="shared" si="4"/>
        <v>553447.41666666663</v>
      </c>
      <c r="K167" s="151">
        <f>+Opex_VE[[#This Row],[Arriendo]]+Opex_VE[[#This Row],[Servicios publicos]]+Opex_VE[[#This Row],[Nomina]]</f>
        <v>221378.96666666667</v>
      </c>
      <c r="L167" s="152">
        <f>+VLOOKUP(Opex_VE[[#This Row],[Fecha]],Opex!$B:$Y,OPEX_SALES!L$1,1)</f>
        <v>55000</v>
      </c>
      <c r="M167" s="153">
        <f>+SUM(Opex_VE[[#This Row],[Internet]:[Electricidad]])</f>
        <v>26378.966666666667</v>
      </c>
      <c r="N167" s="152">
        <f>+VLOOKUP(Opex_VE[[#This Row],[Fecha]],Opex!$B:$Y,OPEX_SALES!N$1,1)</f>
        <v>3500</v>
      </c>
      <c r="O167" s="152">
        <f>+VLOOKUP(Opex_VE[[#This Row],[Fecha]],Opex!$B:$Y,OPEX_SALES!O$1,1)</f>
        <v>8243.9666666666672</v>
      </c>
      <c r="P167" s="152">
        <f>+VLOOKUP(Opex_VE[[#This Row],[Fecha]],Opex!$B:$Y,OPEX_SALES!P$1,1)</f>
        <v>4000</v>
      </c>
      <c r="Q167" s="152">
        <f>+VLOOKUP(Opex_VE[[#This Row],[Fecha]],Opex!$B:$Y,OPEX_SALES!Q$1,1)</f>
        <v>10635</v>
      </c>
      <c r="R167" s="153">
        <f>+SUM(Opex_VE[[#This Row],[Cajero]:[Domiciliario]])</f>
        <v>140000</v>
      </c>
      <c r="S167" s="152">
        <v>70000</v>
      </c>
      <c r="T167" s="152">
        <v>70000</v>
      </c>
      <c r="U167" s="152">
        <v>0</v>
      </c>
      <c r="V167"/>
    </row>
    <row r="168" spans="1:22" x14ac:dyDescent="0.2">
      <c r="A168" s="149">
        <v>46231</v>
      </c>
      <c r="B168" s="3">
        <f t="shared" si="5"/>
        <v>23</v>
      </c>
      <c r="C168" s="3" t="str">
        <f>+TEXT(Opex_VE[[#This Row],[Fecha]],"ddd")</f>
        <v>mar</v>
      </c>
      <c r="E168" s="14" t="s">
        <v>112</v>
      </c>
      <c r="F168" s="168">
        <f>IFERROR(VLOOKUP(Opex_VE[[#This Row],[Fecha]],Historia!A:B,2,0),_xlfn.XLOOKUP(Opex_VE[[#This Row],[dia]],Forecast!I:I,Forecast!J:J))</f>
        <v>199625</v>
      </c>
      <c r="G168" s="168">
        <f>IFERROR(VLOOKUP(Opex_VE[[#This Row],[Fecha]],Historia!A:C,3,0),_xlfn.XLOOKUP(Opex_VE[[#This Row],[dia]],Forecast!I:I,Forecast!K:K))</f>
        <v>79850</v>
      </c>
      <c r="H168" s="182">
        <f>+Opex_VE[[#This Row],[MG]]-Opex_VE[[#This Row],[Opex]]</f>
        <v>-141528.96666666667</v>
      </c>
      <c r="I168" s="168" t="str">
        <f>IFERROR(VLOOKUP(Opex_VE[[#This Row],[Fecha]],Historia!A:D,4,0),"Forecast")</f>
        <v>Forecast</v>
      </c>
      <c r="J168" s="157">
        <f t="shared" si="4"/>
        <v>553447.41666666663</v>
      </c>
      <c r="K168" s="151">
        <f>+Opex_VE[[#This Row],[Arriendo]]+Opex_VE[[#This Row],[Servicios publicos]]+Opex_VE[[#This Row],[Nomina]]</f>
        <v>221378.96666666667</v>
      </c>
      <c r="L168" s="152">
        <f>+VLOOKUP(Opex_VE[[#This Row],[Fecha]],Opex!$B:$Y,OPEX_SALES!L$1,1)</f>
        <v>55000</v>
      </c>
      <c r="M168" s="153">
        <f>+SUM(Opex_VE[[#This Row],[Internet]:[Electricidad]])</f>
        <v>26378.966666666667</v>
      </c>
      <c r="N168" s="152">
        <f>+VLOOKUP(Opex_VE[[#This Row],[Fecha]],Opex!$B:$Y,OPEX_SALES!N$1,1)</f>
        <v>3500</v>
      </c>
      <c r="O168" s="152">
        <f>+VLOOKUP(Opex_VE[[#This Row],[Fecha]],Opex!$B:$Y,OPEX_SALES!O$1,1)</f>
        <v>8243.9666666666672</v>
      </c>
      <c r="P168" s="152">
        <f>+VLOOKUP(Opex_VE[[#This Row],[Fecha]],Opex!$B:$Y,OPEX_SALES!P$1,1)</f>
        <v>4000</v>
      </c>
      <c r="Q168" s="152">
        <f>+VLOOKUP(Opex_VE[[#This Row],[Fecha]],Opex!$B:$Y,OPEX_SALES!Q$1,1)</f>
        <v>10635</v>
      </c>
      <c r="R168" s="153">
        <f>+SUM(Opex_VE[[#This Row],[Cajero]:[Domiciliario]])</f>
        <v>140000</v>
      </c>
      <c r="S168" s="152">
        <v>70000</v>
      </c>
      <c r="T168" s="152">
        <v>70000</v>
      </c>
      <c r="U168" s="152">
        <v>0</v>
      </c>
      <c r="V168"/>
    </row>
    <row r="169" spans="1:22" x14ac:dyDescent="0.2">
      <c r="A169" s="149">
        <v>46232</v>
      </c>
      <c r="B169" s="3">
        <f t="shared" si="5"/>
        <v>23</v>
      </c>
      <c r="C169" s="3" t="str">
        <f>+TEXT(Opex_VE[[#This Row],[Fecha]],"ddd")</f>
        <v>mié</v>
      </c>
      <c r="E169" s="14" t="s">
        <v>112</v>
      </c>
      <c r="F169" s="168">
        <f>IFERROR(VLOOKUP(Opex_VE[[#This Row],[Fecha]],Historia!A:B,2,0),_xlfn.XLOOKUP(Opex_VE[[#This Row],[dia]],Forecast!I:I,Forecast!J:J))</f>
        <v>339250</v>
      </c>
      <c r="G169" s="168">
        <f>IFERROR(VLOOKUP(Opex_VE[[#This Row],[Fecha]],Historia!A:C,3,0),_xlfn.XLOOKUP(Opex_VE[[#This Row],[dia]],Forecast!I:I,Forecast!K:K))</f>
        <v>135700</v>
      </c>
      <c r="H169" s="182">
        <f>+Opex_VE[[#This Row],[MG]]-Opex_VE[[#This Row],[Opex]]</f>
        <v>-85678.966666666674</v>
      </c>
      <c r="I169" s="168" t="str">
        <f>IFERROR(VLOOKUP(Opex_VE[[#This Row],[Fecha]],Historia!A:D,4,0),"Forecast")</f>
        <v>Forecast</v>
      </c>
      <c r="J169" s="157">
        <f t="shared" si="4"/>
        <v>553447.41666666663</v>
      </c>
      <c r="K169" s="151">
        <f>+Opex_VE[[#This Row],[Arriendo]]+Opex_VE[[#This Row],[Servicios publicos]]+Opex_VE[[#This Row],[Nomina]]</f>
        <v>221378.96666666667</v>
      </c>
      <c r="L169" s="152">
        <f>+VLOOKUP(Opex_VE[[#This Row],[Fecha]],Opex!$B:$Y,OPEX_SALES!L$1,1)</f>
        <v>55000</v>
      </c>
      <c r="M169" s="153">
        <f>+SUM(Opex_VE[[#This Row],[Internet]:[Electricidad]])</f>
        <v>26378.966666666667</v>
      </c>
      <c r="N169" s="152">
        <f>+VLOOKUP(Opex_VE[[#This Row],[Fecha]],Opex!$B:$Y,OPEX_SALES!N$1,1)</f>
        <v>3500</v>
      </c>
      <c r="O169" s="152">
        <f>+VLOOKUP(Opex_VE[[#This Row],[Fecha]],Opex!$B:$Y,OPEX_SALES!O$1,1)</f>
        <v>8243.9666666666672</v>
      </c>
      <c r="P169" s="152">
        <f>+VLOOKUP(Opex_VE[[#This Row],[Fecha]],Opex!$B:$Y,OPEX_SALES!P$1,1)</f>
        <v>4000</v>
      </c>
      <c r="Q169" s="152">
        <f>+VLOOKUP(Opex_VE[[#This Row],[Fecha]],Opex!$B:$Y,OPEX_SALES!Q$1,1)</f>
        <v>10635</v>
      </c>
      <c r="R169" s="153">
        <f>+SUM(Opex_VE[[#This Row],[Cajero]:[Domiciliario]])</f>
        <v>140000</v>
      </c>
      <c r="S169" s="152">
        <v>70000</v>
      </c>
      <c r="T169" s="152">
        <v>70000</v>
      </c>
      <c r="U169" s="152">
        <v>0</v>
      </c>
      <c r="V169"/>
    </row>
    <row r="170" spans="1:22" x14ac:dyDescent="0.2">
      <c r="A170" s="149">
        <v>46233</v>
      </c>
      <c r="B170" s="3">
        <f t="shared" si="5"/>
        <v>23</v>
      </c>
      <c r="C170" s="3" t="str">
        <f>+TEXT(Opex_VE[[#This Row],[Fecha]],"ddd")</f>
        <v>jue</v>
      </c>
      <c r="E170" s="14" t="s">
        <v>112</v>
      </c>
      <c r="F170" s="168">
        <f>IFERROR(VLOOKUP(Opex_VE[[#This Row],[Fecha]],Historia!A:B,2,0),_xlfn.XLOOKUP(Opex_VE[[#This Row],[dia]],Forecast!I:I,Forecast!J:J))</f>
        <v>274975</v>
      </c>
      <c r="G170" s="168">
        <f>IFERROR(VLOOKUP(Opex_VE[[#This Row],[Fecha]],Historia!A:C,3,0),_xlfn.XLOOKUP(Opex_VE[[#This Row],[dia]],Forecast!I:I,Forecast!K:K))</f>
        <v>109990</v>
      </c>
      <c r="H170" s="182">
        <f>+Opex_VE[[#This Row],[MG]]-Opex_VE[[#This Row],[Opex]]</f>
        <v>-111388.96666666667</v>
      </c>
      <c r="I170" s="168" t="str">
        <f>IFERROR(VLOOKUP(Opex_VE[[#This Row],[Fecha]],Historia!A:D,4,0),"Forecast")</f>
        <v>Forecast</v>
      </c>
      <c r="J170" s="157">
        <f t="shared" si="4"/>
        <v>553447.41666666663</v>
      </c>
      <c r="K170" s="151">
        <f>+Opex_VE[[#This Row],[Arriendo]]+Opex_VE[[#This Row],[Servicios publicos]]+Opex_VE[[#This Row],[Nomina]]</f>
        <v>221378.96666666667</v>
      </c>
      <c r="L170" s="152">
        <f>+VLOOKUP(Opex_VE[[#This Row],[Fecha]],Opex!$B:$Y,OPEX_SALES!L$1,1)</f>
        <v>55000</v>
      </c>
      <c r="M170" s="153">
        <f>+SUM(Opex_VE[[#This Row],[Internet]:[Electricidad]])</f>
        <v>26378.966666666667</v>
      </c>
      <c r="N170" s="152">
        <f>+VLOOKUP(Opex_VE[[#This Row],[Fecha]],Opex!$B:$Y,OPEX_SALES!N$1,1)</f>
        <v>3500</v>
      </c>
      <c r="O170" s="152">
        <f>+VLOOKUP(Opex_VE[[#This Row],[Fecha]],Opex!$B:$Y,OPEX_SALES!O$1,1)</f>
        <v>8243.9666666666672</v>
      </c>
      <c r="P170" s="152">
        <f>+VLOOKUP(Opex_VE[[#This Row],[Fecha]],Opex!$B:$Y,OPEX_SALES!P$1,1)</f>
        <v>4000</v>
      </c>
      <c r="Q170" s="152">
        <f>+VLOOKUP(Opex_VE[[#This Row],[Fecha]],Opex!$B:$Y,OPEX_SALES!Q$1,1)</f>
        <v>10635</v>
      </c>
      <c r="R170" s="153">
        <f>+SUM(Opex_VE[[#This Row],[Cajero]:[Domiciliario]])</f>
        <v>140000</v>
      </c>
      <c r="S170" s="152">
        <v>70000</v>
      </c>
      <c r="T170" s="152">
        <v>70000</v>
      </c>
      <c r="U170" s="152">
        <v>0</v>
      </c>
      <c r="V170"/>
    </row>
    <row r="171" spans="1:22" x14ac:dyDescent="0.2">
      <c r="A171" s="149">
        <v>46234</v>
      </c>
      <c r="B171" s="3">
        <f t="shared" si="5"/>
        <v>23</v>
      </c>
      <c r="C171" s="3" t="str">
        <f>+TEXT(Opex_VE[[#This Row],[Fecha]],"ddd")</f>
        <v>vie</v>
      </c>
      <c r="E171" s="14" t="s">
        <v>217</v>
      </c>
      <c r="F171" s="168">
        <f>IFERROR(VLOOKUP(Opex_VE[[#This Row],[Fecha]],Historia!A:B,2,0),_xlfn.XLOOKUP(Opex_VE[[#This Row],[dia]],Forecast!I:I,Forecast!J:J))</f>
        <v>184566.66666666666</v>
      </c>
      <c r="G171" s="168">
        <f>IFERROR(VLOOKUP(Opex_VE[[#This Row],[Fecha]],Historia!A:C,3,0),_xlfn.XLOOKUP(Opex_VE[[#This Row],[dia]],Forecast!I:I,Forecast!K:K))</f>
        <v>73826.666666666672</v>
      </c>
      <c r="H171" s="182">
        <f>+Opex_VE[[#This Row],[MG]]-Opex_VE[[#This Row],[Opex]]</f>
        <v>-147552.29999999999</v>
      </c>
      <c r="I171" s="168" t="str">
        <f>IFERROR(VLOOKUP(Opex_VE[[#This Row],[Fecha]],Historia!A:D,4,0),"Forecast")</f>
        <v>Forecast</v>
      </c>
      <c r="J171" s="157">
        <f t="shared" si="4"/>
        <v>553447.41666666663</v>
      </c>
      <c r="K171" s="151">
        <f>+Opex_VE[[#This Row],[Arriendo]]+Opex_VE[[#This Row],[Servicios publicos]]+Opex_VE[[#This Row],[Nomina]]</f>
        <v>221378.96666666667</v>
      </c>
      <c r="L171" s="152">
        <f>+VLOOKUP(Opex_VE[[#This Row],[Fecha]],Opex!$B:$Y,OPEX_SALES!L$1,1)</f>
        <v>55000</v>
      </c>
      <c r="M171" s="153">
        <f>+SUM(Opex_VE[[#This Row],[Internet]:[Electricidad]])</f>
        <v>26378.966666666667</v>
      </c>
      <c r="N171" s="152">
        <f>+VLOOKUP(Opex_VE[[#This Row],[Fecha]],Opex!$B:$Y,OPEX_SALES!N$1,1)</f>
        <v>3500</v>
      </c>
      <c r="O171" s="152">
        <f>+VLOOKUP(Opex_VE[[#This Row],[Fecha]],Opex!$B:$Y,OPEX_SALES!O$1,1)</f>
        <v>8243.9666666666672</v>
      </c>
      <c r="P171" s="152">
        <f>+VLOOKUP(Opex_VE[[#This Row],[Fecha]],Opex!$B:$Y,OPEX_SALES!P$1,1)</f>
        <v>4000</v>
      </c>
      <c r="Q171" s="152">
        <f>+VLOOKUP(Opex_VE[[#This Row],[Fecha]],Opex!$B:$Y,OPEX_SALES!Q$1,1)</f>
        <v>10635</v>
      </c>
      <c r="R171" s="153">
        <f>+SUM(Opex_VE[[#This Row],[Cajero]:[Domiciliario]])</f>
        <v>140000</v>
      </c>
      <c r="S171" s="152">
        <v>70000</v>
      </c>
      <c r="T171" s="152">
        <v>70000</v>
      </c>
      <c r="U171" s="152">
        <v>0</v>
      </c>
      <c r="V171"/>
    </row>
    <row r="172" spans="1:22" x14ac:dyDescent="0.2">
      <c r="A172" s="149">
        <v>46235</v>
      </c>
      <c r="B172" s="3">
        <f t="shared" si="5"/>
        <v>23</v>
      </c>
      <c r="C172" s="3" t="str">
        <f>+TEXT(Opex_VE[[#This Row],[Fecha]],"ddd")</f>
        <v>sáb</v>
      </c>
      <c r="E172" s="14" t="s">
        <v>113</v>
      </c>
      <c r="F172" s="168">
        <f>IFERROR(VLOOKUP(Opex_VE[[#This Row],[Fecha]],Historia!A:B,2,0),_xlfn.XLOOKUP(Opex_VE[[#This Row],[dia]],Forecast!I:I,Forecast!J:J))</f>
        <v>398333.33333333331</v>
      </c>
      <c r="G172" s="168">
        <f>IFERROR(VLOOKUP(Opex_VE[[#This Row],[Fecha]],Historia!A:C,3,0),_xlfn.XLOOKUP(Opex_VE[[#This Row],[dia]],Forecast!I:I,Forecast!K:K))</f>
        <v>159333.33333333334</v>
      </c>
      <c r="H172" s="182">
        <f>+Opex_VE[[#This Row],[MG]]-Opex_VE[[#This Row],[Opex]]</f>
        <v>-62045.633333333331</v>
      </c>
      <c r="I172" s="169" t="str">
        <f>IFERROR(VLOOKUP(Opex_VE[[#This Row],[Fecha]],Historia!A:D,4,0),"Forecast")</f>
        <v>Forecast</v>
      </c>
      <c r="J172" s="157">
        <f t="shared" si="4"/>
        <v>553447.41666666663</v>
      </c>
      <c r="K172" s="151">
        <f>+Opex_VE[[#This Row],[Arriendo]]+Opex_VE[[#This Row],[Servicios publicos]]+Opex_VE[[#This Row],[Nomina]]</f>
        <v>221378.96666666667</v>
      </c>
      <c r="L172" s="152">
        <f>+VLOOKUP(Opex_VE[[#This Row],[Fecha]],Opex!$B:$Y,OPEX_SALES!L$1,1)</f>
        <v>55000</v>
      </c>
      <c r="M172" s="153">
        <f>+SUM(Opex_VE[[#This Row],[Internet]:[Electricidad]])</f>
        <v>26378.966666666667</v>
      </c>
      <c r="N172" s="152">
        <f>+VLOOKUP(Opex_VE[[#This Row],[Fecha]],Opex!$B:$Y,OPEX_SALES!N$1,1)</f>
        <v>3500</v>
      </c>
      <c r="O172" s="152">
        <f>+VLOOKUP(Opex_VE[[#This Row],[Fecha]],Opex!$B:$Y,OPEX_SALES!O$1,1)</f>
        <v>8243.9666666666672</v>
      </c>
      <c r="P172" s="152">
        <f>+VLOOKUP(Opex_VE[[#This Row],[Fecha]],Opex!$B:$Y,OPEX_SALES!P$1,1)</f>
        <v>4000</v>
      </c>
      <c r="Q172" s="152">
        <f>+VLOOKUP(Opex_VE[[#This Row],[Fecha]],Opex!$B:$Y,OPEX_SALES!Q$1,1)</f>
        <v>10635</v>
      </c>
      <c r="R172" s="153">
        <f>+SUM(Opex_VE[[#This Row],[Cajero]:[Domiciliario]])</f>
        <v>140000</v>
      </c>
      <c r="S172" s="152">
        <v>70000</v>
      </c>
      <c r="T172" s="152">
        <v>70000</v>
      </c>
      <c r="U172" s="152">
        <v>0</v>
      </c>
      <c r="V172"/>
    </row>
    <row r="173" spans="1:22" x14ac:dyDescent="0.2">
      <c r="A173" s="149">
        <v>46236</v>
      </c>
      <c r="B173" s="3">
        <f t="shared" si="5"/>
        <v>23</v>
      </c>
      <c r="C173" s="3" t="str">
        <f>+TEXT(Opex_VE[[#This Row],[Fecha]],"ddd")</f>
        <v>dom</v>
      </c>
      <c r="E173" s="14" t="s">
        <v>145</v>
      </c>
      <c r="F173" s="168">
        <f>IFERROR(VLOOKUP(Opex_VE[[#This Row],[Fecha]],Historia!A:B,2,0),_xlfn.XLOOKUP(Opex_VE[[#This Row],[dia]],Forecast!I:I,Forecast!J:J))</f>
        <v>168750</v>
      </c>
      <c r="G173" s="168">
        <f>IFERROR(VLOOKUP(Opex_VE[[#This Row],[Fecha]],Historia!A:C,3,0),_xlfn.XLOOKUP(Opex_VE[[#This Row],[dia]],Forecast!I:I,Forecast!K:K))</f>
        <v>67500</v>
      </c>
      <c r="H173" s="182">
        <f>+Opex_VE[[#This Row],[MG]]-Opex_VE[[#This Row],[Opex]]</f>
        <v>-153878.96666666667</v>
      </c>
      <c r="I173" s="168" t="str">
        <f>IFERROR(VLOOKUP(Opex_VE[[#This Row],[Fecha]],Historia!A:D,4,0),"Forecast")</f>
        <v>Forecast</v>
      </c>
      <c r="J173" s="157">
        <f t="shared" si="4"/>
        <v>553447.41666666663</v>
      </c>
      <c r="K173" s="151">
        <f>+Opex_VE[[#This Row],[Arriendo]]+Opex_VE[[#This Row],[Servicios publicos]]+Opex_VE[[#This Row],[Nomina]]</f>
        <v>221378.96666666667</v>
      </c>
      <c r="L173" s="152">
        <f>+VLOOKUP(Opex_VE[[#This Row],[Fecha]],Opex!$B:$Y,OPEX_SALES!L$1,1)</f>
        <v>55000</v>
      </c>
      <c r="M173" s="153">
        <f>+SUM(Opex_VE[[#This Row],[Internet]:[Electricidad]])</f>
        <v>26378.966666666667</v>
      </c>
      <c r="N173" s="152">
        <f>+VLOOKUP(Opex_VE[[#This Row],[Fecha]],Opex!$B:$Y,OPEX_SALES!N$1,1)</f>
        <v>3500</v>
      </c>
      <c r="O173" s="152">
        <f>+VLOOKUP(Opex_VE[[#This Row],[Fecha]],Opex!$B:$Y,OPEX_SALES!O$1,1)</f>
        <v>8243.9666666666672</v>
      </c>
      <c r="P173" s="152">
        <f>+VLOOKUP(Opex_VE[[#This Row],[Fecha]],Opex!$B:$Y,OPEX_SALES!P$1,1)</f>
        <v>4000</v>
      </c>
      <c r="Q173" s="152">
        <f>+VLOOKUP(Opex_VE[[#This Row],[Fecha]],Opex!$B:$Y,OPEX_SALES!Q$1,1)</f>
        <v>10635</v>
      </c>
      <c r="R173" s="153">
        <f>+SUM(Opex_VE[[#This Row],[Cajero]:[Domiciliario]])</f>
        <v>140000</v>
      </c>
      <c r="S173" s="152">
        <v>70000</v>
      </c>
      <c r="T173" s="152">
        <v>70000</v>
      </c>
      <c r="U173" s="152">
        <v>0</v>
      </c>
      <c r="V173"/>
    </row>
    <row r="174" spans="1:22" x14ac:dyDescent="0.2">
      <c r="A174" s="149">
        <v>46237</v>
      </c>
      <c r="B174" s="3">
        <f t="shared" si="5"/>
        <v>24</v>
      </c>
      <c r="C174" s="3" t="str">
        <f>+TEXT(Opex_VE[[#This Row],[Fecha]],"ddd")</f>
        <v>lun</v>
      </c>
      <c r="E174" s="14" t="s">
        <v>112</v>
      </c>
      <c r="F174" s="168">
        <f>IFERROR(VLOOKUP(Opex_VE[[#This Row],[Fecha]],Historia!A:B,2,0),_xlfn.XLOOKUP(Opex_VE[[#This Row],[dia]],Forecast!I:I,Forecast!J:J))</f>
        <v>164375</v>
      </c>
      <c r="G174" s="168">
        <f>IFERROR(VLOOKUP(Opex_VE[[#This Row],[Fecha]],Historia!A:C,3,0),_xlfn.XLOOKUP(Opex_VE[[#This Row],[dia]],Forecast!I:I,Forecast!K:K))</f>
        <v>65750</v>
      </c>
      <c r="H174" s="182">
        <f>+Opex_VE[[#This Row],[MG]]-Opex_VE[[#This Row],[Opex]]</f>
        <v>-155628.96666666667</v>
      </c>
      <c r="I174" s="168" t="str">
        <f>IFERROR(VLOOKUP(Opex_VE[[#This Row],[Fecha]],Historia!A:D,4,0),"Forecast")</f>
        <v>Forecast</v>
      </c>
      <c r="J174" s="157">
        <f t="shared" si="4"/>
        <v>553447.41666666663</v>
      </c>
      <c r="K174" s="151">
        <f>+Opex_VE[[#This Row],[Arriendo]]+Opex_VE[[#This Row],[Servicios publicos]]+Opex_VE[[#This Row],[Nomina]]</f>
        <v>221378.96666666667</v>
      </c>
      <c r="L174" s="152">
        <f>+VLOOKUP(Opex_VE[[#This Row],[Fecha]],Opex!$B:$Y,OPEX_SALES!L$1,1)</f>
        <v>55000</v>
      </c>
      <c r="M174" s="153">
        <f>+SUM(Opex_VE[[#This Row],[Internet]:[Electricidad]])</f>
        <v>26378.966666666667</v>
      </c>
      <c r="N174" s="152">
        <f>+VLOOKUP(Opex_VE[[#This Row],[Fecha]],Opex!$B:$Y,OPEX_SALES!N$1,1)</f>
        <v>3500</v>
      </c>
      <c r="O174" s="152">
        <f>+VLOOKUP(Opex_VE[[#This Row],[Fecha]],Opex!$B:$Y,OPEX_SALES!O$1,1)</f>
        <v>8243.9666666666672</v>
      </c>
      <c r="P174" s="152">
        <f>+VLOOKUP(Opex_VE[[#This Row],[Fecha]],Opex!$B:$Y,OPEX_SALES!P$1,1)</f>
        <v>4000</v>
      </c>
      <c r="Q174" s="152">
        <f>+VLOOKUP(Opex_VE[[#This Row],[Fecha]],Opex!$B:$Y,OPEX_SALES!Q$1,1)</f>
        <v>10635</v>
      </c>
      <c r="R174" s="153">
        <f>+SUM(Opex_VE[[#This Row],[Cajero]:[Domiciliario]])</f>
        <v>140000</v>
      </c>
      <c r="S174" s="152">
        <v>70000</v>
      </c>
      <c r="T174" s="152">
        <v>70000</v>
      </c>
      <c r="U174" s="152">
        <v>0</v>
      </c>
      <c r="V174"/>
    </row>
    <row r="175" spans="1:22" x14ac:dyDescent="0.2">
      <c r="A175" s="149">
        <v>46238</v>
      </c>
      <c r="B175" s="3">
        <f t="shared" si="5"/>
        <v>24</v>
      </c>
      <c r="C175" s="3" t="str">
        <f>+TEXT(Opex_VE[[#This Row],[Fecha]],"ddd")</f>
        <v>mar</v>
      </c>
      <c r="E175" s="14" t="s">
        <v>112</v>
      </c>
      <c r="F175" s="168">
        <f>IFERROR(VLOOKUP(Opex_VE[[#This Row],[Fecha]],Historia!A:B,2,0),_xlfn.XLOOKUP(Opex_VE[[#This Row],[dia]],Forecast!I:I,Forecast!J:J))</f>
        <v>199625</v>
      </c>
      <c r="G175" s="168">
        <f>IFERROR(VLOOKUP(Opex_VE[[#This Row],[Fecha]],Historia!A:C,3,0),_xlfn.XLOOKUP(Opex_VE[[#This Row],[dia]],Forecast!I:I,Forecast!K:K))</f>
        <v>79850</v>
      </c>
      <c r="H175" s="182">
        <f>+Opex_VE[[#This Row],[MG]]-Opex_VE[[#This Row],[Opex]]</f>
        <v>-141528.96666666667</v>
      </c>
      <c r="I175" s="168" t="str">
        <f>IFERROR(VLOOKUP(Opex_VE[[#This Row],[Fecha]],Historia!A:D,4,0),"Forecast")</f>
        <v>Forecast</v>
      </c>
      <c r="J175" s="157">
        <f t="shared" si="4"/>
        <v>553447.41666666663</v>
      </c>
      <c r="K175" s="151">
        <f>+Opex_VE[[#This Row],[Arriendo]]+Opex_VE[[#This Row],[Servicios publicos]]+Opex_VE[[#This Row],[Nomina]]</f>
        <v>221378.96666666667</v>
      </c>
      <c r="L175" s="152">
        <f>+VLOOKUP(Opex_VE[[#This Row],[Fecha]],Opex!$B:$Y,OPEX_SALES!L$1,1)</f>
        <v>55000</v>
      </c>
      <c r="M175" s="153">
        <f>+SUM(Opex_VE[[#This Row],[Internet]:[Electricidad]])</f>
        <v>26378.966666666667</v>
      </c>
      <c r="N175" s="152">
        <f>+VLOOKUP(Opex_VE[[#This Row],[Fecha]],Opex!$B:$Y,OPEX_SALES!N$1,1)</f>
        <v>3500</v>
      </c>
      <c r="O175" s="152">
        <f>+VLOOKUP(Opex_VE[[#This Row],[Fecha]],Opex!$B:$Y,OPEX_SALES!O$1,1)</f>
        <v>8243.9666666666672</v>
      </c>
      <c r="P175" s="152">
        <f>+VLOOKUP(Opex_VE[[#This Row],[Fecha]],Opex!$B:$Y,OPEX_SALES!P$1,1)</f>
        <v>4000</v>
      </c>
      <c r="Q175" s="152">
        <f>+VLOOKUP(Opex_VE[[#This Row],[Fecha]],Opex!$B:$Y,OPEX_SALES!Q$1,1)</f>
        <v>10635</v>
      </c>
      <c r="R175" s="153">
        <f>+SUM(Opex_VE[[#This Row],[Cajero]:[Domiciliario]])</f>
        <v>140000</v>
      </c>
      <c r="S175" s="152">
        <v>70000</v>
      </c>
      <c r="T175" s="152">
        <v>70000</v>
      </c>
      <c r="U175" s="152">
        <v>0</v>
      </c>
      <c r="V175"/>
    </row>
    <row r="176" spans="1:22" x14ac:dyDescent="0.2">
      <c r="A176" s="149">
        <v>46239</v>
      </c>
      <c r="B176" s="3">
        <f t="shared" si="5"/>
        <v>24</v>
      </c>
      <c r="C176" s="3" t="str">
        <f>+TEXT(Opex_VE[[#This Row],[Fecha]],"ddd")</f>
        <v>mié</v>
      </c>
      <c r="E176" s="14" t="s">
        <v>112</v>
      </c>
      <c r="F176" s="168">
        <f>IFERROR(VLOOKUP(Opex_VE[[#This Row],[Fecha]],Historia!A:B,2,0),_xlfn.XLOOKUP(Opex_VE[[#This Row],[dia]],Forecast!I:I,Forecast!J:J))</f>
        <v>339250</v>
      </c>
      <c r="G176" s="168">
        <f>IFERROR(VLOOKUP(Opex_VE[[#This Row],[Fecha]],Historia!A:C,3,0),_xlfn.XLOOKUP(Opex_VE[[#This Row],[dia]],Forecast!I:I,Forecast!K:K))</f>
        <v>135700</v>
      </c>
      <c r="H176" s="182">
        <f>+Opex_VE[[#This Row],[MG]]-Opex_VE[[#This Row],[Opex]]</f>
        <v>-85678.966666666674</v>
      </c>
      <c r="I176" s="168" t="str">
        <f>IFERROR(VLOOKUP(Opex_VE[[#This Row],[Fecha]],Historia!A:D,4,0),"Forecast")</f>
        <v>Forecast</v>
      </c>
      <c r="J176" s="157">
        <f t="shared" si="4"/>
        <v>553447.41666666663</v>
      </c>
      <c r="K176" s="151">
        <f>+Opex_VE[[#This Row],[Arriendo]]+Opex_VE[[#This Row],[Servicios publicos]]+Opex_VE[[#This Row],[Nomina]]</f>
        <v>221378.96666666667</v>
      </c>
      <c r="L176" s="152">
        <f>+VLOOKUP(Opex_VE[[#This Row],[Fecha]],Opex!$B:$Y,OPEX_SALES!L$1,1)</f>
        <v>55000</v>
      </c>
      <c r="M176" s="153">
        <f>+SUM(Opex_VE[[#This Row],[Internet]:[Electricidad]])</f>
        <v>26378.966666666667</v>
      </c>
      <c r="N176" s="152">
        <f>+VLOOKUP(Opex_VE[[#This Row],[Fecha]],Opex!$B:$Y,OPEX_SALES!N$1,1)</f>
        <v>3500</v>
      </c>
      <c r="O176" s="152">
        <f>+VLOOKUP(Opex_VE[[#This Row],[Fecha]],Opex!$B:$Y,OPEX_SALES!O$1,1)</f>
        <v>8243.9666666666672</v>
      </c>
      <c r="P176" s="152">
        <f>+VLOOKUP(Opex_VE[[#This Row],[Fecha]],Opex!$B:$Y,OPEX_SALES!P$1,1)</f>
        <v>4000</v>
      </c>
      <c r="Q176" s="152">
        <f>+VLOOKUP(Opex_VE[[#This Row],[Fecha]],Opex!$B:$Y,OPEX_SALES!Q$1,1)</f>
        <v>10635</v>
      </c>
      <c r="R176" s="153">
        <f>+SUM(Opex_VE[[#This Row],[Cajero]:[Domiciliario]])</f>
        <v>140000</v>
      </c>
      <c r="S176" s="152">
        <v>70000</v>
      </c>
      <c r="T176" s="152">
        <v>70000</v>
      </c>
      <c r="U176" s="152">
        <v>0</v>
      </c>
      <c r="V176"/>
    </row>
    <row r="177" spans="1:22" x14ac:dyDescent="0.2">
      <c r="A177" s="149">
        <v>46240</v>
      </c>
      <c r="B177" s="3">
        <f t="shared" si="5"/>
        <v>24</v>
      </c>
      <c r="C177" s="3" t="str">
        <f>+TEXT(Opex_VE[[#This Row],[Fecha]],"ddd")</f>
        <v>jue</v>
      </c>
      <c r="E177" s="14" t="s">
        <v>112</v>
      </c>
      <c r="F177" s="168">
        <f>IFERROR(VLOOKUP(Opex_VE[[#This Row],[Fecha]],Historia!A:B,2,0),_xlfn.XLOOKUP(Opex_VE[[#This Row],[dia]],Forecast!I:I,Forecast!J:J))</f>
        <v>274975</v>
      </c>
      <c r="G177" s="168">
        <f>IFERROR(VLOOKUP(Opex_VE[[#This Row],[Fecha]],Historia!A:C,3,0),_xlfn.XLOOKUP(Opex_VE[[#This Row],[dia]],Forecast!I:I,Forecast!K:K))</f>
        <v>109990</v>
      </c>
      <c r="H177" s="182">
        <f>+Opex_VE[[#This Row],[MG]]-Opex_VE[[#This Row],[Opex]]</f>
        <v>-111388.96666666667</v>
      </c>
      <c r="I177" s="168" t="str">
        <f>IFERROR(VLOOKUP(Opex_VE[[#This Row],[Fecha]],Historia!A:D,4,0),"Forecast")</f>
        <v>Forecast</v>
      </c>
      <c r="J177" s="157">
        <f t="shared" si="4"/>
        <v>553447.41666666663</v>
      </c>
      <c r="K177" s="151">
        <f>+Opex_VE[[#This Row],[Arriendo]]+Opex_VE[[#This Row],[Servicios publicos]]+Opex_VE[[#This Row],[Nomina]]</f>
        <v>221378.96666666667</v>
      </c>
      <c r="L177" s="152">
        <f>+VLOOKUP(Opex_VE[[#This Row],[Fecha]],Opex!$B:$Y,OPEX_SALES!L$1,1)</f>
        <v>55000</v>
      </c>
      <c r="M177" s="153">
        <f>+SUM(Opex_VE[[#This Row],[Internet]:[Electricidad]])</f>
        <v>26378.966666666667</v>
      </c>
      <c r="N177" s="152">
        <f>+VLOOKUP(Opex_VE[[#This Row],[Fecha]],Opex!$B:$Y,OPEX_SALES!N$1,1)</f>
        <v>3500</v>
      </c>
      <c r="O177" s="152">
        <f>+VLOOKUP(Opex_VE[[#This Row],[Fecha]],Opex!$B:$Y,OPEX_SALES!O$1,1)</f>
        <v>8243.9666666666672</v>
      </c>
      <c r="P177" s="152">
        <f>+VLOOKUP(Opex_VE[[#This Row],[Fecha]],Opex!$B:$Y,OPEX_SALES!P$1,1)</f>
        <v>4000</v>
      </c>
      <c r="Q177" s="152">
        <f>+VLOOKUP(Opex_VE[[#This Row],[Fecha]],Opex!$B:$Y,OPEX_SALES!Q$1,1)</f>
        <v>10635</v>
      </c>
      <c r="R177" s="153">
        <f>+SUM(Opex_VE[[#This Row],[Cajero]:[Domiciliario]])</f>
        <v>140000</v>
      </c>
      <c r="S177" s="152">
        <v>70000</v>
      </c>
      <c r="T177" s="152">
        <v>70000</v>
      </c>
      <c r="U177" s="152">
        <v>0</v>
      </c>
      <c r="V177"/>
    </row>
    <row r="178" spans="1:22" x14ac:dyDescent="0.2">
      <c r="A178" s="149">
        <v>46241</v>
      </c>
      <c r="B178" s="3">
        <f t="shared" si="5"/>
        <v>24</v>
      </c>
      <c r="C178" s="3" t="str">
        <f>+TEXT(Opex_VE[[#This Row],[Fecha]],"ddd")</f>
        <v>vie</v>
      </c>
      <c r="E178" s="14" t="s">
        <v>217</v>
      </c>
      <c r="F178" s="168">
        <f>IFERROR(VLOOKUP(Opex_VE[[#This Row],[Fecha]],Historia!A:B,2,0),_xlfn.XLOOKUP(Opex_VE[[#This Row],[dia]],Forecast!I:I,Forecast!J:J))</f>
        <v>184566.66666666666</v>
      </c>
      <c r="G178" s="168">
        <f>IFERROR(VLOOKUP(Opex_VE[[#This Row],[Fecha]],Historia!A:C,3,0),_xlfn.XLOOKUP(Opex_VE[[#This Row],[dia]],Forecast!I:I,Forecast!K:K))</f>
        <v>73826.666666666672</v>
      </c>
      <c r="H178" s="182">
        <f>+Opex_VE[[#This Row],[MG]]-Opex_VE[[#This Row],[Opex]]</f>
        <v>-147552.29999999999</v>
      </c>
      <c r="I178" s="168" t="str">
        <f>IFERROR(VLOOKUP(Opex_VE[[#This Row],[Fecha]],Historia!A:D,4,0),"Forecast")</f>
        <v>Forecast</v>
      </c>
      <c r="J178" s="157">
        <f t="shared" si="4"/>
        <v>553447.41666666663</v>
      </c>
      <c r="K178" s="151">
        <f>+Opex_VE[[#This Row],[Arriendo]]+Opex_VE[[#This Row],[Servicios publicos]]+Opex_VE[[#This Row],[Nomina]]</f>
        <v>221378.96666666667</v>
      </c>
      <c r="L178" s="152">
        <f>+VLOOKUP(Opex_VE[[#This Row],[Fecha]],Opex!$B:$Y,OPEX_SALES!L$1,1)</f>
        <v>55000</v>
      </c>
      <c r="M178" s="153">
        <f>+SUM(Opex_VE[[#This Row],[Internet]:[Electricidad]])</f>
        <v>26378.966666666667</v>
      </c>
      <c r="N178" s="152">
        <f>+VLOOKUP(Opex_VE[[#This Row],[Fecha]],Opex!$B:$Y,OPEX_SALES!N$1,1)</f>
        <v>3500</v>
      </c>
      <c r="O178" s="152">
        <f>+VLOOKUP(Opex_VE[[#This Row],[Fecha]],Opex!$B:$Y,OPEX_SALES!O$1,1)</f>
        <v>8243.9666666666672</v>
      </c>
      <c r="P178" s="152">
        <f>+VLOOKUP(Opex_VE[[#This Row],[Fecha]],Opex!$B:$Y,OPEX_SALES!P$1,1)</f>
        <v>4000</v>
      </c>
      <c r="Q178" s="152">
        <f>+VLOOKUP(Opex_VE[[#This Row],[Fecha]],Opex!$B:$Y,OPEX_SALES!Q$1,1)</f>
        <v>10635</v>
      </c>
      <c r="R178" s="153">
        <f>+SUM(Opex_VE[[#This Row],[Cajero]:[Domiciliario]])</f>
        <v>140000</v>
      </c>
      <c r="S178" s="152">
        <v>70000</v>
      </c>
      <c r="T178" s="152">
        <v>70000</v>
      </c>
      <c r="U178" s="152">
        <v>0</v>
      </c>
      <c r="V178"/>
    </row>
    <row r="179" spans="1:22" x14ac:dyDescent="0.2">
      <c r="A179" s="149">
        <v>46242</v>
      </c>
      <c r="B179" s="3">
        <f t="shared" si="5"/>
        <v>24</v>
      </c>
      <c r="C179" s="3" t="str">
        <f>+TEXT(Opex_VE[[#This Row],[Fecha]],"ddd")</f>
        <v>sáb</v>
      </c>
      <c r="E179" s="14" t="s">
        <v>113</v>
      </c>
      <c r="F179" s="168">
        <f>IFERROR(VLOOKUP(Opex_VE[[#This Row],[Fecha]],Historia!A:B,2,0),_xlfn.XLOOKUP(Opex_VE[[#This Row],[dia]],Forecast!I:I,Forecast!J:J))</f>
        <v>398333.33333333331</v>
      </c>
      <c r="G179" s="168">
        <f>IFERROR(VLOOKUP(Opex_VE[[#This Row],[Fecha]],Historia!A:C,3,0),_xlfn.XLOOKUP(Opex_VE[[#This Row],[dia]],Forecast!I:I,Forecast!K:K))</f>
        <v>159333.33333333334</v>
      </c>
      <c r="H179" s="182">
        <f>+Opex_VE[[#This Row],[MG]]-Opex_VE[[#This Row],[Opex]]</f>
        <v>-62045.633333333331</v>
      </c>
      <c r="I179" s="169" t="str">
        <f>IFERROR(VLOOKUP(Opex_VE[[#This Row],[Fecha]],Historia!A:D,4,0),"Forecast")</f>
        <v>Forecast</v>
      </c>
      <c r="J179" s="157">
        <f t="shared" si="4"/>
        <v>553447.41666666663</v>
      </c>
      <c r="K179" s="151">
        <f>+Opex_VE[[#This Row],[Arriendo]]+Opex_VE[[#This Row],[Servicios publicos]]+Opex_VE[[#This Row],[Nomina]]</f>
        <v>221378.96666666667</v>
      </c>
      <c r="L179" s="152">
        <f>+VLOOKUP(Opex_VE[[#This Row],[Fecha]],Opex!$B:$Y,OPEX_SALES!L$1,1)</f>
        <v>55000</v>
      </c>
      <c r="M179" s="153">
        <f>+SUM(Opex_VE[[#This Row],[Internet]:[Electricidad]])</f>
        <v>26378.966666666667</v>
      </c>
      <c r="N179" s="152">
        <f>+VLOOKUP(Opex_VE[[#This Row],[Fecha]],Opex!$B:$Y,OPEX_SALES!N$1,1)</f>
        <v>3500</v>
      </c>
      <c r="O179" s="152">
        <f>+VLOOKUP(Opex_VE[[#This Row],[Fecha]],Opex!$B:$Y,OPEX_SALES!O$1,1)</f>
        <v>8243.9666666666672</v>
      </c>
      <c r="P179" s="152">
        <f>+VLOOKUP(Opex_VE[[#This Row],[Fecha]],Opex!$B:$Y,OPEX_SALES!P$1,1)</f>
        <v>4000</v>
      </c>
      <c r="Q179" s="152">
        <f>+VLOOKUP(Opex_VE[[#This Row],[Fecha]],Opex!$B:$Y,OPEX_SALES!Q$1,1)</f>
        <v>10635</v>
      </c>
      <c r="R179" s="153">
        <f>+SUM(Opex_VE[[#This Row],[Cajero]:[Domiciliario]])</f>
        <v>140000</v>
      </c>
      <c r="S179" s="152">
        <v>70000</v>
      </c>
      <c r="T179" s="152">
        <v>70000</v>
      </c>
      <c r="U179" s="152">
        <v>0</v>
      </c>
      <c r="V179"/>
    </row>
    <row r="180" spans="1:22" x14ac:dyDescent="0.2">
      <c r="A180" s="149">
        <v>46243</v>
      </c>
      <c r="B180" s="3">
        <f t="shared" si="5"/>
        <v>24</v>
      </c>
      <c r="C180" s="3" t="str">
        <f>+TEXT(Opex_VE[[#This Row],[Fecha]],"ddd")</f>
        <v>dom</v>
      </c>
      <c r="E180" s="14" t="s">
        <v>145</v>
      </c>
      <c r="F180" s="168">
        <f>IFERROR(VLOOKUP(Opex_VE[[#This Row],[Fecha]],Historia!A:B,2,0),_xlfn.XLOOKUP(Opex_VE[[#This Row],[dia]],Forecast!I:I,Forecast!J:J))</f>
        <v>168750</v>
      </c>
      <c r="G180" s="168">
        <f>IFERROR(VLOOKUP(Opex_VE[[#This Row],[Fecha]],Historia!A:C,3,0),_xlfn.XLOOKUP(Opex_VE[[#This Row],[dia]],Forecast!I:I,Forecast!K:K))</f>
        <v>67500</v>
      </c>
      <c r="H180" s="182">
        <f>+Opex_VE[[#This Row],[MG]]-Opex_VE[[#This Row],[Opex]]</f>
        <v>-153878.96666666667</v>
      </c>
      <c r="I180" s="168" t="str">
        <f>IFERROR(VLOOKUP(Opex_VE[[#This Row],[Fecha]],Historia!A:D,4,0),"Forecast")</f>
        <v>Forecast</v>
      </c>
      <c r="J180" s="157">
        <f t="shared" si="4"/>
        <v>553447.41666666663</v>
      </c>
      <c r="K180" s="151">
        <f>+Opex_VE[[#This Row],[Arriendo]]+Opex_VE[[#This Row],[Servicios publicos]]+Opex_VE[[#This Row],[Nomina]]</f>
        <v>221378.96666666667</v>
      </c>
      <c r="L180" s="152">
        <f>+VLOOKUP(Opex_VE[[#This Row],[Fecha]],Opex!$B:$Y,OPEX_SALES!L$1,1)</f>
        <v>55000</v>
      </c>
      <c r="M180" s="153">
        <f>+SUM(Opex_VE[[#This Row],[Internet]:[Electricidad]])</f>
        <v>26378.966666666667</v>
      </c>
      <c r="N180" s="152">
        <f>+VLOOKUP(Opex_VE[[#This Row],[Fecha]],Opex!$B:$Y,OPEX_SALES!N$1,1)</f>
        <v>3500</v>
      </c>
      <c r="O180" s="152">
        <f>+VLOOKUP(Opex_VE[[#This Row],[Fecha]],Opex!$B:$Y,OPEX_SALES!O$1,1)</f>
        <v>8243.9666666666672</v>
      </c>
      <c r="P180" s="152">
        <f>+VLOOKUP(Opex_VE[[#This Row],[Fecha]],Opex!$B:$Y,OPEX_SALES!P$1,1)</f>
        <v>4000</v>
      </c>
      <c r="Q180" s="152">
        <f>+VLOOKUP(Opex_VE[[#This Row],[Fecha]],Opex!$B:$Y,OPEX_SALES!Q$1,1)</f>
        <v>10635</v>
      </c>
      <c r="R180" s="153">
        <f>+SUM(Opex_VE[[#This Row],[Cajero]:[Domiciliario]])</f>
        <v>140000</v>
      </c>
      <c r="S180" s="152">
        <v>70000</v>
      </c>
      <c r="T180" s="152">
        <v>70000</v>
      </c>
      <c r="U180" s="152">
        <v>0</v>
      </c>
      <c r="V180"/>
    </row>
    <row r="181" spans="1:22" x14ac:dyDescent="0.2">
      <c r="A181" s="149">
        <v>46244</v>
      </c>
      <c r="B181" s="3">
        <f t="shared" si="5"/>
        <v>25</v>
      </c>
      <c r="C181" s="3" t="str">
        <f>+TEXT(Opex_VE[[#This Row],[Fecha]],"ddd")</f>
        <v>lun</v>
      </c>
      <c r="E181" s="14" t="s">
        <v>112</v>
      </c>
      <c r="F181" s="168">
        <f>IFERROR(VLOOKUP(Opex_VE[[#This Row],[Fecha]],Historia!A:B,2,0),_xlfn.XLOOKUP(Opex_VE[[#This Row],[dia]],Forecast!I:I,Forecast!J:J))</f>
        <v>164375</v>
      </c>
      <c r="G181" s="168">
        <f>IFERROR(VLOOKUP(Opex_VE[[#This Row],[Fecha]],Historia!A:C,3,0),_xlfn.XLOOKUP(Opex_VE[[#This Row],[dia]],Forecast!I:I,Forecast!K:K))</f>
        <v>65750</v>
      </c>
      <c r="H181" s="182">
        <f>+Opex_VE[[#This Row],[MG]]-Opex_VE[[#This Row],[Opex]]</f>
        <v>-155628.96666666667</v>
      </c>
      <c r="I181" s="168" t="str">
        <f>IFERROR(VLOOKUP(Opex_VE[[#This Row],[Fecha]],Historia!A:D,4,0),"Forecast")</f>
        <v>Forecast</v>
      </c>
      <c r="J181" s="157">
        <f t="shared" si="4"/>
        <v>553447.41666666663</v>
      </c>
      <c r="K181" s="151">
        <f>+Opex_VE[[#This Row],[Arriendo]]+Opex_VE[[#This Row],[Servicios publicos]]+Opex_VE[[#This Row],[Nomina]]</f>
        <v>221378.96666666667</v>
      </c>
      <c r="L181" s="152">
        <f>+VLOOKUP(Opex_VE[[#This Row],[Fecha]],Opex!$B:$Y,OPEX_SALES!L$1,1)</f>
        <v>55000</v>
      </c>
      <c r="M181" s="153">
        <f>+SUM(Opex_VE[[#This Row],[Internet]:[Electricidad]])</f>
        <v>26378.966666666667</v>
      </c>
      <c r="N181" s="152">
        <f>+VLOOKUP(Opex_VE[[#This Row],[Fecha]],Opex!$B:$Y,OPEX_SALES!N$1,1)</f>
        <v>3500</v>
      </c>
      <c r="O181" s="152">
        <f>+VLOOKUP(Opex_VE[[#This Row],[Fecha]],Opex!$B:$Y,OPEX_SALES!O$1,1)</f>
        <v>8243.9666666666672</v>
      </c>
      <c r="P181" s="152">
        <f>+VLOOKUP(Opex_VE[[#This Row],[Fecha]],Opex!$B:$Y,OPEX_SALES!P$1,1)</f>
        <v>4000</v>
      </c>
      <c r="Q181" s="152">
        <f>+VLOOKUP(Opex_VE[[#This Row],[Fecha]],Opex!$B:$Y,OPEX_SALES!Q$1,1)</f>
        <v>10635</v>
      </c>
      <c r="R181" s="153">
        <f>+SUM(Opex_VE[[#This Row],[Cajero]:[Domiciliario]])</f>
        <v>140000</v>
      </c>
      <c r="S181" s="152">
        <v>70000</v>
      </c>
      <c r="T181" s="152">
        <v>70000</v>
      </c>
      <c r="U181" s="152">
        <v>0</v>
      </c>
      <c r="V181"/>
    </row>
    <row r="182" spans="1:22" x14ac:dyDescent="0.2">
      <c r="A182" s="149">
        <v>46245</v>
      </c>
      <c r="B182" s="3">
        <f t="shared" si="5"/>
        <v>25</v>
      </c>
      <c r="C182" s="3" t="str">
        <f>+TEXT(Opex_VE[[#This Row],[Fecha]],"ddd")</f>
        <v>mar</v>
      </c>
      <c r="E182" s="14" t="s">
        <v>112</v>
      </c>
      <c r="F182" s="168">
        <f>IFERROR(VLOOKUP(Opex_VE[[#This Row],[Fecha]],Historia!A:B,2,0),_xlfn.XLOOKUP(Opex_VE[[#This Row],[dia]],Forecast!I:I,Forecast!J:J))</f>
        <v>199625</v>
      </c>
      <c r="G182" s="168">
        <f>IFERROR(VLOOKUP(Opex_VE[[#This Row],[Fecha]],Historia!A:C,3,0),_xlfn.XLOOKUP(Opex_VE[[#This Row],[dia]],Forecast!I:I,Forecast!K:K))</f>
        <v>79850</v>
      </c>
      <c r="H182" s="182">
        <f>+Opex_VE[[#This Row],[MG]]-Opex_VE[[#This Row],[Opex]]</f>
        <v>-141528.96666666667</v>
      </c>
      <c r="I182" s="168" t="str">
        <f>IFERROR(VLOOKUP(Opex_VE[[#This Row],[Fecha]],Historia!A:D,4,0),"Forecast")</f>
        <v>Forecast</v>
      </c>
      <c r="J182" s="157">
        <f t="shared" si="4"/>
        <v>553447.41666666663</v>
      </c>
      <c r="K182" s="151">
        <f>+Opex_VE[[#This Row],[Arriendo]]+Opex_VE[[#This Row],[Servicios publicos]]+Opex_VE[[#This Row],[Nomina]]</f>
        <v>221378.96666666667</v>
      </c>
      <c r="L182" s="152">
        <f>+VLOOKUP(Opex_VE[[#This Row],[Fecha]],Opex!$B:$Y,OPEX_SALES!L$1,1)</f>
        <v>55000</v>
      </c>
      <c r="M182" s="153">
        <f>+SUM(Opex_VE[[#This Row],[Internet]:[Electricidad]])</f>
        <v>26378.966666666667</v>
      </c>
      <c r="N182" s="152">
        <f>+VLOOKUP(Opex_VE[[#This Row],[Fecha]],Opex!$B:$Y,OPEX_SALES!N$1,1)</f>
        <v>3500</v>
      </c>
      <c r="O182" s="152">
        <f>+VLOOKUP(Opex_VE[[#This Row],[Fecha]],Opex!$B:$Y,OPEX_SALES!O$1,1)</f>
        <v>8243.9666666666672</v>
      </c>
      <c r="P182" s="152">
        <f>+VLOOKUP(Opex_VE[[#This Row],[Fecha]],Opex!$B:$Y,OPEX_SALES!P$1,1)</f>
        <v>4000</v>
      </c>
      <c r="Q182" s="152">
        <f>+VLOOKUP(Opex_VE[[#This Row],[Fecha]],Opex!$B:$Y,OPEX_SALES!Q$1,1)</f>
        <v>10635</v>
      </c>
      <c r="R182" s="153">
        <f>+SUM(Opex_VE[[#This Row],[Cajero]:[Domiciliario]])</f>
        <v>140000</v>
      </c>
      <c r="S182" s="152">
        <v>70000</v>
      </c>
      <c r="T182" s="152">
        <v>70000</v>
      </c>
      <c r="U182" s="152">
        <v>0</v>
      </c>
      <c r="V182"/>
    </row>
    <row r="183" spans="1:22" x14ac:dyDescent="0.2">
      <c r="A183" s="149">
        <v>46246</v>
      </c>
      <c r="B183" s="3">
        <f t="shared" si="5"/>
        <v>25</v>
      </c>
      <c r="C183" s="3" t="str">
        <f>+TEXT(Opex_VE[[#This Row],[Fecha]],"ddd")</f>
        <v>mié</v>
      </c>
      <c r="E183" s="14" t="s">
        <v>112</v>
      </c>
      <c r="F183" s="168">
        <f>IFERROR(VLOOKUP(Opex_VE[[#This Row],[Fecha]],Historia!A:B,2,0),_xlfn.XLOOKUP(Opex_VE[[#This Row],[dia]],Forecast!I:I,Forecast!J:J))</f>
        <v>339250</v>
      </c>
      <c r="G183" s="168">
        <f>IFERROR(VLOOKUP(Opex_VE[[#This Row],[Fecha]],Historia!A:C,3,0),_xlfn.XLOOKUP(Opex_VE[[#This Row],[dia]],Forecast!I:I,Forecast!K:K))</f>
        <v>135700</v>
      </c>
      <c r="H183" s="182">
        <f>+Opex_VE[[#This Row],[MG]]-Opex_VE[[#This Row],[Opex]]</f>
        <v>-85678.966666666674</v>
      </c>
      <c r="I183" s="168" t="str">
        <f>IFERROR(VLOOKUP(Opex_VE[[#This Row],[Fecha]],Historia!A:D,4,0),"Forecast")</f>
        <v>Forecast</v>
      </c>
      <c r="J183" s="157">
        <f t="shared" si="4"/>
        <v>553447.41666666663</v>
      </c>
      <c r="K183" s="151">
        <f>+Opex_VE[[#This Row],[Arriendo]]+Opex_VE[[#This Row],[Servicios publicos]]+Opex_VE[[#This Row],[Nomina]]</f>
        <v>221378.96666666667</v>
      </c>
      <c r="L183" s="152">
        <f>+VLOOKUP(Opex_VE[[#This Row],[Fecha]],Opex!$B:$Y,OPEX_SALES!L$1,1)</f>
        <v>55000</v>
      </c>
      <c r="M183" s="153">
        <f>+SUM(Opex_VE[[#This Row],[Internet]:[Electricidad]])</f>
        <v>26378.966666666667</v>
      </c>
      <c r="N183" s="152">
        <f>+VLOOKUP(Opex_VE[[#This Row],[Fecha]],Opex!$B:$Y,OPEX_SALES!N$1,1)</f>
        <v>3500</v>
      </c>
      <c r="O183" s="152">
        <f>+VLOOKUP(Opex_VE[[#This Row],[Fecha]],Opex!$B:$Y,OPEX_SALES!O$1,1)</f>
        <v>8243.9666666666672</v>
      </c>
      <c r="P183" s="152">
        <f>+VLOOKUP(Opex_VE[[#This Row],[Fecha]],Opex!$B:$Y,OPEX_SALES!P$1,1)</f>
        <v>4000</v>
      </c>
      <c r="Q183" s="152">
        <f>+VLOOKUP(Opex_VE[[#This Row],[Fecha]],Opex!$B:$Y,OPEX_SALES!Q$1,1)</f>
        <v>10635</v>
      </c>
      <c r="R183" s="153">
        <f>+SUM(Opex_VE[[#This Row],[Cajero]:[Domiciliario]])</f>
        <v>140000</v>
      </c>
      <c r="S183" s="152">
        <v>70000</v>
      </c>
      <c r="T183" s="152">
        <v>70000</v>
      </c>
      <c r="U183" s="152">
        <v>0</v>
      </c>
      <c r="V183"/>
    </row>
    <row r="184" spans="1:22" x14ac:dyDescent="0.2">
      <c r="A184" s="149">
        <v>46247</v>
      </c>
      <c r="B184" s="3">
        <f t="shared" si="5"/>
        <v>25</v>
      </c>
      <c r="C184" s="3" t="str">
        <f>+TEXT(Opex_VE[[#This Row],[Fecha]],"ddd")</f>
        <v>jue</v>
      </c>
      <c r="E184" s="14" t="s">
        <v>112</v>
      </c>
      <c r="F184" s="168">
        <f>IFERROR(VLOOKUP(Opex_VE[[#This Row],[Fecha]],Historia!A:B,2,0),_xlfn.XLOOKUP(Opex_VE[[#This Row],[dia]],Forecast!I:I,Forecast!J:J))</f>
        <v>274975</v>
      </c>
      <c r="G184" s="168">
        <f>IFERROR(VLOOKUP(Opex_VE[[#This Row],[Fecha]],Historia!A:C,3,0),_xlfn.XLOOKUP(Opex_VE[[#This Row],[dia]],Forecast!I:I,Forecast!K:K))</f>
        <v>109990</v>
      </c>
      <c r="H184" s="182">
        <f>+Opex_VE[[#This Row],[MG]]-Opex_VE[[#This Row],[Opex]]</f>
        <v>-111388.96666666667</v>
      </c>
      <c r="I184" s="168" t="str">
        <f>IFERROR(VLOOKUP(Opex_VE[[#This Row],[Fecha]],Historia!A:D,4,0),"Forecast")</f>
        <v>Forecast</v>
      </c>
      <c r="J184" s="157">
        <f t="shared" si="4"/>
        <v>553447.41666666663</v>
      </c>
      <c r="K184" s="151">
        <f>+Opex_VE[[#This Row],[Arriendo]]+Opex_VE[[#This Row],[Servicios publicos]]+Opex_VE[[#This Row],[Nomina]]</f>
        <v>221378.96666666667</v>
      </c>
      <c r="L184" s="152">
        <f>+VLOOKUP(Opex_VE[[#This Row],[Fecha]],Opex!$B:$Y,OPEX_SALES!L$1,1)</f>
        <v>55000</v>
      </c>
      <c r="M184" s="153">
        <f>+SUM(Opex_VE[[#This Row],[Internet]:[Electricidad]])</f>
        <v>26378.966666666667</v>
      </c>
      <c r="N184" s="152">
        <f>+VLOOKUP(Opex_VE[[#This Row],[Fecha]],Opex!$B:$Y,OPEX_SALES!N$1,1)</f>
        <v>3500</v>
      </c>
      <c r="O184" s="152">
        <f>+VLOOKUP(Opex_VE[[#This Row],[Fecha]],Opex!$B:$Y,OPEX_SALES!O$1,1)</f>
        <v>8243.9666666666672</v>
      </c>
      <c r="P184" s="152">
        <f>+VLOOKUP(Opex_VE[[#This Row],[Fecha]],Opex!$B:$Y,OPEX_SALES!P$1,1)</f>
        <v>4000</v>
      </c>
      <c r="Q184" s="152">
        <f>+VLOOKUP(Opex_VE[[#This Row],[Fecha]],Opex!$B:$Y,OPEX_SALES!Q$1,1)</f>
        <v>10635</v>
      </c>
      <c r="R184" s="153">
        <f>+SUM(Opex_VE[[#This Row],[Cajero]:[Domiciliario]])</f>
        <v>140000</v>
      </c>
      <c r="S184" s="152">
        <v>70000</v>
      </c>
      <c r="T184" s="152">
        <v>70000</v>
      </c>
      <c r="U184" s="152">
        <v>0</v>
      </c>
      <c r="V184"/>
    </row>
    <row r="185" spans="1:22" x14ac:dyDescent="0.2">
      <c r="A185" s="149">
        <v>46248</v>
      </c>
      <c r="B185" s="3">
        <f t="shared" si="5"/>
        <v>25</v>
      </c>
      <c r="C185" s="3" t="str">
        <f>+TEXT(Opex_VE[[#This Row],[Fecha]],"ddd")</f>
        <v>vie</v>
      </c>
      <c r="E185" s="14" t="s">
        <v>217</v>
      </c>
      <c r="F185" s="168">
        <f>IFERROR(VLOOKUP(Opex_VE[[#This Row],[Fecha]],Historia!A:B,2,0),_xlfn.XLOOKUP(Opex_VE[[#This Row],[dia]],Forecast!I:I,Forecast!J:J))</f>
        <v>184566.66666666666</v>
      </c>
      <c r="G185" s="168">
        <f>IFERROR(VLOOKUP(Opex_VE[[#This Row],[Fecha]],Historia!A:C,3,0),_xlfn.XLOOKUP(Opex_VE[[#This Row],[dia]],Forecast!I:I,Forecast!K:K))</f>
        <v>73826.666666666672</v>
      </c>
      <c r="H185" s="182">
        <f>+Opex_VE[[#This Row],[MG]]-Opex_VE[[#This Row],[Opex]]</f>
        <v>-147552.29999999999</v>
      </c>
      <c r="I185" s="168" t="str">
        <f>IFERROR(VLOOKUP(Opex_VE[[#This Row],[Fecha]],Historia!A:D,4,0),"Forecast")</f>
        <v>Forecast</v>
      </c>
      <c r="J185" s="157">
        <f t="shared" si="4"/>
        <v>553447.41666666663</v>
      </c>
      <c r="K185" s="151">
        <f>+Opex_VE[[#This Row],[Arriendo]]+Opex_VE[[#This Row],[Servicios publicos]]+Opex_VE[[#This Row],[Nomina]]</f>
        <v>221378.96666666667</v>
      </c>
      <c r="L185" s="152">
        <f>+VLOOKUP(Opex_VE[[#This Row],[Fecha]],Opex!$B:$Y,OPEX_SALES!L$1,1)</f>
        <v>55000</v>
      </c>
      <c r="M185" s="153">
        <f>+SUM(Opex_VE[[#This Row],[Internet]:[Electricidad]])</f>
        <v>26378.966666666667</v>
      </c>
      <c r="N185" s="152">
        <f>+VLOOKUP(Opex_VE[[#This Row],[Fecha]],Opex!$B:$Y,OPEX_SALES!N$1,1)</f>
        <v>3500</v>
      </c>
      <c r="O185" s="152">
        <f>+VLOOKUP(Opex_VE[[#This Row],[Fecha]],Opex!$B:$Y,OPEX_SALES!O$1,1)</f>
        <v>8243.9666666666672</v>
      </c>
      <c r="P185" s="152">
        <f>+VLOOKUP(Opex_VE[[#This Row],[Fecha]],Opex!$B:$Y,OPEX_SALES!P$1,1)</f>
        <v>4000</v>
      </c>
      <c r="Q185" s="152">
        <f>+VLOOKUP(Opex_VE[[#This Row],[Fecha]],Opex!$B:$Y,OPEX_SALES!Q$1,1)</f>
        <v>10635</v>
      </c>
      <c r="R185" s="153">
        <f>+SUM(Opex_VE[[#This Row],[Cajero]:[Domiciliario]])</f>
        <v>140000</v>
      </c>
      <c r="S185" s="152">
        <v>70000</v>
      </c>
      <c r="T185" s="152">
        <v>70000</v>
      </c>
      <c r="U185" s="152">
        <v>0</v>
      </c>
      <c r="V185"/>
    </row>
    <row r="186" spans="1:22" x14ac:dyDescent="0.2">
      <c r="A186" s="149">
        <v>46249</v>
      </c>
      <c r="B186" s="3">
        <f t="shared" si="5"/>
        <v>25</v>
      </c>
      <c r="C186" s="3" t="str">
        <f>+TEXT(Opex_VE[[#This Row],[Fecha]],"ddd")</f>
        <v>sáb</v>
      </c>
      <c r="E186" s="14" t="s">
        <v>113</v>
      </c>
      <c r="F186" s="168">
        <f>IFERROR(VLOOKUP(Opex_VE[[#This Row],[Fecha]],Historia!A:B,2,0),_xlfn.XLOOKUP(Opex_VE[[#This Row],[dia]],Forecast!I:I,Forecast!J:J))</f>
        <v>398333.33333333331</v>
      </c>
      <c r="G186" s="168">
        <f>IFERROR(VLOOKUP(Opex_VE[[#This Row],[Fecha]],Historia!A:C,3,0),_xlfn.XLOOKUP(Opex_VE[[#This Row],[dia]],Forecast!I:I,Forecast!K:K))</f>
        <v>159333.33333333334</v>
      </c>
      <c r="H186" s="182">
        <f>+Opex_VE[[#This Row],[MG]]-Opex_VE[[#This Row],[Opex]]</f>
        <v>-62045.633333333331</v>
      </c>
      <c r="I186" s="169" t="str">
        <f>IFERROR(VLOOKUP(Opex_VE[[#This Row],[Fecha]],Historia!A:D,4,0),"Forecast")</f>
        <v>Forecast</v>
      </c>
      <c r="J186" s="157">
        <f t="shared" si="4"/>
        <v>553447.41666666663</v>
      </c>
      <c r="K186" s="151">
        <f>+Opex_VE[[#This Row],[Arriendo]]+Opex_VE[[#This Row],[Servicios publicos]]+Opex_VE[[#This Row],[Nomina]]</f>
        <v>221378.96666666667</v>
      </c>
      <c r="L186" s="152">
        <f>+VLOOKUP(Opex_VE[[#This Row],[Fecha]],Opex!$B:$Y,OPEX_SALES!L$1,1)</f>
        <v>55000</v>
      </c>
      <c r="M186" s="153">
        <f>+SUM(Opex_VE[[#This Row],[Internet]:[Electricidad]])</f>
        <v>26378.966666666667</v>
      </c>
      <c r="N186" s="152">
        <f>+VLOOKUP(Opex_VE[[#This Row],[Fecha]],Opex!$B:$Y,OPEX_SALES!N$1,1)</f>
        <v>3500</v>
      </c>
      <c r="O186" s="152">
        <f>+VLOOKUP(Opex_VE[[#This Row],[Fecha]],Opex!$B:$Y,OPEX_SALES!O$1,1)</f>
        <v>8243.9666666666672</v>
      </c>
      <c r="P186" s="152">
        <f>+VLOOKUP(Opex_VE[[#This Row],[Fecha]],Opex!$B:$Y,OPEX_SALES!P$1,1)</f>
        <v>4000</v>
      </c>
      <c r="Q186" s="152">
        <f>+VLOOKUP(Opex_VE[[#This Row],[Fecha]],Opex!$B:$Y,OPEX_SALES!Q$1,1)</f>
        <v>10635</v>
      </c>
      <c r="R186" s="153">
        <f>+SUM(Opex_VE[[#This Row],[Cajero]:[Domiciliario]])</f>
        <v>140000</v>
      </c>
      <c r="S186" s="152">
        <v>70000</v>
      </c>
      <c r="T186" s="152">
        <v>70000</v>
      </c>
      <c r="U186" s="152">
        <v>0</v>
      </c>
      <c r="V186"/>
    </row>
    <row r="187" spans="1:22" x14ac:dyDescent="0.2">
      <c r="A187" s="149">
        <v>46250</v>
      </c>
      <c r="B187" s="3">
        <f t="shared" si="5"/>
        <v>25</v>
      </c>
      <c r="C187" s="3" t="str">
        <f>+TEXT(Opex_VE[[#This Row],[Fecha]],"ddd")</f>
        <v>dom</v>
      </c>
      <c r="E187" s="14" t="s">
        <v>145</v>
      </c>
      <c r="F187" s="168">
        <f>IFERROR(VLOOKUP(Opex_VE[[#This Row],[Fecha]],Historia!A:B,2,0),_xlfn.XLOOKUP(Opex_VE[[#This Row],[dia]],Forecast!I:I,Forecast!J:J))</f>
        <v>168750</v>
      </c>
      <c r="G187" s="168">
        <f>IFERROR(VLOOKUP(Opex_VE[[#This Row],[Fecha]],Historia!A:C,3,0),_xlfn.XLOOKUP(Opex_VE[[#This Row],[dia]],Forecast!I:I,Forecast!K:K))</f>
        <v>67500</v>
      </c>
      <c r="H187" s="182">
        <f>+Opex_VE[[#This Row],[MG]]-Opex_VE[[#This Row],[Opex]]</f>
        <v>-153878.96666666667</v>
      </c>
      <c r="I187" s="168" t="str">
        <f>IFERROR(VLOOKUP(Opex_VE[[#This Row],[Fecha]],Historia!A:D,4,0),"Forecast")</f>
        <v>Forecast</v>
      </c>
      <c r="J187" s="157">
        <f t="shared" si="4"/>
        <v>553447.41666666663</v>
      </c>
      <c r="K187" s="151">
        <f>+Opex_VE[[#This Row],[Arriendo]]+Opex_VE[[#This Row],[Servicios publicos]]+Opex_VE[[#This Row],[Nomina]]</f>
        <v>221378.96666666667</v>
      </c>
      <c r="L187" s="152">
        <f>+VLOOKUP(Opex_VE[[#This Row],[Fecha]],Opex!$B:$Y,OPEX_SALES!L$1,1)</f>
        <v>55000</v>
      </c>
      <c r="M187" s="153">
        <f>+SUM(Opex_VE[[#This Row],[Internet]:[Electricidad]])</f>
        <v>26378.966666666667</v>
      </c>
      <c r="N187" s="152">
        <f>+VLOOKUP(Opex_VE[[#This Row],[Fecha]],Opex!$B:$Y,OPEX_SALES!N$1,1)</f>
        <v>3500</v>
      </c>
      <c r="O187" s="152">
        <f>+VLOOKUP(Opex_VE[[#This Row],[Fecha]],Opex!$B:$Y,OPEX_SALES!O$1,1)</f>
        <v>8243.9666666666672</v>
      </c>
      <c r="P187" s="152">
        <f>+VLOOKUP(Opex_VE[[#This Row],[Fecha]],Opex!$B:$Y,OPEX_SALES!P$1,1)</f>
        <v>4000</v>
      </c>
      <c r="Q187" s="152">
        <f>+VLOOKUP(Opex_VE[[#This Row],[Fecha]],Opex!$B:$Y,OPEX_SALES!Q$1,1)</f>
        <v>10635</v>
      </c>
      <c r="R187" s="153">
        <f>+SUM(Opex_VE[[#This Row],[Cajero]:[Domiciliario]])</f>
        <v>140000</v>
      </c>
      <c r="S187" s="152">
        <v>70000</v>
      </c>
      <c r="T187" s="152">
        <v>70000</v>
      </c>
      <c r="U187" s="152">
        <v>0</v>
      </c>
      <c r="V187"/>
    </row>
    <row r="188" spans="1:22" x14ac:dyDescent="0.2">
      <c r="A188" s="149">
        <v>46251</v>
      </c>
      <c r="B188" s="3">
        <f t="shared" si="5"/>
        <v>26</v>
      </c>
      <c r="C188" s="3" t="str">
        <f>+TEXT(Opex_VE[[#This Row],[Fecha]],"ddd")</f>
        <v>lun</v>
      </c>
      <c r="E188" s="14" t="s">
        <v>112</v>
      </c>
      <c r="F188" s="168">
        <f>IFERROR(VLOOKUP(Opex_VE[[#This Row],[Fecha]],Historia!A:B,2,0),_xlfn.XLOOKUP(Opex_VE[[#This Row],[dia]],Forecast!I:I,Forecast!J:J))</f>
        <v>164375</v>
      </c>
      <c r="G188" s="168">
        <f>IFERROR(VLOOKUP(Opex_VE[[#This Row],[Fecha]],Historia!A:C,3,0),_xlfn.XLOOKUP(Opex_VE[[#This Row],[dia]],Forecast!I:I,Forecast!K:K))</f>
        <v>65750</v>
      </c>
      <c r="H188" s="182">
        <f>+Opex_VE[[#This Row],[MG]]-Opex_VE[[#This Row],[Opex]]</f>
        <v>-155628.96666666667</v>
      </c>
      <c r="I188" s="168" t="str">
        <f>IFERROR(VLOOKUP(Opex_VE[[#This Row],[Fecha]],Historia!A:D,4,0),"Forecast")</f>
        <v>Forecast</v>
      </c>
      <c r="J188" s="157">
        <f t="shared" si="4"/>
        <v>553447.41666666663</v>
      </c>
      <c r="K188" s="151">
        <f>+Opex_VE[[#This Row],[Arriendo]]+Opex_VE[[#This Row],[Servicios publicos]]+Opex_VE[[#This Row],[Nomina]]</f>
        <v>221378.96666666667</v>
      </c>
      <c r="L188" s="152">
        <f>+VLOOKUP(Opex_VE[[#This Row],[Fecha]],Opex!$B:$Y,OPEX_SALES!L$1,1)</f>
        <v>55000</v>
      </c>
      <c r="M188" s="153">
        <f>+SUM(Opex_VE[[#This Row],[Internet]:[Electricidad]])</f>
        <v>26378.966666666667</v>
      </c>
      <c r="N188" s="152">
        <f>+VLOOKUP(Opex_VE[[#This Row],[Fecha]],Opex!$B:$Y,OPEX_SALES!N$1,1)</f>
        <v>3500</v>
      </c>
      <c r="O188" s="152">
        <f>+VLOOKUP(Opex_VE[[#This Row],[Fecha]],Opex!$B:$Y,OPEX_SALES!O$1,1)</f>
        <v>8243.9666666666672</v>
      </c>
      <c r="P188" s="152">
        <f>+VLOOKUP(Opex_VE[[#This Row],[Fecha]],Opex!$B:$Y,OPEX_SALES!P$1,1)</f>
        <v>4000</v>
      </c>
      <c r="Q188" s="152">
        <f>+VLOOKUP(Opex_VE[[#This Row],[Fecha]],Opex!$B:$Y,OPEX_SALES!Q$1,1)</f>
        <v>10635</v>
      </c>
      <c r="R188" s="153">
        <f>+SUM(Opex_VE[[#This Row],[Cajero]:[Domiciliario]])</f>
        <v>140000</v>
      </c>
      <c r="S188" s="152">
        <v>70000</v>
      </c>
      <c r="T188" s="152">
        <v>70000</v>
      </c>
      <c r="U188" s="152">
        <v>0</v>
      </c>
      <c r="V188"/>
    </row>
    <row r="189" spans="1:22" x14ac:dyDescent="0.2">
      <c r="A189" s="149">
        <v>46252</v>
      </c>
      <c r="B189" s="3">
        <f t="shared" si="5"/>
        <v>26</v>
      </c>
      <c r="C189" s="3" t="str">
        <f>+TEXT(Opex_VE[[#This Row],[Fecha]],"ddd")</f>
        <v>mar</v>
      </c>
      <c r="E189" s="14" t="s">
        <v>112</v>
      </c>
      <c r="F189" s="168">
        <f>IFERROR(VLOOKUP(Opex_VE[[#This Row],[Fecha]],Historia!A:B,2,0),_xlfn.XLOOKUP(Opex_VE[[#This Row],[dia]],Forecast!I:I,Forecast!J:J))</f>
        <v>199625</v>
      </c>
      <c r="G189" s="168">
        <f>IFERROR(VLOOKUP(Opex_VE[[#This Row],[Fecha]],Historia!A:C,3,0),_xlfn.XLOOKUP(Opex_VE[[#This Row],[dia]],Forecast!I:I,Forecast!K:K))</f>
        <v>79850</v>
      </c>
      <c r="H189" s="182">
        <f>+Opex_VE[[#This Row],[MG]]-Opex_VE[[#This Row],[Opex]]</f>
        <v>-141528.96666666667</v>
      </c>
      <c r="I189" s="168" t="str">
        <f>IFERROR(VLOOKUP(Opex_VE[[#This Row],[Fecha]],Historia!A:D,4,0),"Forecast")</f>
        <v>Forecast</v>
      </c>
      <c r="J189" s="157">
        <f t="shared" si="4"/>
        <v>553447.41666666663</v>
      </c>
      <c r="K189" s="151">
        <f>+Opex_VE[[#This Row],[Arriendo]]+Opex_VE[[#This Row],[Servicios publicos]]+Opex_VE[[#This Row],[Nomina]]</f>
        <v>221378.96666666667</v>
      </c>
      <c r="L189" s="152">
        <f>+VLOOKUP(Opex_VE[[#This Row],[Fecha]],Opex!$B:$Y,OPEX_SALES!L$1,1)</f>
        <v>55000</v>
      </c>
      <c r="M189" s="153">
        <f>+SUM(Opex_VE[[#This Row],[Internet]:[Electricidad]])</f>
        <v>26378.966666666667</v>
      </c>
      <c r="N189" s="152">
        <f>+VLOOKUP(Opex_VE[[#This Row],[Fecha]],Opex!$B:$Y,OPEX_SALES!N$1,1)</f>
        <v>3500</v>
      </c>
      <c r="O189" s="152">
        <f>+VLOOKUP(Opex_VE[[#This Row],[Fecha]],Opex!$B:$Y,OPEX_SALES!O$1,1)</f>
        <v>8243.9666666666672</v>
      </c>
      <c r="P189" s="152">
        <f>+VLOOKUP(Opex_VE[[#This Row],[Fecha]],Opex!$B:$Y,OPEX_SALES!P$1,1)</f>
        <v>4000</v>
      </c>
      <c r="Q189" s="152">
        <f>+VLOOKUP(Opex_VE[[#This Row],[Fecha]],Opex!$B:$Y,OPEX_SALES!Q$1,1)</f>
        <v>10635</v>
      </c>
      <c r="R189" s="153">
        <f>+SUM(Opex_VE[[#This Row],[Cajero]:[Domiciliario]])</f>
        <v>140000</v>
      </c>
      <c r="S189" s="152">
        <v>70000</v>
      </c>
      <c r="T189" s="152">
        <v>70000</v>
      </c>
      <c r="U189" s="152">
        <v>0</v>
      </c>
      <c r="V189"/>
    </row>
    <row r="190" spans="1:22" x14ac:dyDescent="0.2">
      <c r="A190" s="149">
        <v>46253</v>
      </c>
      <c r="B190" s="3">
        <f t="shared" si="5"/>
        <v>26</v>
      </c>
      <c r="C190" s="3" t="str">
        <f>+TEXT(Opex_VE[[#This Row],[Fecha]],"ddd")</f>
        <v>mié</v>
      </c>
      <c r="E190" s="14" t="s">
        <v>112</v>
      </c>
      <c r="F190" s="168">
        <f>IFERROR(VLOOKUP(Opex_VE[[#This Row],[Fecha]],Historia!A:B,2,0),_xlfn.XLOOKUP(Opex_VE[[#This Row],[dia]],Forecast!I:I,Forecast!J:J))</f>
        <v>339250</v>
      </c>
      <c r="G190" s="168">
        <f>IFERROR(VLOOKUP(Opex_VE[[#This Row],[Fecha]],Historia!A:C,3,0),_xlfn.XLOOKUP(Opex_VE[[#This Row],[dia]],Forecast!I:I,Forecast!K:K))</f>
        <v>135700</v>
      </c>
      <c r="H190" s="182">
        <f>+Opex_VE[[#This Row],[MG]]-Opex_VE[[#This Row],[Opex]]</f>
        <v>-85678.966666666674</v>
      </c>
      <c r="I190" s="168" t="str">
        <f>IFERROR(VLOOKUP(Opex_VE[[#This Row],[Fecha]],Historia!A:D,4,0),"Forecast")</f>
        <v>Forecast</v>
      </c>
      <c r="J190" s="157">
        <f t="shared" si="4"/>
        <v>553447.41666666663</v>
      </c>
      <c r="K190" s="151">
        <f>+Opex_VE[[#This Row],[Arriendo]]+Opex_VE[[#This Row],[Servicios publicos]]+Opex_VE[[#This Row],[Nomina]]</f>
        <v>221378.96666666667</v>
      </c>
      <c r="L190" s="152">
        <f>+VLOOKUP(Opex_VE[[#This Row],[Fecha]],Opex!$B:$Y,OPEX_SALES!L$1,1)</f>
        <v>55000</v>
      </c>
      <c r="M190" s="153">
        <f>+SUM(Opex_VE[[#This Row],[Internet]:[Electricidad]])</f>
        <v>26378.966666666667</v>
      </c>
      <c r="N190" s="152">
        <f>+VLOOKUP(Opex_VE[[#This Row],[Fecha]],Opex!$B:$Y,OPEX_SALES!N$1,1)</f>
        <v>3500</v>
      </c>
      <c r="O190" s="152">
        <f>+VLOOKUP(Opex_VE[[#This Row],[Fecha]],Opex!$B:$Y,OPEX_SALES!O$1,1)</f>
        <v>8243.9666666666672</v>
      </c>
      <c r="P190" s="152">
        <f>+VLOOKUP(Opex_VE[[#This Row],[Fecha]],Opex!$B:$Y,OPEX_SALES!P$1,1)</f>
        <v>4000</v>
      </c>
      <c r="Q190" s="152">
        <f>+VLOOKUP(Opex_VE[[#This Row],[Fecha]],Opex!$B:$Y,OPEX_SALES!Q$1,1)</f>
        <v>10635</v>
      </c>
      <c r="R190" s="153">
        <f>+SUM(Opex_VE[[#This Row],[Cajero]:[Domiciliario]])</f>
        <v>140000</v>
      </c>
      <c r="S190" s="152">
        <v>70000</v>
      </c>
      <c r="T190" s="152">
        <v>70000</v>
      </c>
      <c r="U190" s="152">
        <v>0</v>
      </c>
      <c r="V190"/>
    </row>
    <row r="191" spans="1:22" x14ac:dyDescent="0.2">
      <c r="A191" s="149">
        <v>46254</v>
      </c>
      <c r="B191" s="3">
        <f t="shared" si="5"/>
        <v>26</v>
      </c>
      <c r="C191" s="3" t="str">
        <f>+TEXT(Opex_VE[[#This Row],[Fecha]],"ddd")</f>
        <v>jue</v>
      </c>
      <c r="E191" s="14" t="s">
        <v>112</v>
      </c>
      <c r="F191" s="168">
        <f>IFERROR(VLOOKUP(Opex_VE[[#This Row],[Fecha]],Historia!A:B,2,0),_xlfn.XLOOKUP(Opex_VE[[#This Row],[dia]],Forecast!I:I,Forecast!J:J))</f>
        <v>274975</v>
      </c>
      <c r="G191" s="168">
        <f>IFERROR(VLOOKUP(Opex_VE[[#This Row],[Fecha]],Historia!A:C,3,0),_xlfn.XLOOKUP(Opex_VE[[#This Row],[dia]],Forecast!I:I,Forecast!K:K))</f>
        <v>109990</v>
      </c>
      <c r="H191" s="182">
        <f>+Opex_VE[[#This Row],[MG]]-Opex_VE[[#This Row],[Opex]]</f>
        <v>-111388.96666666667</v>
      </c>
      <c r="I191" s="168" t="str">
        <f>IFERROR(VLOOKUP(Opex_VE[[#This Row],[Fecha]],Historia!A:D,4,0),"Forecast")</f>
        <v>Forecast</v>
      </c>
      <c r="J191" s="157">
        <f t="shared" si="4"/>
        <v>553447.41666666663</v>
      </c>
      <c r="K191" s="151">
        <f>+Opex_VE[[#This Row],[Arriendo]]+Opex_VE[[#This Row],[Servicios publicos]]+Opex_VE[[#This Row],[Nomina]]</f>
        <v>221378.96666666667</v>
      </c>
      <c r="L191" s="152">
        <f>+VLOOKUP(Opex_VE[[#This Row],[Fecha]],Opex!$B:$Y,OPEX_SALES!L$1,1)</f>
        <v>55000</v>
      </c>
      <c r="M191" s="153">
        <f>+SUM(Opex_VE[[#This Row],[Internet]:[Electricidad]])</f>
        <v>26378.966666666667</v>
      </c>
      <c r="N191" s="152">
        <f>+VLOOKUP(Opex_VE[[#This Row],[Fecha]],Opex!$B:$Y,OPEX_SALES!N$1,1)</f>
        <v>3500</v>
      </c>
      <c r="O191" s="152">
        <f>+VLOOKUP(Opex_VE[[#This Row],[Fecha]],Opex!$B:$Y,OPEX_SALES!O$1,1)</f>
        <v>8243.9666666666672</v>
      </c>
      <c r="P191" s="152">
        <f>+VLOOKUP(Opex_VE[[#This Row],[Fecha]],Opex!$B:$Y,OPEX_SALES!P$1,1)</f>
        <v>4000</v>
      </c>
      <c r="Q191" s="152">
        <f>+VLOOKUP(Opex_VE[[#This Row],[Fecha]],Opex!$B:$Y,OPEX_SALES!Q$1,1)</f>
        <v>10635</v>
      </c>
      <c r="R191" s="153">
        <f>+SUM(Opex_VE[[#This Row],[Cajero]:[Domiciliario]])</f>
        <v>140000</v>
      </c>
      <c r="S191" s="152">
        <v>70000</v>
      </c>
      <c r="T191" s="152">
        <v>70000</v>
      </c>
      <c r="U191" s="152">
        <v>0</v>
      </c>
      <c r="V191"/>
    </row>
    <row r="192" spans="1:22" x14ac:dyDescent="0.2">
      <c r="A192" s="149">
        <v>46255</v>
      </c>
      <c r="B192" s="3">
        <f t="shared" si="5"/>
        <v>26</v>
      </c>
      <c r="C192" s="3" t="str">
        <f>+TEXT(Opex_VE[[#This Row],[Fecha]],"ddd")</f>
        <v>vie</v>
      </c>
      <c r="E192" s="14" t="s">
        <v>217</v>
      </c>
      <c r="F192" s="168">
        <f>IFERROR(VLOOKUP(Opex_VE[[#This Row],[Fecha]],Historia!A:B,2,0),_xlfn.XLOOKUP(Opex_VE[[#This Row],[dia]],Forecast!I:I,Forecast!J:J))</f>
        <v>184566.66666666666</v>
      </c>
      <c r="G192" s="168">
        <f>IFERROR(VLOOKUP(Opex_VE[[#This Row],[Fecha]],Historia!A:C,3,0),_xlfn.XLOOKUP(Opex_VE[[#This Row],[dia]],Forecast!I:I,Forecast!K:K))</f>
        <v>73826.666666666672</v>
      </c>
      <c r="H192" s="182">
        <f>+Opex_VE[[#This Row],[MG]]-Opex_VE[[#This Row],[Opex]]</f>
        <v>-147552.29999999999</v>
      </c>
      <c r="I192" s="168" t="str">
        <f>IFERROR(VLOOKUP(Opex_VE[[#This Row],[Fecha]],Historia!A:D,4,0),"Forecast")</f>
        <v>Forecast</v>
      </c>
      <c r="J192" s="157">
        <f t="shared" si="4"/>
        <v>553447.41666666663</v>
      </c>
      <c r="K192" s="151">
        <f>+Opex_VE[[#This Row],[Arriendo]]+Opex_VE[[#This Row],[Servicios publicos]]+Opex_VE[[#This Row],[Nomina]]</f>
        <v>221378.96666666667</v>
      </c>
      <c r="L192" s="152">
        <f>+VLOOKUP(Opex_VE[[#This Row],[Fecha]],Opex!$B:$Y,OPEX_SALES!L$1,1)</f>
        <v>55000</v>
      </c>
      <c r="M192" s="153">
        <f>+SUM(Opex_VE[[#This Row],[Internet]:[Electricidad]])</f>
        <v>26378.966666666667</v>
      </c>
      <c r="N192" s="152">
        <f>+VLOOKUP(Opex_VE[[#This Row],[Fecha]],Opex!$B:$Y,OPEX_SALES!N$1,1)</f>
        <v>3500</v>
      </c>
      <c r="O192" s="152">
        <f>+VLOOKUP(Opex_VE[[#This Row],[Fecha]],Opex!$B:$Y,OPEX_SALES!O$1,1)</f>
        <v>8243.9666666666672</v>
      </c>
      <c r="P192" s="152">
        <f>+VLOOKUP(Opex_VE[[#This Row],[Fecha]],Opex!$B:$Y,OPEX_SALES!P$1,1)</f>
        <v>4000</v>
      </c>
      <c r="Q192" s="152">
        <f>+VLOOKUP(Opex_VE[[#This Row],[Fecha]],Opex!$B:$Y,OPEX_SALES!Q$1,1)</f>
        <v>10635</v>
      </c>
      <c r="R192" s="153">
        <f>+SUM(Opex_VE[[#This Row],[Cajero]:[Domiciliario]])</f>
        <v>140000</v>
      </c>
      <c r="S192" s="152">
        <v>70000</v>
      </c>
      <c r="T192" s="152">
        <v>70000</v>
      </c>
      <c r="U192" s="152">
        <v>0</v>
      </c>
      <c r="V192"/>
    </row>
    <row r="193" spans="1:22" x14ac:dyDescent="0.2">
      <c r="A193" s="149">
        <v>46256</v>
      </c>
      <c r="B193" s="3">
        <f t="shared" si="5"/>
        <v>26</v>
      </c>
      <c r="C193" s="3" t="str">
        <f>+TEXT(Opex_VE[[#This Row],[Fecha]],"ddd")</f>
        <v>sáb</v>
      </c>
      <c r="E193" s="14" t="s">
        <v>113</v>
      </c>
      <c r="F193" s="168">
        <f>IFERROR(VLOOKUP(Opex_VE[[#This Row],[Fecha]],Historia!A:B,2,0),_xlfn.XLOOKUP(Opex_VE[[#This Row],[dia]],Forecast!I:I,Forecast!J:J))</f>
        <v>398333.33333333331</v>
      </c>
      <c r="G193" s="168">
        <f>IFERROR(VLOOKUP(Opex_VE[[#This Row],[Fecha]],Historia!A:C,3,0),_xlfn.XLOOKUP(Opex_VE[[#This Row],[dia]],Forecast!I:I,Forecast!K:K))</f>
        <v>159333.33333333334</v>
      </c>
      <c r="H193" s="182">
        <f>+Opex_VE[[#This Row],[MG]]-Opex_VE[[#This Row],[Opex]]</f>
        <v>-62045.633333333331</v>
      </c>
      <c r="I193" s="169" t="str">
        <f>IFERROR(VLOOKUP(Opex_VE[[#This Row],[Fecha]],Historia!A:D,4,0),"Forecast")</f>
        <v>Forecast</v>
      </c>
      <c r="J193" s="157">
        <f t="shared" si="4"/>
        <v>553447.41666666663</v>
      </c>
      <c r="K193" s="151">
        <f>+Opex_VE[[#This Row],[Arriendo]]+Opex_VE[[#This Row],[Servicios publicos]]+Opex_VE[[#This Row],[Nomina]]</f>
        <v>221378.96666666667</v>
      </c>
      <c r="L193" s="152">
        <f>+VLOOKUP(Opex_VE[[#This Row],[Fecha]],Opex!$B:$Y,OPEX_SALES!L$1,1)</f>
        <v>55000</v>
      </c>
      <c r="M193" s="153">
        <f>+SUM(Opex_VE[[#This Row],[Internet]:[Electricidad]])</f>
        <v>26378.966666666667</v>
      </c>
      <c r="N193" s="152">
        <f>+VLOOKUP(Opex_VE[[#This Row],[Fecha]],Opex!$B:$Y,OPEX_SALES!N$1,1)</f>
        <v>3500</v>
      </c>
      <c r="O193" s="152">
        <f>+VLOOKUP(Opex_VE[[#This Row],[Fecha]],Opex!$B:$Y,OPEX_SALES!O$1,1)</f>
        <v>8243.9666666666672</v>
      </c>
      <c r="P193" s="152">
        <f>+VLOOKUP(Opex_VE[[#This Row],[Fecha]],Opex!$B:$Y,OPEX_SALES!P$1,1)</f>
        <v>4000</v>
      </c>
      <c r="Q193" s="152">
        <f>+VLOOKUP(Opex_VE[[#This Row],[Fecha]],Opex!$B:$Y,OPEX_SALES!Q$1,1)</f>
        <v>10635</v>
      </c>
      <c r="R193" s="153">
        <f>+SUM(Opex_VE[[#This Row],[Cajero]:[Domiciliario]])</f>
        <v>140000</v>
      </c>
      <c r="S193" s="152">
        <v>70000</v>
      </c>
      <c r="T193" s="152">
        <v>70000</v>
      </c>
      <c r="U193" s="152">
        <v>0</v>
      </c>
      <c r="V193"/>
    </row>
    <row r="194" spans="1:22" x14ac:dyDescent="0.2">
      <c r="A194" s="149">
        <v>46257</v>
      </c>
      <c r="B194" s="3">
        <f t="shared" si="5"/>
        <v>26</v>
      </c>
      <c r="C194" s="3" t="str">
        <f>+TEXT(Opex_VE[[#This Row],[Fecha]],"ddd")</f>
        <v>dom</v>
      </c>
      <c r="E194" s="14" t="s">
        <v>145</v>
      </c>
      <c r="F194" s="168">
        <f>IFERROR(VLOOKUP(Opex_VE[[#This Row],[Fecha]],Historia!A:B,2,0),_xlfn.XLOOKUP(Opex_VE[[#This Row],[dia]],Forecast!I:I,Forecast!J:J))</f>
        <v>168750</v>
      </c>
      <c r="G194" s="168">
        <f>IFERROR(VLOOKUP(Opex_VE[[#This Row],[Fecha]],Historia!A:C,3,0),_xlfn.XLOOKUP(Opex_VE[[#This Row],[dia]],Forecast!I:I,Forecast!K:K))</f>
        <v>67500</v>
      </c>
      <c r="H194" s="182">
        <f>+Opex_VE[[#This Row],[MG]]-Opex_VE[[#This Row],[Opex]]</f>
        <v>-153878.96666666667</v>
      </c>
      <c r="I194" s="168" t="str">
        <f>IFERROR(VLOOKUP(Opex_VE[[#This Row],[Fecha]],Historia!A:D,4,0),"Forecast")</f>
        <v>Forecast</v>
      </c>
      <c r="J194" s="157">
        <f t="shared" si="4"/>
        <v>553447.41666666663</v>
      </c>
      <c r="K194" s="151">
        <f>+Opex_VE[[#This Row],[Arriendo]]+Opex_VE[[#This Row],[Servicios publicos]]+Opex_VE[[#This Row],[Nomina]]</f>
        <v>221378.96666666667</v>
      </c>
      <c r="L194" s="152">
        <f>+VLOOKUP(Opex_VE[[#This Row],[Fecha]],Opex!$B:$Y,OPEX_SALES!L$1,1)</f>
        <v>55000</v>
      </c>
      <c r="M194" s="153">
        <f>+SUM(Opex_VE[[#This Row],[Internet]:[Electricidad]])</f>
        <v>26378.966666666667</v>
      </c>
      <c r="N194" s="152">
        <f>+VLOOKUP(Opex_VE[[#This Row],[Fecha]],Opex!$B:$Y,OPEX_SALES!N$1,1)</f>
        <v>3500</v>
      </c>
      <c r="O194" s="152">
        <f>+VLOOKUP(Opex_VE[[#This Row],[Fecha]],Opex!$B:$Y,OPEX_SALES!O$1,1)</f>
        <v>8243.9666666666672</v>
      </c>
      <c r="P194" s="152">
        <f>+VLOOKUP(Opex_VE[[#This Row],[Fecha]],Opex!$B:$Y,OPEX_SALES!P$1,1)</f>
        <v>4000</v>
      </c>
      <c r="Q194" s="152">
        <f>+VLOOKUP(Opex_VE[[#This Row],[Fecha]],Opex!$B:$Y,OPEX_SALES!Q$1,1)</f>
        <v>10635</v>
      </c>
      <c r="R194" s="153">
        <f>+SUM(Opex_VE[[#This Row],[Cajero]:[Domiciliario]])</f>
        <v>140000</v>
      </c>
      <c r="S194" s="152">
        <v>70000</v>
      </c>
      <c r="T194" s="152">
        <v>70000</v>
      </c>
      <c r="U194" s="152">
        <v>0</v>
      </c>
      <c r="V194"/>
    </row>
    <row r="195" spans="1:22" x14ac:dyDescent="0.2">
      <c r="A195" s="149">
        <v>46258</v>
      </c>
      <c r="B195" s="3">
        <f t="shared" si="5"/>
        <v>27</v>
      </c>
      <c r="C195" s="3" t="str">
        <f>+TEXT(Opex_VE[[#This Row],[Fecha]],"ddd")</f>
        <v>lun</v>
      </c>
      <c r="E195" s="14" t="s">
        <v>112</v>
      </c>
      <c r="F195" s="168">
        <f>IFERROR(VLOOKUP(Opex_VE[[#This Row],[Fecha]],Historia!A:B,2,0),_xlfn.XLOOKUP(Opex_VE[[#This Row],[dia]],Forecast!I:I,Forecast!J:J))</f>
        <v>164375</v>
      </c>
      <c r="G195" s="168">
        <f>IFERROR(VLOOKUP(Opex_VE[[#This Row],[Fecha]],Historia!A:C,3,0),_xlfn.XLOOKUP(Opex_VE[[#This Row],[dia]],Forecast!I:I,Forecast!K:K))</f>
        <v>65750</v>
      </c>
      <c r="H195" s="182">
        <f>+Opex_VE[[#This Row],[MG]]-Opex_VE[[#This Row],[Opex]]</f>
        <v>-155628.96666666667</v>
      </c>
      <c r="I195" s="168" t="str">
        <f>IFERROR(VLOOKUP(Opex_VE[[#This Row],[Fecha]],Historia!A:D,4,0),"Forecast")</f>
        <v>Forecast</v>
      </c>
      <c r="J195" s="157">
        <f t="shared" si="4"/>
        <v>553447.41666666663</v>
      </c>
      <c r="K195" s="151">
        <f>+Opex_VE[[#This Row],[Arriendo]]+Opex_VE[[#This Row],[Servicios publicos]]+Opex_VE[[#This Row],[Nomina]]</f>
        <v>221378.96666666667</v>
      </c>
      <c r="L195" s="152">
        <f>+VLOOKUP(Opex_VE[[#This Row],[Fecha]],Opex!$B:$Y,OPEX_SALES!L$1,1)</f>
        <v>55000</v>
      </c>
      <c r="M195" s="153">
        <f>+SUM(Opex_VE[[#This Row],[Internet]:[Electricidad]])</f>
        <v>26378.966666666667</v>
      </c>
      <c r="N195" s="152">
        <f>+VLOOKUP(Opex_VE[[#This Row],[Fecha]],Opex!$B:$Y,OPEX_SALES!N$1,1)</f>
        <v>3500</v>
      </c>
      <c r="O195" s="152">
        <f>+VLOOKUP(Opex_VE[[#This Row],[Fecha]],Opex!$B:$Y,OPEX_SALES!O$1,1)</f>
        <v>8243.9666666666672</v>
      </c>
      <c r="P195" s="152">
        <f>+VLOOKUP(Opex_VE[[#This Row],[Fecha]],Opex!$B:$Y,OPEX_SALES!P$1,1)</f>
        <v>4000</v>
      </c>
      <c r="Q195" s="152">
        <f>+VLOOKUP(Opex_VE[[#This Row],[Fecha]],Opex!$B:$Y,OPEX_SALES!Q$1,1)</f>
        <v>10635</v>
      </c>
      <c r="R195" s="153">
        <f>+SUM(Opex_VE[[#This Row],[Cajero]:[Domiciliario]])</f>
        <v>140000</v>
      </c>
      <c r="S195" s="152">
        <v>70000</v>
      </c>
      <c r="T195" s="152">
        <v>70000</v>
      </c>
      <c r="U195" s="152">
        <v>0</v>
      </c>
      <c r="V195"/>
    </row>
    <row r="196" spans="1:22" x14ac:dyDescent="0.2">
      <c r="A196" s="149">
        <v>46259</v>
      </c>
      <c r="B196" s="3">
        <f t="shared" si="5"/>
        <v>27</v>
      </c>
      <c r="C196" s="3" t="str">
        <f>+TEXT(Opex_VE[[#This Row],[Fecha]],"ddd")</f>
        <v>mar</v>
      </c>
      <c r="E196" s="14" t="s">
        <v>112</v>
      </c>
      <c r="F196" s="168">
        <f>IFERROR(VLOOKUP(Opex_VE[[#This Row],[Fecha]],Historia!A:B,2,0),_xlfn.XLOOKUP(Opex_VE[[#This Row],[dia]],Forecast!I:I,Forecast!J:J))</f>
        <v>199625</v>
      </c>
      <c r="G196" s="168">
        <f>IFERROR(VLOOKUP(Opex_VE[[#This Row],[Fecha]],Historia!A:C,3,0),_xlfn.XLOOKUP(Opex_VE[[#This Row],[dia]],Forecast!I:I,Forecast!K:K))</f>
        <v>79850</v>
      </c>
      <c r="H196" s="182">
        <f>+Opex_VE[[#This Row],[MG]]-Opex_VE[[#This Row],[Opex]]</f>
        <v>-141528.96666666667</v>
      </c>
      <c r="I196" s="168" t="str">
        <f>IFERROR(VLOOKUP(Opex_VE[[#This Row],[Fecha]],Historia!A:D,4,0),"Forecast")</f>
        <v>Forecast</v>
      </c>
      <c r="J196" s="157">
        <f t="shared" si="4"/>
        <v>553447.41666666663</v>
      </c>
      <c r="K196" s="151">
        <f>+Opex_VE[[#This Row],[Arriendo]]+Opex_VE[[#This Row],[Servicios publicos]]+Opex_VE[[#This Row],[Nomina]]</f>
        <v>221378.96666666667</v>
      </c>
      <c r="L196" s="152">
        <f>+VLOOKUP(Opex_VE[[#This Row],[Fecha]],Opex!$B:$Y,OPEX_SALES!L$1,1)</f>
        <v>55000</v>
      </c>
      <c r="M196" s="153">
        <f>+SUM(Opex_VE[[#This Row],[Internet]:[Electricidad]])</f>
        <v>26378.966666666667</v>
      </c>
      <c r="N196" s="152">
        <f>+VLOOKUP(Opex_VE[[#This Row],[Fecha]],Opex!$B:$Y,OPEX_SALES!N$1,1)</f>
        <v>3500</v>
      </c>
      <c r="O196" s="152">
        <f>+VLOOKUP(Opex_VE[[#This Row],[Fecha]],Opex!$B:$Y,OPEX_SALES!O$1,1)</f>
        <v>8243.9666666666672</v>
      </c>
      <c r="P196" s="152">
        <f>+VLOOKUP(Opex_VE[[#This Row],[Fecha]],Opex!$B:$Y,OPEX_SALES!P$1,1)</f>
        <v>4000</v>
      </c>
      <c r="Q196" s="152">
        <f>+VLOOKUP(Opex_VE[[#This Row],[Fecha]],Opex!$B:$Y,OPEX_SALES!Q$1,1)</f>
        <v>10635</v>
      </c>
      <c r="R196" s="153">
        <f>+SUM(Opex_VE[[#This Row],[Cajero]:[Domiciliario]])</f>
        <v>140000</v>
      </c>
      <c r="S196" s="152">
        <v>70000</v>
      </c>
      <c r="T196" s="152">
        <v>70000</v>
      </c>
      <c r="U196" s="152">
        <v>0</v>
      </c>
      <c r="V196"/>
    </row>
    <row r="197" spans="1:22" x14ac:dyDescent="0.2">
      <c r="A197" s="149">
        <v>46260</v>
      </c>
      <c r="B197" s="3">
        <f t="shared" si="5"/>
        <v>27</v>
      </c>
      <c r="C197" s="3" t="str">
        <f>+TEXT(Opex_VE[[#This Row],[Fecha]],"ddd")</f>
        <v>mié</v>
      </c>
      <c r="E197" s="14" t="s">
        <v>112</v>
      </c>
      <c r="F197" s="168">
        <f>IFERROR(VLOOKUP(Opex_VE[[#This Row],[Fecha]],Historia!A:B,2,0),_xlfn.XLOOKUP(Opex_VE[[#This Row],[dia]],Forecast!I:I,Forecast!J:J))</f>
        <v>339250</v>
      </c>
      <c r="G197" s="168">
        <f>IFERROR(VLOOKUP(Opex_VE[[#This Row],[Fecha]],Historia!A:C,3,0),_xlfn.XLOOKUP(Opex_VE[[#This Row],[dia]],Forecast!I:I,Forecast!K:K))</f>
        <v>135700</v>
      </c>
      <c r="H197" s="182">
        <f>+Opex_VE[[#This Row],[MG]]-Opex_VE[[#This Row],[Opex]]</f>
        <v>-85678.966666666674</v>
      </c>
      <c r="I197" s="168" t="str">
        <f>IFERROR(VLOOKUP(Opex_VE[[#This Row],[Fecha]],Historia!A:D,4,0),"Forecast")</f>
        <v>Forecast</v>
      </c>
      <c r="J197" s="157">
        <f t="shared" si="4"/>
        <v>553447.41666666663</v>
      </c>
      <c r="K197" s="151">
        <f>+Opex_VE[[#This Row],[Arriendo]]+Opex_VE[[#This Row],[Servicios publicos]]+Opex_VE[[#This Row],[Nomina]]</f>
        <v>221378.96666666667</v>
      </c>
      <c r="L197" s="152">
        <f>+VLOOKUP(Opex_VE[[#This Row],[Fecha]],Opex!$B:$Y,OPEX_SALES!L$1,1)</f>
        <v>55000</v>
      </c>
      <c r="M197" s="153">
        <f>+SUM(Opex_VE[[#This Row],[Internet]:[Electricidad]])</f>
        <v>26378.966666666667</v>
      </c>
      <c r="N197" s="152">
        <f>+VLOOKUP(Opex_VE[[#This Row],[Fecha]],Opex!$B:$Y,OPEX_SALES!N$1,1)</f>
        <v>3500</v>
      </c>
      <c r="O197" s="152">
        <f>+VLOOKUP(Opex_VE[[#This Row],[Fecha]],Opex!$B:$Y,OPEX_SALES!O$1,1)</f>
        <v>8243.9666666666672</v>
      </c>
      <c r="P197" s="152">
        <f>+VLOOKUP(Opex_VE[[#This Row],[Fecha]],Opex!$B:$Y,OPEX_SALES!P$1,1)</f>
        <v>4000</v>
      </c>
      <c r="Q197" s="152">
        <f>+VLOOKUP(Opex_VE[[#This Row],[Fecha]],Opex!$B:$Y,OPEX_SALES!Q$1,1)</f>
        <v>10635</v>
      </c>
      <c r="R197" s="153">
        <f>+SUM(Opex_VE[[#This Row],[Cajero]:[Domiciliario]])</f>
        <v>140000</v>
      </c>
      <c r="S197" s="152">
        <v>70000</v>
      </c>
      <c r="T197" s="152">
        <v>70000</v>
      </c>
      <c r="U197" s="152">
        <v>0</v>
      </c>
      <c r="V197"/>
    </row>
    <row r="198" spans="1:22" x14ac:dyDescent="0.2">
      <c r="A198" s="149">
        <v>46261</v>
      </c>
      <c r="B198" s="3">
        <f t="shared" si="5"/>
        <v>27</v>
      </c>
      <c r="C198" s="3" t="str">
        <f>+TEXT(Opex_VE[[#This Row],[Fecha]],"ddd")</f>
        <v>jue</v>
      </c>
      <c r="E198" s="14" t="s">
        <v>112</v>
      </c>
      <c r="F198" s="168">
        <f>IFERROR(VLOOKUP(Opex_VE[[#This Row],[Fecha]],Historia!A:B,2,0),_xlfn.XLOOKUP(Opex_VE[[#This Row],[dia]],Forecast!I:I,Forecast!J:J))</f>
        <v>274975</v>
      </c>
      <c r="G198" s="168">
        <f>IFERROR(VLOOKUP(Opex_VE[[#This Row],[Fecha]],Historia!A:C,3,0),_xlfn.XLOOKUP(Opex_VE[[#This Row],[dia]],Forecast!I:I,Forecast!K:K))</f>
        <v>109990</v>
      </c>
      <c r="H198" s="182">
        <f>+Opex_VE[[#This Row],[MG]]-Opex_VE[[#This Row],[Opex]]</f>
        <v>-111388.96666666667</v>
      </c>
      <c r="I198" s="168" t="str">
        <f>IFERROR(VLOOKUP(Opex_VE[[#This Row],[Fecha]],Historia!A:D,4,0),"Forecast")</f>
        <v>Forecast</v>
      </c>
      <c r="J198" s="157">
        <f t="shared" si="4"/>
        <v>553447.41666666663</v>
      </c>
      <c r="K198" s="151">
        <f>+Opex_VE[[#This Row],[Arriendo]]+Opex_VE[[#This Row],[Servicios publicos]]+Opex_VE[[#This Row],[Nomina]]</f>
        <v>221378.96666666667</v>
      </c>
      <c r="L198" s="152">
        <f>+VLOOKUP(Opex_VE[[#This Row],[Fecha]],Opex!$B:$Y,OPEX_SALES!L$1,1)</f>
        <v>55000</v>
      </c>
      <c r="M198" s="153">
        <f>+SUM(Opex_VE[[#This Row],[Internet]:[Electricidad]])</f>
        <v>26378.966666666667</v>
      </c>
      <c r="N198" s="152">
        <f>+VLOOKUP(Opex_VE[[#This Row],[Fecha]],Opex!$B:$Y,OPEX_SALES!N$1,1)</f>
        <v>3500</v>
      </c>
      <c r="O198" s="152">
        <f>+VLOOKUP(Opex_VE[[#This Row],[Fecha]],Opex!$B:$Y,OPEX_SALES!O$1,1)</f>
        <v>8243.9666666666672</v>
      </c>
      <c r="P198" s="152">
        <f>+VLOOKUP(Opex_VE[[#This Row],[Fecha]],Opex!$B:$Y,OPEX_SALES!P$1,1)</f>
        <v>4000</v>
      </c>
      <c r="Q198" s="152">
        <f>+VLOOKUP(Opex_VE[[#This Row],[Fecha]],Opex!$B:$Y,OPEX_SALES!Q$1,1)</f>
        <v>10635</v>
      </c>
      <c r="R198" s="153">
        <f>+SUM(Opex_VE[[#This Row],[Cajero]:[Domiciliario]])</f>
        <v>140000</v>
      </c>
      <c r="S198" s="152">
        <v>70000</v>
      </c>
      <c r="T198" s="152">
        <v>70000</v>
      </c>
      <c r="U198" s="152">
        <v>0</v>
      </c>
      <c r="V198"/>
    </row>
    <row r="199" spans="1:22" x14ac:dyDescent="0.2">
      <c r="A199" s="149">
        <v>46262</v>
      </c>
      <c r="B199" s="3">
        <f t="shared" si="5"/>
        <v>27</v>
      </c>
      <c r="C199" s="3" t="str">
        <f>+TEXT(Opex_VE[[#This Row],[Fecha]],"ddd")</f>
        <v>vie</v>
      </c>
      <c r="E199" s="14" t="s">
        <v>217</v>
      </c>
      <c r="F199" s="168">
        <f>IFERROR(VLOOKUP(Opex_VE[[#This Row],[Fecha]],Historia!A:B,2,0),_xlfn.XLOOKUP(Opex_VE[[#This Row],[dia]],Forecast!I:I,Forecast!J:J))</f>
        <v>184566.66666666666</v>
      </c>
      <c r="G199" s="168">
        <f>IFERROR(VLOOKUP(Opex_VE[[#This Row],[Fecha]],Historia!A:C,3,0),_xlfn.XLOOKUP(Opex_VE[[#This Row],[dia]],Forecast!I:I,Forecast!K:K))</f>
        <v>73826.666666666672</v>
      </c>
      <c r="H199" s="182">
        <f>+Opex_VE[[#This Row],[MG]]-Opex_VE[[#This Row],[Opex]]</f>
        <v>-147552.29999999999</v>
      </c>
      <c r="I199" s="168" t="str">
        <f>IFERROR(VLOOKUP(Opex_VE[[#This Row],[Fecha]],Historia!A:D,4,0),"Forecast")</f>
        <v>Forecast</v>
      </c>
      <c r="J199" s="157">
        <f t="shared" si="4"/>
        <v>553447.41666666663</v>
      </c>
      <c r="K199" s="151">
        <f>+Opex_VE[[#This Row],[Arriendo]]+Opex_VE[[#This Row],[Servicios publicos]]+Opex_VE[[#This Row],[Nomina]]</f>
        <v>221378.96666666667</v>
      </c>
      <c r="L199" s="152">
        <f>+VLOOKUP(Opex_VE[[#This Row],[Fecha]],Opex!$B:$Y,OPEX_SALES!L$1,1)</f>
        <v>55000</v>
      </c>
      <c r="M199" s="153">
        <f>+SUM(Opex_VE[[#This Row],[Internet]:[Electricidad]])</f>
        <v>26378.966666666667</v>
      </c>
      <c r="N199" s="152">
        <f>+VLOOKUP(Opex_VE[[#This Row],[Fecha]],Opex!$B:$Y,OPEX_SALES!N$1,1)</f>
        <v>3500</v>
      </c>
      <c r="O199" s="152">
        <f>+VLOOKUP(Opex_VE[[#This Row],[Fecha]],Opex!$B:$Y,OPEX_SALES!O$1,1)</f>
        <v>8243.9666666666672</v>
      </c>
      <c r="P199" s="152">
        <f>+VLOOKUP(Opex_VE[[#This Row],[Fecha]],Opex!$B:$Y,OPEX_SALES!P$1,1)</f>
        <v>4000</v>
      </c>
      <c r="Q199" s="152">
        <f>+VLOOKUP(Opex_VE[[#This Row],[Fecha]],Opex!$B:$Y,OPEX_SALES!Q$1,1)</f>
        <v>10635</v>
      </c>
      <c r="R199" s="153">
        <f>+SUM(Opex_VE[[#This Row],[Cajero]:[Domiciliario]])</f>
        <v>140000</v>
      </c>
      <c r="S199" s="152">
        <v>70000</v>
      </c>
      <c r="T199" s="152">
        <v>70000</v>
      </c>
      <c r="U199" s="152">
        <v>0</v>
      </c>
      <c r="V199"/>
    </row>
    <row r="200" spans="1:22" x14ac:dyDescent="0.2">
      <c r="A200" s="149">
        <v>46263</v>
      </c>
      <c r="B200" s="3">
        <f t="shared" si="5"/>
        <v>27</v>
      </c>
      <c r="C200" s="3" t="str">
        <f>+TEXT(Opex_VE[[#This Row],[Fecha]],"ddd")</f>
        <v>sáb</v>
      </c>
      <c r="E200" s="14" t="s">
        <v>113</v>
      </c>
      <c r="F200" s="168">
        <f>IFERROR(VLOOKUP(Opex_VE[[#This Row],[Fecha]],Historia!A:B,2,0),_xlfn.XLOOKUP(Opex_VE[[#This Row],[dia]],Forecast!I:I,Forecast!J:J))</f>
        <v>398333.33333333331</v>
      </c>
      <c r="G200" s="168">
        <f>IFERROR(VLOOKUP(Opex_VE[[#This Row],[Fecha]],Historia!A:C,3,0),_xlfn.XLOOKUP(Opex_VE[[#This Row],[dia]],Forecast!I:I,Forecast!K:K))</f>
        <v>159333.33333333334</v>
      </c>
      <c r="H200" s="182">
        <f>+Opex_VE[[#This Row],[MG]]-Opex_VE[[#This Row],[Opex]]</f>
        <v>-62045.633333333331</v>
      </c>
      <c r="I200" s="169" t="str">
        <f>IFERROR(VLOOKUP(Opex_VE[[#This Row],[Fecha]],Historia!A:D,4,0),"Forecast")</f>
        <v>Forecast</v>
      </c>
      <c r="J200" s="157">
        <f t="shared" si="4"/>
        <v>553447.41666666663</v>
      </c>
      <c r="K200" s="151">
        <f>+Opex_VE[[#This Row],[Arriendo]]+Opex_VE[[#This Row],[Servicios publicos]]+Opex_VE[[#This Row],[Nomina]]</f>
        <v>221378.96666666667</v>
      </c>
      <c r="L200" s="152">
        <f>+VLOOKUP(Opex_VE[[#This Row],[Fecha]],Opex!$B:$Y,OPEX_SALES!L$1,1)</f>
        <v>55000</v>
      </c>
      <c r="M200" s="153">
        <f>+SUM(Opex_VE[[#This Row],[Internet]:[Electricidad]])</f>
        <v>26378.966666666667</v>
      </c>
      <c r="N200" s="152">
        <f>+VLOOKUP(Opex_VE[[#This Row],[Fecha]],Opex!$B:$Y,OPEX_SALES!N$1,1)</f>
        <v>3500</v>
      </c>
      <c r="O200" s="152">
        <f>+VLOOKUP(Opex_VE[[#This Row],[Fecha]],Opex!$B:$Y,OPEX_SALES!O$1,1)</f>
        <v>8243.9666666666672</v>
      </c>
      <c r="P200" s="152">
        <f>+VLOOKUP(Opex_VE[[#This Row],[Fecha]],Opex!$B:$Y,OPEX_SALES!P$1,1)</f>
        <v>4000</v>
      </c>
      <c r="Q200" s="152">
        <f>+VLOOKUP(Opex_VE[[#This Row],[Fecha]],Opex!$B:$Y,OPEX_SALES!Q$1,1)</f>
        <v>10635</v>
      </c>
      <c r="R200" s="153">
        <f>+SUM(Opex_VE[[#This Row],[Cajero]:[Domiciliario]])</f>
        <v>140000</v>
      </c>
      <c r="S200" s="152">
        <v>70000</v>
      </c>
      <c r="T200" s="152">
        <v>70000</v>
      </c>
      <c r="U200" s="152">
        <v>0</v>
      </c>
      <c r="V200"/>
    </row>
    <row r="201" spans="1:22" x14ac:dyDescent="0.2">
      <c r="A201" s="149">
        <v>46264</v>
      </c>
      <c r="B201" s="3">
        <f t="shared" si="5"/>
        <v>27</v>
      </c>
      <c r="C201" s="3" t="str">
        <f>+TEXT(Opex_VE[[#This Row],[Fecha]],"ddd")</f>
        <v>dom</v>
      </c>
      <c r="E201" s="14" t="s">
        <v>145</v>
      </c>
      <c r="F201" s="168">
        <f>IFERROR(VLOOKUP(Opex_VE[[#This Row],[Fecha]],Historia!A:B,2,0),_xlfn.XLOOKUP(Opex_VE[[#This Row],[dia]],Forecast!I:I,Forecast!J:J))</f>
        <v>168750</v>
      </c>
      <c r="G201" s="168">
        <f>IFERROR(VLOOKUP(Opex_VE[[#This Row],[Fecha]],Historia!A:C,3,0),_xlfn.XLOOKUP(Opex_VE[[#This Row],[dia]],Forecast!I:I,Forecast!K:K))</f>
        <v>67500</v>
      </c>
      <c r="H201" s="182">
        <f>+Opex_VE[[#This Row],[MG]]-Opex_VE[[#This Row],[Opex]]</f>
        <v>-153878.96666666667</v>
      </c>
      <c r="I201" s="168" t="str">
        <f>IFERROR(VLOOKUP(Opex_VE[[#This Row],[Fecha]],Historia!A:D,4,0),"Forecast")</f>
        <v>Forecast</v>
      </c>
      <c r="J201" s="157">
        <f t="shared" si="4"/>
        <v>553447.41666666663</v>
      </c>
      <c r="K201" s="151">
        <f>+Opex_VE[[#This Row],[Arriendo]]+Opex_VE[[#This Row],[Servicios publicos]]+Opex_VE[[#This Row],[Nomina]]</f>
        <v>221378.96666666667</v>
      </c>
      <c r="L201" s="152">
        <f>+VLOOKUP(Opex_VE[[#This Row],[Fecha]],Opex!$B:$Y,OPEX_SALES!L$1,1)</f>
        <v>55000</v>
      </c>
      <c r="M201" s="153">
        <f>+SUM(Opex_VE[[#This Row],[Internet]:[Electricidad]])</f>
        <v>26378.966666666667</v>
      </c>
      <c r="N201" s="152">
        <f>+VLOOKUP(Opex_VE[[#This Row],[Fecha]],Opex!$B:$Y,OPEX_SALES!N$1,1)</f>
        <v>3500</v>
      </c>
      <c r="O201" s="152">
        <f>+VLOOKUP(Opex_VE[[#This Row],[Fecha]],Opex!$B:$Y,OPEX_SALES!O$1,1)</f>
        <v>8243.9666666666672</v>
      </c>
      <c r="P201" s="152">
        <f>+VLOOKUP(Opex_VE[[#This Row],[Fecha]],Opex!$B:$Y,OPEX_SALES!P$1,1)</f>
        <v>4000</v>
      </c>
      <c r="Q201" s="152">
        <f>+VLOOKUP(Opex_VE[[#This Row],[Fecha]],Opex!$B:$Y,OPEX_SALES!Q$1,1)</f>
        <v>10635</v>
      </c>
      <c r="R201" s="153">
        <f>+SUM(Opex_VE[[#This Row],[Cajero]:[Domiciliario]])</f>
        <v>140000</v>
      </c>
      <c r="S201" s="152">
        <v>70000</v>
      </c>
      <c r="T201" s="152">
        <v>70000</v>
      </c>
      <c r="U201" s="152">
        <v>0</v>
      </c>
      <c r="V201"/>
    </row>
    <row r="202" spans="1:22" x14ac:dyDescent="0.2">
      <c r="A202" s="149">
        <v>46265</v>
      </c>
      <c r="B202" s="3">
        <f t="shared" si="5"/>
        <v>28</v>
      </c>
      <c r="C202" s="3" t="str">
        <f>+TEXT(Opex_VE[[#This Row],[Fecha]],"ddd")</f>
        <v>lun</v>
      </c>
      <c r="E202" s="14" t="s">
        <v>112</v>
      </c>
      <c r="F202" s="168">
        <f>IFERROR(VLOOKUP(Opex_VE[[#This Row],[Fecha]],Historia!A:B,2,0),_xlfn.XLOOKUP(Opex_VE[[#This Row],[dia]],Forecast!I:I,Forecast!J:J))</f>
        <v>164375</v>
      </c>
      <c r="G202" s="168">
        <f>IFERROR(VLOOKUP(Opex_VE[[#This Row],[Fecha]],Historia!A:C,3,0),_xlfn.XLOOKUP(Opex_VE[[#This Row],[dia]],Forecast!I:I,Forecast!K:K))</f>
        <v>65750</v>
      </c>
      <c r="H202" s="182">
        <f>+Opex_VE[[#This Row],[MG]]-Opex_VE[[#This Row],[Opex]]</f>
        <v>-155628.96666666667</v>
      </c>
      <c r="I202" s="168" t="str">
        <f>IFERROR(VLOOKUP(Opex_VE[[#This Row],[Fecha]],Historia!A:D,4,0),"Forecast")</f>
        <v>Forecast</v>
      </c>
      <c r="J202" s="157">
        <f t="shared" si="4"/>
        <v>553447.41666666663</v>
      </c>
      <c r="K202" s="151">
        <f>+Opex_VE[[#This Row],[Arriendo]]+Opex_VE[[#This Row],[Servicios publicos]]+Opex_VE[[#This Row],[Nomina]]</f>
        <v>221378.96666666667</v>
      </c>
      <c r="L202" s="152">
        <f>+VLOOKUP(Opex_VE[[#This Row],[Fecha]],Opex!$B:$Y,OPEX_SALES!L$1,1)</f>
        <v>55000</v>
      </c>
      <c r="M202" s="153">
        <f>+SUM(Opex_VE[[#This Row],[Internet]:[Electricidad]])</f>
        <v>26378.966666666667</v>
      </c>
      <c r="N202" s="152">
        <f>+VLOOKUP(Opex_VE[[#This Row],[Fecha]],Opex!$B:$Y,OPEX_SALES!N$1,1)</f>
        <v>3500</v>
      </c>
      <c r="O202" s="152">
        <f>+VLOOKUP(Opex_VE[[#This Row],[Fecha]],Opex!$B:$Y,OPEX_SALES!O$1,1)</f>
        <v>8243.9666666666672</v>
      </c>
      <c r="P202" s="152">
        <f>+VLOOKUP(Opex_VE[[#This Row],[Fecha]],Opex!$B:$Y,OPEX_SALES!P$1,1)</f>
        <v>4000</v>
      </c>
      <c r="Q202" s="152">
        <f>+VLOOKUP(Opex_VE[[#This Row],[Fecha]],Opex!$B:$Y,OPEX_SALES!Q$1,1)</f>
        <v>10635</v>
      </c>
      <c r="R202" s="153">
        <f>+SUM(Opex_VE[[#This Row],[Cajero]:[Domiciliario]])</f>
        <v>140000</v>
      </c>
      <c r="S202" s="152">
        <v>70000</v>
      </c>
      <c r="T202" s="152">
        <v>70000</v>
      </c>
      <c r="U202" s="152">
        <v>0</v>
      </c>
      <c r="V202"/>
    </row>
    <row r="203" spans="1:22" x14ac:dyDescent="0.2">
      <c r="A203" s="149">
        <v>46266</v>
      </c>
      <c r="B203" s="3">
        <f t="shared" si="5"/>
        <v>28</v>
      </c>
      <c r="C203" s="3" t="str">
        <f>+TEXT(Opex_VE[[#This Row],[Fecha]],"ddd")</f>
        <v>mar</v>
      </c>
      <c r="E203" s="14" t="s">
        <v>112</v>
      </c>
      <c r="F203" s="168">
        <f>IFERROR(VLOOKUP(Opex_VE[[#This Row],[Fecha]],Historia!A:B,2,0),_xlfn.XLOOKUP(Opex_VE[[#This Row],[dia]],Forecast!I:I,Forecast!J:J))</f>
        <v>199625</v>
      </c>
      <c r="G203" s="168">
        <f>IFERROR(VLOOKUP(Opex_VE[[#This Row],[Fecha]],Historia!A:C,3,0),_xlfn.XLOOKUP(Opex_VE[[#This Row],[dia]],Forecast!I:I,Forecast!K:K))</f>
        <v>79850</v>
      </c>
      <c r="H203" s="182">
        <f>+Opex_VE[[#This Row],[MG]]-Opex_VE[[#This Row],[Opex]]</f>
        <v>-141528.96666666667</v>
      </c>
      <c r="I203" s="168" t="str">
        <f>IFERROR(VLOOKUP(Opex_VE[[#This Row],[Fecha]],Historia!A:D,4,0),"Forecast")</f>
        <v>Forecast</v>
      </c>
      <c r="J203" s="157">
        <f t="shared" si="4"/>
        <v>553447.41666666663</v>
      </c>
      <c r="K203" s="151">
        <f>+Opex_VE[[#This Row],[Arriendo]]+Opex_VE[[#This Row],[Servicios publicos]]+Opex_VE[[#This Row],[Nomina]]</f>
        <v>221378.96666666667</v>
      </c>
      <c r="L203" s="152">
        <f>+VLOOKUP(Opex_VE[[#This Row],[Fecha]],Opex!$B:$Y,OPEX_SALES!L$1,1)</f>
        <v>55000</v>
      </c>
      <c r="M203" s="153">
        <f>+SUM(Opex_VE[[#This Row],[Internet]:[Electricidad]])</f>
        <v>26378.966666666667</v>
      </c>
      <c r="N203" s="152">
        <f>+VLOOKUP(Opex_VE[[#This Row],[Fecha]],Opex!$B:$Y,OPEX_SALES!N$1,1)</f>
        <v>3500</v>
      </c>
      <c r="O203" s="152">
        <f>+VLOOKUP(Opex_VE[[#This Row],[Fecha]],Opex!$B:$Y,OPEX_SALES!O$1,1)</f>
        <v>8243.9666666666672</v>
      </c>
      <c r="P203" s="152">
        <f>+VLOOKUP(Opex_VE[[#This Row],[Fecha]],Opex!$B:$Y,OPEX_SALES!P$1,1)</f>
        <v>4000</v>
      </c>
      <c r="Q203" s="152">
        <f>+VLOOKUP(Opex_VE[[#This Row],[Fecha]],Opex!$B:$Y,OPEX_SALES!Q$1,1)</f>
        <v>10635</v>
      </c>
      <c r="R203" s="153">
        <f>+SUM(Opex_VE[[#This Row],[Cajero]:[Domiciliario]])</f>
        <v>140000</v>
      </c>
      <c r="S203" s="152">
        <v>70000</v>
      </c>
      <c r="T203" s="152">
        <v>70000</v>
      </c>
      <c r="U203" s="152">
        <v>0</v>
      </c>
      <c r="V203"/>
    </row>
    <row r="204" spans="1:22" x14ac:dyDescent="0.2">
      <c r="A204" s="149">
        <v>46267</v>
      </c>
      <c r="B204" s="3">
        <f t="shared" si="5"/>
        <v>28</v>
      </c>
      <c r="C204" s="3" t="str">
        <f>+TEXT(Opex_VE[[#This Row],[Fecha]],"ddd")</f>
        <v>mié</v>
      </c>
      <c r="E204" s="14" t="s">
        <v>112</v>
      </c>
      <c r="F204" s="168">
        <f>IFERROR(VLOOKUP(Opex_VE[[#This Row],[Fecha]],Historia!A:B,2,0),_xlfn.XLOOKUP(Opex_VE[[#This Row],[dia]],Forecast!I:I,Forecast!J:J))</f>
        <v>339250</v>
      </c>
      <c r="G204" s="168">
        <f>IFERROR(VLOOKUP(Opex_VE[[#This Row],[Fecha]],Historia!A:C,3,0),_xlfn.XLOOKUP(Opex_VE[[#This Row],[dia]],Forecast!I:I,Forecast!K:K))</f>
        <v>135700</v>
      </c>
      <c r="H204" s="182">
        <f>+Opex_VE[[#This Row],[MG]]-Opex_VE[[#This Row],[Opex]]</f>
        <v>-85678.966666666674</v>
      </c>
      <c r="I204" s="168" t="str">
        <f>IFERROR(VLOOKUP(Opex_VE[[#This Row],[Fecha]],Historia!A:D,4,0),"Forecast")</f>
        <v>Forecast</v>
      </c>
      <c r="J204" s="157">
        <f t="shared" si="4"/>
        <v>553447.41666666663</v>
      </c>
      <c r="K204" s="151">
        <f>+Opex_VE[[#This Row],[Arriendo]]+Opex_VE[[#This Row],[Servicios publicos]]+Opex_VE[[#This Row],[Nomina]]</f>
        <v>221378.96666666667</v>
      </c>
      <c r="L204" s="152">
        <f>+VLOOKUP(Opex_VE[[#This Row],[Fecha]],Opex!$B:$Y,OPEX_SALES!L$1,1)</f>
        <v>55000</v>
      </c>
      <c r="M204" s="153">
        <f>+SUM(Opex_VE[[#This Row],[Internet]:[Electricidad]])</f>
        <v>26378.966666666667</v>
      </c>
      <c r="N204" s="152">
        <f>+VLOOKUP(Opex_VE[[#This Row],[Fecha]],Opex!$B:$Y,OPEX_SALES!N$1,1)</f>
        <v>3500</v>
      </c>
      <c r="O204" s="152">
        <f>+VLOOKUP(Opex_VE[[#This Row],[Fecha]],Opex!$B:$Y,OPEX_SALES!O$1,1)</f>
        <v>8243.9666666666672</v>
      </c>
      <c r="P204" s="152">
        <f>+VLOOKUP(Opex_VE[[#This Row],[Fecha]],Opex!$B:$Y,OPEX_SALES!P$1,1)</f>
        <v>4000</v>
      </c>
      <c r="Q204" s="152">
        <f>+VLOOKUP(Opex_VE[[#This Row],[Fecha]],Opex!$B:$Y,OPEX_SALES!Q$1,1)</f>
        <v>10635</v>
      </c>
      <c r="R204" s="153">
        <f>+SUM(Opex_VE[[#This Row],[Cajero]:[Domiciliario]])</f>
        <v>140000</v>
      </c>
      <c r="S204" s="152">
        <v>70000</v>
      </c>
      <c r="T204" s="152">
        <v>70000</v>
      </c>
      <c r="U204" s="152">
        <v>0</v>
      </c>
      <c r="V204"/>
    </row>
    <row r="205" spans="1:22" x14ac:dyDescent="0.2">
      <c r="A205" s="149">
        <v>46268</v>
      </c>
      <c r="B205" s="3">
        <f t="shared" si="5"/>
        <v>28</v>
      </c>
      <c r="C205" s="3" t="str">
        <f>+TEXT(Opex_VE[[#This Row],[Fecha]],"ddd")</f>
        <v>jue</v>
      </c>
      <c r="E205" s="14" t="s">
        <v>112</v>
      </c>
      <c r="F205" s="168">
        <f>IFERROR(VLOOKUP(Opex_VE[[#This Row],[Fecha]],Historia!A:B,2,0),_xlfn.XLOOKUP(Opex_VE[[#This Row],[dia]],Forecast!I:I,Forecast!J:J))</f>
        <v>274975</v>
      </c>
      <c r="G205" s="168">
        <f>IFERROR(VLOOKUP(Opex_VE[[#This Row],[Fecha]],Historia!A:C,3,0),_xlfn.XLOOKUP(Opex_VE[[#This Row],[dia]],Forecast!I:I,Forecast!K:K))</f>
        <v>109990</v>
      </c>
      <c r="H205" s="182">
        <f>+Opex_VE[[#This Row],[MG]]-Opex_VE[[#This Row],[Opex]]</f>
        <v>-111388.96666666667</v>
      </c>
      <c r="I205" s="168" t="str">
        <f>IFERROR(VLOOKUP(Opex_VE[[#This Row],[Fecha]],Historia!A:D,4,0),"Forecast")</f>
        <v>Forecast</v>
      </c>
      <c r="J205" s="157">
        <f t="shared" ref="J205:J268" si="6">+K205/0.4</f>
        <v>553447.41666666663</v>
      </c>
      <c r="K205" s="151">
        <f>+Opex_VE[[#This Row],[Arriendo]]+Opex_VE[[#This Row],[Servicios publicos]]+Opex_VE[[#This Row],[Nomina]]</f>
        <v>221378.96666666667</v>
      </c>
      <c r="L205" s="152">
        <f>+VLOOKUP(Opex_VE[[#This Row],[Fecha]],Opex!$B:$Y,OPEX_SALES!L$1,1)</f>
        <v>55000</v>
      </c>
      <c r="M205" s="153">
        <f>+SUM(Opex_VE[[#This Row],[Internet]:[Electricidad]])</f>
        <v>26378.966666666667</v>
      </c>
      <c r="N205" s="152">
        <f>+VLOOKUP(Opex_VE[[#This Row],[Fecha]],Opex!$B:$Y,OPEX_SALES!N$1,1)</f>
        <v>3500</v>
      </c>
      <c r="O205" s="152">
        <f>+VLOOKUP(Opex_VE[[#This Row],[Fecha]],Opex!$B:$Y,OPEX_SALES!O$1,1)</f>
        <v>8243.9666666666672</v>
      </c>
      <c r="P205" s="152">
        <f>+VLOOKUP(Opex_VE[[#This Row],[Fecha]],Opex!$B:$Y,OPEX_SALES!P$1,1)</f>
        <v>4000</v>
      </c>
      <c r="Q205" s="152">
        <f>+VLOOKUP(Opex_VE[[#This Row],[Fecha]],Opex!$B:$Y,OPEX_SALES!Q$1,1)</f>
        <v>10635</v>
      </c>
      <c r="R205" s="153">
        <f>+SUM(Opex_VE[[#This Row],[Cajero]:[Domiciliario]])</f>
        <v>140000</v>
      </c>
      <c r="S205" s="152">
        <v>70000</v>
      </c>
      <c r="T205" s="152">
        <v>70000</v>
      </c>
      <c r="U205" s="152">
        <v>0</v>
      </c>
      <c r="V205"/>
    </row>
    <row r="206" spans="1:22" x14ac:dyDescent="0.2">
      <c r="A206" s="149">
        <v>46269</v>
      </c>
      <c r="B206" s="3">
        <f t="shared" si="5"/>
        <v>28</v>
      </c>
      <c r="C206" s="3" t="str">
        <f>+TEXT(Opex_VE[[#This Row],[Fecha]],"ddd")</f>
        <v>vie</v>
      </c>
      <c r="E206" s="14" t="s">
        <v>217</v>
      </c>
      <c r="F206" s="168">
        <f>IFERROR(VLOOKUP(Opex_VE[[#This Row],[Fecha]],Historia!A:B,2,0),_xlfn.XLOOKUP(Opex_VE[[#This Row],[dia]],Forecast!I:I,Forecast!J:J))</f>
        <v>184566.66666666666</v>
      </c>
      <c r="G206" s="168">
        <f>IFERROR(VLOOKUP(Opex_VE[[#This Row],[Fecha]],Historia!A:C,3,0),_xlfn.XLOOKUP(Opex_VE[[#This Row],[dia]],Forecast!I:I,Forecast!K:K))</f>
        <v>73826.666666666672</v>
      </c>
      <c r="H206" s="182">
        <f>+Opex_VE[[#This Row],[MG]]-Opex_VE[[#This Row],[Opex]]</f>
        <v>-147552.29999999999</v>
      </c>
      <c r="I206" s="168" t="str">
        <f>IFERROR(VLOOKUP(Opex_VE[[#This Row],[Fecha]],Historia!A:D,4,0),"Forecast")</f>
        <v>Forecast</v>
      </c>
      <c r="J206" s="157">
        <f t="shared" si="6"/>
        <v>553447.41666666663</v>
      </c>
      <c r="K206" s="151">
        <f>+Opex_VE[[#This Row],[Arriendo]]+Opex_VE[[#This Row],[Servicios publicos]]+Opex_VE[[#This Row],[Nomina]]</f>
        <v>221378.96666666667</v>
      </c>
      <c r="L206" s="152">
        <f>+VLOOKUP(Opex_VE[[#This Row],[Fecha]],Opex!$B:$Y,OPEX_SALES!L$1,1)</f>
        <v>55000</v>
      </c>
      <c r="M206" s="153">
        <f>+SUM(Opex_VE[[#This Row],[Internet]:[Electricidad]])</f>
        <v>26378.966666666667</v>
      </c>
      <c r="N206" s="152">
        <f>+VLOOKUP(Opex_VE[[#This Row],[Fecha]],Opex!$B:$Y,OPEX_SALES!N$1,1)</f>
        <v>3500</v>
      </c>
      <c r="O206" s="152">
        <f>+VLOOKUP(Opex_VE[[#This Row],[Fecha]],Opex!$B:$Y,OPEX_SALES!O$1,1)</f>
        <v>8243.9666666666672</v>
      </c>
      <c r="P206" s="152">
        <f>+VLOOKUP(Opex_VE[[#This Row],[Fecha]],Opex!$B:$Y,OPEX_SALES!P$1,1)</f>
        <v>4000</v>
      </c>
      <c r="Q206" s="152">
        <f>+VLOOKUP(Opex_VE[[#This Row],[Fecha]],Opex!$B:$Y,OPEX_SALES!Q$1,1)</f>
        <v>10635</v>
      </c>
      <c r="R206" s="153">
        <f>+SUM(Opex_VE[[#This Row],[Cajero]:[Domiciliario]])</f>
        <v>140000</v>
      </c>
      <c r="S206" s="152">
        <v>70000</v>
      </c>
      <c r="T206" s="152">
        <v>70000</v>
      </c>
      <c r="U206" s="152">
        <v>0</v>
      </c>
      <c r="V206"/>
    </row>
    <row r="207" spans="1:22" x14ac:dyDescent="0.2">
      <c r="A207" s="149">
        <v>46270</v>
      </c>
      <c r="B207" s="3">
        <f t="shared" si="5"/>
        <v>28</v>
      </c>
      <c r="C207" s="3" t="str">
        <f>+TEXT(Opex_VE[[#This Row],[Fecha]],"ddd")</f>
        <v>sáb</v>
      </c>
      <c r="E207" s="14" t="s">
        <v>113</v>
      </c>
      <c r="F207" s="168">
        <f>IFERROR(VLOOKUP(Opex_VE[[#This Row],[Fecha]],Historia!A:B,2,0),_xlfn.XLOOKUP(Opex_VE[[#This Row],[dia]],Forecast!I:I,Forecast!J:J))</f>
        <v>398333.33333333331</v>
      </c>
      <c r="G207" s="168">
        <f>IFERROR(VLOOKUP(Opex_VE[[#This Row],[Fecha]],Historia!A:C,3,0),_xlfn.XLOOKUP(Opex_VE[[#This Row],[dia]],Forecast!I:I,Forecast!K:K))</f>
        <v>159333.33333333334</v>
      </c>
      <c r="H207" s="182">
        <f>+Opex_VE[[#This Row],[MG]]-Opex_VE[[#This Row],[Opex]]</f>
        <v>-62045.633333333331</v>
      </c>
      <c r="I207" s="169" t="str">
        <f>IFERROR(VLOOKUP(Opex_VE[[#This Row],[Fecha]],Historia!A:D,4,0),"Forecast")</f>
        <v>Forecast</v>
      </c>
      <c r="J207" s="157">
        <f t="shared" si="6"/>
        <v>553447.41666666663</v>
      </c>
      <c r="K207" s="151">
        <f>+Opex_VE[[#This Row],[Arriendo]]+Opex_VE[[#This Row],[Servicios publicos]]+Opex_VE[[#This Row],[Nomina]]</f>
        <v>221378.96666666667</v>
      </c>
      <c r="L207" s="152">
        <f>+VLOOKUP(Opex_VE[[#This Row],[Fecha]],Opex!$B:$Y,OPEX_SALES!L$1,1)</f>
        <v>55000</v>
      </c>
      <c r="M207" s="153">
        <f>+SUM(Opex_VE[[#This Row],[Internet]:[Electricidad]])</f>
        <v>26378.966666666667</v>
      </c>
      <c r="N207" s="152">
        <f>+VLOOKUP(Opex_VE[[#This Row],[Fecha]],Opex!$B:$Y,OPEX_SALES!N$1,1)</f>
        <v>3500</v>
      </c>
      <c r="O207" s="152">
        <f>+VLOOKUP(Opex_VE[[#This Row],[Fecha]],Opex!$B:$Y,OPEX_SALES!O$1,1)</f>
        <v>8243.9666666666672</v>
      </c>
      <c r="P207" s="152">
        <f>+VLOOKUP(Opex_VE[[#This Row],[Fecha]],Opex!$B:$Y,OPEX_SALES!P$1,1)</f>
        <v>4000</v>
      </c>
      <c r="Q207" s="152">
        <f>+VLOOKUP(Opex_VE[[#This Row],[Fecha]],Opex!$B:$Y,OPEX_SALES!Q$1,1)</f>
        <v>10635</v>
      </c>
      <c r="R207" s="153">
        <f>+SUM(Opex_VE[[#This Row],[Cajero]:[Domiciliario]])</f>
        <v>140000</v>
      </c>
      <c r="S207" s="152">
        <v>70000</v>
      </c>
      <c r="T207" s="152">
        <v>70000</v>
      </c>
      <c r="U207" s="152">
        <v>0</v>
      </c>
      <c r="V207"/>
    </row>
    <row r="208" spans="1:22" x14ac:dyDescent="0.2">
      <c r="A208" s="149">
        <v>46271</v>
      </c>
      <c r="B208" s="3">
        <f t="shared" si="5"/>
        <v>28</v>
      </c>
      <c r="C208" s="3" t="str">
        <f>+TEXT(Opex_VE[[#This Row],[Fecha]],"ddd")</f>
        <v>dom</v>
      </c>
      <c r="E208" s="14" t="s">
        <v>145</v>
      </c>
      <c r="F208" s="168">
        <f>IFERROR(VLOOKUP(Opex_VE[[#This Row],[Fecha]],Historia!A:B,2,0),_xlfn.XLOOKUP(Opex_VE[[#This Row],[dia]],Forecast!I:I,Forecast!J:J))</f>
        <v>168750</v>
      </c>
      <c r="G208" s="168">
        <f>IFERROR(VLOOKUP(Opex_VE[[#This Row],[Fecha]],Historia!A:C,3,0),_xlfn.XLOOKUP(Opex_VE[[#This Row],[dia]],Forecast!I:I,Forecast!K:K))</f>
        <v>67500</v>
      </c>
      <c r="H208" s="182">
        <f>+Opex_VE[[#This Row],[MG]]-Opex_VE[[#This Row],[Opex]]</f>
        <v>-153878.96666666667</v>
      </c>
      <c r="I208" s="168" t="str">
        <f>IFERROR(VLOOKUP(Opex_VE[[#This Row],[Fecha]],Historia!A:D,4,0),"Forecast")</f>
        <v>Forecast</v>
      </c>
      <c r="J208" s="157">
        <f t="shared" si="6"/>
        <v>553447.41666666663</v>
      </c>
      <c r="K208" s="151">
        <f>+Opex_VE[[#This Row],[Arriendo]]+Opex_VE[[#This Row],[Servicios publicos]]+Opex_VE[[#This Row],[Nomina]]</f>
        <v>221378.96666666667</v>
      </c>
      <c r="L208" s="152">
        <f>+VLOOKUP(Opex_VE[[#This Row],[Fecha]],Opex!$B:$Y,OPEX_SALES!L$1,1)</f>
        <v>55000</v>
      </c>
      <c r="M208" s="153">
        <f>+SUM(Opex_VE[[#This Row],[Internet]:[Electricidad]])</f>
        <v>26378.966666666667</v>
      </c>
      <c r="N208" s="152">
        <f>+VLOOKUP(Opex_VE[[#This Row],[Fecha]],Opex!$B:$Y,OPEX_SALES!N$1,1)</f>
        <v>3500</v>
      </c>
      <c r="O208" s="152">
        <f>+VLOOKUP(Opex_VE[[#This Row],[Fecha]],Opex!$B:$Y,OPEX_SALES!O$1,1)</f>
        <v>8243.9666666666672</v>
      </c>
      <c r="P208" s="152">
        <f>+VLOOKUP(Opex_VE[[#This Row],[Fecha]],Opex!$B:$Y,OPEX_SALES!P$1,1)</f>
        <v>4000</v>
      </c>
      <c r="Q208" s="152">
        <f>+VLOOKUP(Opex_VE[[#This Row],[Fecha]],Opex!$B:$Y,OPEX_SALES!Q$1,1)</f>
        <v>10635</v>
      </c>
      <c r="R208" s="153">
        <f>+SUM(Opex_VE[[#This Row],[Cajero]:[Domiciliario]])</f>
        <v>140000</v>
      </c>
      <c r="S208" s="152">
        <v>70000</v>
      </c>
      <c r="T208" s="152">
        <v>70000</v>
      </c>
      <c r="U208" s="152">
        <v>0</v>
      </c>
      <c r="V208"/>
    </row>
    <row r="209" spans="1:22" x14ac:dyDescent="0.2">
      <c r="A209" s="149">
        <v>46272</v>
      </c>
      <c r="B209" s="3">
        <f t="shared" si="5"/>
        <v>29</v>
      </c>
      <c r="C209" s="3" t="str">
        <f>+TEXT(Opex_VE[[#This Row],[Fecha]],"ddd")</f>
        <v>lun</v>
      </c>
      <c r="E209" s="14" t="s">
        <v>112</v>
      </c>
      <c r="F209" s="168">
        <f>IFERROR(VLOOKUP(Opex_VE[[#This Row],[Fecha]],Historia!A:B,2,0),_xlfn.XLOOKUP(Opex_VE[[#This Row],[dia]],Forecast!I:I,Forecast!J:J))</f>
        <v>164375</v>
      </c>
      <c r="G209" s="168">
        <f>IFERROR(VLOOKUP(Opex_VE[[#This Row],[Fecha]],Historia!A:C,3,0),_xlfn.XLOOKUP(Opex_VE[[#This Row],[dia]],Forecast!I:I,Forecast!K:K))</f>
        <v>65750</v>
      </c>
      <c r="H209" s="182">
        <f>+Opex_VE[[#This Row],[MG]]-Opex_VE[[#This Row],[Opex]]</f>
        <v>-155628.96666666667</v>
      </c>
      <c r="I209" s="168" t="str">
        <f>IFERROR(VLOOKUP(Opex_VE[[#This Row],[Fecha]],Historia!A:D,4,0),"Forecast")</f>
        <v>Forecast</v>
      </c>
      <c r="J209" s="157">
        <f t="shared" si="6"/>
        <v>553447.41666666663</v>
      </c>
      <c r="K209" s="151">
        <f>+Opex_VE[[#This Row],[Arriendo]]+Opex_VE[[#This Row],[Servicios publicos]]+Opex_VE[[#This Row],[Nomina]]</f>
        <v>221378.96666666667</v>
      </c>
      <c r="L209" s="152">
        <f>+VLOOKUP(Opex_VE[[#This Row],[Fecha]],Opex!$B:$Y,OPEX_SALES!L$1,1)</f>
        <v>55000</v>
      </c>
      <c r="M209" s="153">
        <f>+SUM(Opex_VE[[#This Row],[Internet]:[Electricidad]])</f>
        <v>26378.966666666667</v>
      </c>
      <c r="N209" s="152">
        <f>+VLOOKUP(Opex_VE[[#This Row],[Fecha]],Opex!$B:$Y,OPEX_SALES!N$1,1)</f>
        <v>3500</v>
      </c>
      <c r="O209" s="152">
        <f>+VLOOKUP(Opex_VE[[#This Row],[Fecha]],Opex!$B:$Y,OPEX_SALES!O$1,1)</f>
        <v>8243.9666666666672</v>
      </c>
      <c r="P209" s="152">
        <f>+VLOOKUP(Opex_VE[[#This Row],[Fecha]],Opex!$B:$Y,OPEX_SALES!P$1,1)</f>
        <v>4000</v>
      </c>
      <c r="Q209" s="152">
        <f>+VLOOKUP(Opex_VE[[#This Row],[Fecha]],Opex!$B:$Y,OPEX_SALES!Q$1,1)</f>
        <v>10635</v>
      </c>
      <c r="R209" s="153">
        <f>+SUM(Opex_VE[[#This Row],[Cajero]:[Domiciliario]])</f>
        <v>140000</v>
      </c>
      <c r="S209" s="152">
        <v>70000</v>
      </c>
      <c r="T209" s="152">
        <v>70000</v>
      </c>
      <c r="U209" s="152">
        <v>0</v>
      </c>
      <c r="V209"/>
    </row>
    <row r="210" spans="1:22" x14ac:dyDescent="0.2">
      <c r="A210" s="149">
        <v>46273</v>
      </c>
      <c r="B210" s="3">
        <f t="shared" si="5"/>
        <v>29</v>
      </c>
      <c r="C210" s="3" t="str">
        <f>+TEXT(Opex_VE[[#This Row],[Fecha]],"ddd")</f>
        <v>mar</v>
      </c>
      <c r="E210" s="14" t="s">
        <v>112</v>
      </c>
      <c r="F210" s="168">
        <f>IFERROR(VLOOKUP(Opex_VE[[#This Row],[Fecha]],Historia!A:B,2,0),_xlfn.XLOOKUP(Opex_VE[[#This Row],[dia]],Forecast!I:I,Forecast!J:J))</f>
        <v>199625</v>
      </c>
      <c r="G210" s="168">
        <f>IFERROR(VLOOKUP(Opex_VE[[#This Row],[Fecha]],Historia!A:C,3,0),_xlfn.XLOOKUP(Opex_VE[[#This Row],[dia]],Forecast!I:I,Forecast!K:K))</f>
        <v>79850</v>
      </c>
      <c r="H210" s="182">
        <f>+Opex_VE[[#This Row],[MG]]-Opex_VE[[#This Row],[Opex]]</f>
        <v>-141528.96666666667</v>
      </c>
      <c r="I210" s="168" t="str">
        <f>IFERROR(VLOOKUP(Opex_VE[[#This Row],[Fecha]],Historia!A:D,4,0),"Forecast")</f>
        <v>Forecast</v>
      </c>
      <c r="J210" s="157">
        <f t="shared" si="6"/>
        <v>553447.41666666663</v>
      </c>
      <c r="K210" s="151">
        <f>+Opex_VE[[#This Row],[Arriendo]]+Opex_VE[[#This Row],[Servicios publicos]]+Opex_VE[[#This Row],[Nomina]]</f>
        <v>221378.96666666667</v>
      </c>
      <c r="L210" s="152">
        <f>+VLOOKUP(Opex_VE[[#This Row],[Fecha]],Opex!$B:$Y,OPEX_SALES!L$1,1)</f>
        <v>55000</v>
      </c>
      <c r="M210" s="153">
        <f>+SUM(Opex_VE[[#This Row],[Internet]:[Electricidad]])</f>
        <v>26378.966666666667</v>
      </c>
      <c r="N210" s="152">
        <f>+VLOOKUP(Opex_VE[[#This Row],[Fecha]],Opex!$B:$Y,OPEX_SALES!N$1,1)</f>
        <v>3500</v>
      </c>
      <c r="O210" s="152">
        <f>+VLOOKUP(Opex_VE[[#This Row],[Fecha]],Opex!$B:$Y,OPEX_SALES!O$1,1)</f>
        <v>8243.9666666666672</v>
      </c>
      <c r="P210" s="152">
        <f>+VLOOKUP(Opex_VE[[#This Row],[Fecha]],Opex!$B:$Y,OPEX_SALES!P$1,1)</f>
        <v>4000</v>
      </c>
      <c r="Q210" s="152">
        <f>+VLOOKUP(Opex_VE[[#This Row],[Fecha]],Opex!$B:$Y,OPEX_SALES!Q$1,1)</f>
        <v>10635</v>
      </c>
      <c r="R210" s="153">
        <f>+SUM(Opex_VE[[#This Row],[Cajero]:[Domiciliario]])</f>
        <v>140000</v>
      </c>
      <c r="S210" s="152">
        <v>70000</v>
      </c>
      <c r="T210" s="152">
        <v>70000</v>
      </c>
      <c r="U210" s="152">
        <v>0</v>
      </c>
      <c r="V210"/>
    </row>
    <row r="211" spans="1:22" x14ac:dyDescent="0.2">
      <c r="A211" s="149">
        <v>46274</v>
      </c>
      <c r="B211" s="3">
        <f t="shared" si="5"/>
        <v>29</v>
      </c>
      <c r="C211" s="3" t="str">
        <f>+TEXT(Opex_VE[[#This Row],[Fecha]],"ddd")</f>
        <v>mié</v>
      </c>
      <c r="E211" s="14" t="s">
        <v>112</v>
      </c>
      <c r="F211" s="168">
        <f>IFERROR(VLOOKUP(Opex_VE[[#This Row],[Fecha]],Historia!A:B,2,0),_xlfn.XLOOKUP(Opex_VE[[#This Row],[dia]],Forecast!I:I,Forecast!J:J))</f>
        <v>339250</v>
      </c>
      <c r="G211" s="168">
        <f>IFERROR(VLOOKUP(Opex_VE[[#This Row],[Fecha]],Historia!A:C,3,0),_xlfn.XLOOKUP(Opex_VE[[#This Row],[dia]],Forecast!I:I,Forecast!K:K))</f>
        <v>135700</v>
      </c>
      <c r="H211" s="182">
        <f>+Opex_VE[[#This Row],[MG]]-Opex_VE[[#This Row],[Opex]]</f>
        <v>-85678.966666666674</v>
      </c>
      <c r="I211" s="168" t="str">
        <f>IFERROR(VLOOKUP(Opex_VE[[#This Row],[Fecha]],Historia!A:D,4,0),"Forecast")</f>
        <v>Forecast</v>
      </c>
      <c r="J211" s="157">
        <f t="shared" si="6"/>
        <v>553447.41666666663</v>
      </c>
      <c r="K211" s="151">
        <f>+Opex_VE[[#This Row],[Arriendo]]+Opex_VE[[#This Row],[Servicios publicos]]+Opex_VE[[#This Row],[Nomina]]</f>
        <v>221378.96666666667</v>
      </c>
      <c r="L211" s="152">
        <f>+VLOOKUP(Opex_VE[[#This Row],[Fecha]],Opex!$B:$Y,OPEX_SALES!L$1,1)</f>
        <v>55000</v>
      </c>
      <c r="M211" s="153">
        <f>+SUM(Opex_VE[[#This Row],[Internet]:[Electricidad]])</f>
        <v>26378.966666666667</v>
      </c>
      <c r="N211" s="152">
        <f>+VLOOKUP(Opex_VE[[#This Row],[Fecha]],Opex!$B:$Y,OPEX_SALES!N$1,1)</f>
        <v>3500</v>
      </c>
      <c r="O211" s="152">
        <f>+VLOOKUP(Opex_VE[[#This Row],[Fecha]],Opex!$B:$Y,OPEX_SALES!O$1,1)</f>
        <v>8243.9666666666672</v>
      </c>
      <c r="P211" s="152">
        <f>+VLOOKUP(Opex_VE[[#This Row],[Fecha]],Opex!$B:$Y,OPEX_SALES!P$1,1)</f>
        <v>4000</v>
      </c>
      <c r="Q211" s="152">
        <f>+VLOOKUP(Opex_VE[[#This Row],[Fecha]],Opex!$B:$Y,OPEX_SALES!Q$1,1)</f>
        <v>10635</v>
      </c>
      <c r="R211" s="153">
        <f>+SUM(Opex_VE[[#This Row],[Cajero]:[Domiciliario]])</f>
        <v>140000</v>
      </c>
      <c r="S211" s="152">
        <v>70000</v>
      </c>
      <c r="T211" s="152">
        <v>70000</v>
      </c>
      <c r="U211" s="152">
        <v>0</v>
      </c>
      <c r="V211"/>
    </row>
    <row r="212" spans="1:22" x14ac:dyDescent="0.2">
      <c r="A212" s="149">
        <v>46275</v>
      </c>
      <c r="B212" s="3">
        <f t="shared" si="5"/>
        <v>29</v>
      </c>
      <c r="C212" s="3" t="str">
        <f>+TEXT(Opex_VE[[#This Row],[Fecha]],"ddd")</f>
        <v>jue</v>
      </c>
      <c r="E212" s="14" t="s">
        <v>112</v>
      </c>
      <c r="F212" s="168">
        <f>IFERROR(VLOOKUP(Opex_VE[[#This Row],[Fecha]],Historia!A:B,2,0),_xlfn.XLOOKUP(Opex_VE[[#This Row],[dia]],Forecast!I:I,Forecast!J:J))</f>
        <v>274975</v>
      </c>
      <c r="G212" s="168">
        <f>IFERROR(VLOOKUP(Opex_VE[[#This Row],[Fecha]],Historia!A:C,3,0),_xlfn.XLOOKUP(Opex_VE[[#This Row],[dia]],Forecast!I:I,Forecast!K:K))</f>
        <v>109990</v>
      </c>
      <c r="H212" s="182">
        <f>+Opex_VE[[#This Row],[MG]]-Opex_VE[[#This Row],[Opex]]</f>
        <v>-111388.96666666667</v>
      </c>
      <c r="I212" s="168" t="str">
        <f>IFERROR(VLOOKUP(Opex_VE[[#This Row],[Fecha]],Historia!A:D,4,0),"Forecast")</f>
        <v>Forecast</v>
      </c>
      <c r="J212" s="157">
        <f t="shared" si="6"/>
        <v>553447.41666666663</v>
      </c>
      <c r="K212" s="151">
        <f>+Opex_VE[[#This Row],[Arriendo]]+Opex_VE[[#This Row],[Servicios publicos]]+Opex_VE[[#This Row],[Nomina]]</f>
        <v>221378.96666666667</v>
      </c>
      <c r="L212" s="152">
        <f>+VLOOKUP(Opex_VE[[#This Row],[Fecha]],Opex!$B:$Y,OPEX_SALES!L$1,1)</f>
        <v>55000</v>
      </c>
      <c r="M212" s="153">
        <f>+SUM(Opex_VE[[#This Row],[Internet]:[Electricidad]])</f>
        <v>26378.966666666667</v>
      </c>
      <c r="N212" s="152">
        <f>+VLOOKUP(Opex_VE[[#This Row],[Fecha]],Opex!$B:$Y,OPEX_SALES!N$1,1)</f>
        <v>3500</v>
      </c>
      <c r="O212" s="152">
        <f>+VLOOKUP(Opex_VE[[#This Row],[Fecha]],Opex!$B:$Y,OPEX_SALES!O$1,1)</f>
        <v>8243.9666666666672</v>
      </c>
      <c r="P212" s="152">
        <f>+VLOOKUP(Opex_VE[[#This Row],[Fecha]],Opex!$B:$Y,OPEX_SALES!P$1,1)</f>
        <v>4000</v>
      </c>
      <c r="Q212" s="152">
        <f>+VLOOKUP(Opex_VE[[#This Row],[Fecha]],Opex!$B:$Y,OPEX_SALES!Q$1,1)</f>
        <v>10635</v>
      </c>
      <c r="R212" s="153">
        <f>+SUM(Opex_VE[[#This Row],[Cajero]:[Domiciliario]])</f>
        <v>140000</v>
      </c>
      <c r="S212" s="152">
        <v>70000</v>
      </c>
      <c r="T212" s="152">
        <v>70000</v>
      </c>
      <c r="U212" s="152">
        <v>0</v>
      </c>
      <c r="V212"/>
    </row>
    <row r="213" spans="1:22" x14ac:dyDescent="0.2">
      <c r="A213" s="149">
        <v>46276</v>
      </c>
      <c r="B213" s="3">
        <f t="shared" ref="B213:B276" si="7">+B206+1</f>
        <v>29</v>
      </c>
      <c r="C213" s="3" t="str">
        <f>+TEXT(Opex_VE[[#This Row],[Fecha]],"ddd")</f>
        <v>vie</v>
      </c>
      <c r="E213" s="14" t="s">
        <v>217</v>
      </c>
      <c r="F213" s="168">
        <f>IFERROR(VLOOKUP(Opex_VE[[#This Row],[Fecha]],Historia!A:B,2,0),_xlfn.XLOOKUP(Opex_VE[[#This Row],[dia]],Forecast!I:I,Forecast!J:J))</f>
        <v>184566.66666666666</v>
      </c>
      <c r="G213" s="168">
        <f>IFERROR(VLOOKUP(Opex_VE[[#This Row],[Fecha]],Historia!A:C,3,0),_xlfn.XLOOKUP(Opex_VE[[#This Row],[dia]],Forecast!I:I,Forecast!K:K))</f>
        <v>73826.666666666672</v>
      </c>
      <c r="H213" s="182">
        <f>+Opex_VE[[#This Row],[MG]]-Opex_VE[[#This Row],[Opex]]</f>
        <v>-147552.29999999999</v>
      </c>
      <c r="I213" s="168" t="str">
        <f>IFERROR(VLOOKUP(Opex_VE[[#This Row],[Fecha]],Historia!A:D,4,0),"Forecast")</f>
        <v>Forecast</v>
      </c>
      <c r="J213" s="157">
        <f t="shared" si="6"/>
        <v>553447.41666666663</v>
      </c>
      <c r="K213" s="151">
        <f>+Opex_VE[[#This Row],[Arriendo]]+Opex_VE[[#This Row],[Servicios publicos]]+Opex_VE[[#This Row],[Nomina]]</f>
        <v>221378.96666666667</v>
      </c>
      <c r="L213" s="152">
        <f>+VLOOKUP(Opex_VE[[#This Row],[Fecha]],Opex!$B:$Y,OPEX_SALES!L$1,1)</f>
        <v>55000</v>
      </c>
      <c r="M213" s="153">
        <f>+SUM(Opex_VE[[#This Row],[Internet]:[Electricidad]])</f>
        <v>26378.966666666667</v>
      </c>
      <c r="N213" s="152">
        <f>+VLOOKUP(Opex_VE[[#This Row],[Fecha]],Opex!$B:$Y,OPEX_SALES!N$1,1)</f>
        <v>3500</v>
      </c>
      <c r="O213" s="152">
        <f>+VLOOKUP(Opex_VE[[#This Row],[Fecha]],Opex!$B:$Y,OPEX_SALES!O$1,1)</f>
        <v>8243.9666666666672</v>
      </c>
      <c r="P213" s="152">
        <f>+VLOOKUP(Opex_VE[[#This Row],[Fecha]],Opex!$B:$Y,OPEX_SALES!P$1,1)</f>
        <v>4000</v>
      </c>
      <c r="Q213" s="152">
        <f>+VLOOKUP(Opex_VE[[#This Row],[Fecha]],Opex!$B:$Y,OPEX_SALES!Q$1,1)</f>
        <v>10635</v>
      </c>
      <c r="R213" s="153">
        <f>+SUM(Opex_VE[[#This Row],[Cajero]:[Domiciliario]])</f>
        <v>140000</v>
      </c>
      <c r="S213" s="152">
        <v>70000</v>
      </c>
      <c r="T213" s="152">
        <v>70000</v>
      </c>
      <c r="U213" s="152">
        <v>0</v>
      </c>
      <c r="V213"/>
    </row>
    <row r="214" spans="1:22" x14ac:dyDescent="0.2">
      <c r="A214" s="149">
        <v>46277</v>
      </c>
      <c r="B214" s="3">
        <f t="shared" si="7"/>
        <v>29</v>
      </c>
      <c r="C214" s="3" t="str">
        <f>+TEXT(Opex_VE[[#This Row],[Fecha]],"ddd")</f>
        <v>sáb</v>
      </c>
      <c r="E214" s="14" t="s">
        <v>113</v>
      </c>
      <c r="F214" s="168">
        <f>IFERROR(VLOOKUP(Opex_VE[[#This Row],[Fecha]],Historia!A:B,2,0),_xlfn.XLOOKUP(Opex_VE[[#This Row],[dia]],Forecast!I:I,Forecast!J:J))</f>
        <v>398333.33333333331</v>
      </c>
      <c r="G214" s="168">
        <f>IFERROR(VLOOKUP(Opex_VE[[#This Row],[Fecha]],Historia!A:C,3,0),_xlfn.XLOOKUP(Opex_VE[[#This Row],[dia]],Forecast!I:I,Forecast!K:K))</f>
        <v>159333.33333333334</v>
      </c>
      <c r="H214" s="182">
        <f>+Opex_VE[[#This Row],[MG]]-Opex_VE[[#This Row],[Opex]]</f>
        <v>-62045.633333333331</v>
      </c>
      <c r="I214" s="169" t="str">
        <f>IFERROR(VLOOKUP(Opex_VE[[#This Row],[Fecha]],Historia!A:D,4,0),"Forecast")</f>
        <v>Forecast</v>
      </c>
      <c r="J214" s="157">
        <f t="shared" si="6"/>
        <v>553447.41666666663</v>
      </c>
      <c r="K214" s="151">
        <f>+Opex_VE[[#This Row],[Arriendo]]+Opex_VE[[#This Row],[Servicios publicos]]+Opex_VE[[#This Row],[Nomina]]</f>
        <v>221378.96666666667</v>
      </c>
      <c r="L214" s="152">
        <f>+VLOOKUP(Opex_VE[[#This Row],[Fecha]],Opex!$B:$Y,OPEX_SALES!L$1,1)</f>
        <v>55000</v>
      </c>
      <c r="M214" s="153">
        <f>+SUM(Opex_VE[[#This Row],[Internet]:[Electricidad]])</f>
        <v>26378.966666666667</v>
      </c>
      <c r="N214" s="152">
        <f>+VLOOKUP(Opex_VE[[#This Row],[Fecha]],Opex!$B:$Y,OPEX_SALES!N$1,1)</f>
        <v>3500</v>
      </c>
      <c r="O214" s="152">
        <f>+VLOOKUP(Opex_VE[[#This Row],[Fecha]],Opex!$B:$Y,OPEX_SALES!O$1,1)</f>
        <v>8243.9666666666672</v>
      </c>
      <c r="P214" s="152">
        <f>+VLOOKUP(Opex_VE[[#This Row],[Fecha]],Opex!$B:$Y,OPEX_SALES!P$1,1)</f>
        <v>4000</v>
      </c>
      <c r="Q214" s="152">
        <f>+VLOOKUP(Opex_VE[[#This Row],[Fecha]],Opex!$B:$Y,OPEX_SALES!Q$1,1)</f>
        <v>10635</v>
      </c>
      <c r="R214" s="153">
        <f>+SUM(Opex_VE[[#This Row],[Cajero]:[Domiciliario]])</f>
        <v>140000</v>
      </c>
      <c r="S214" s="152">
        <v>70000</v>
      </c>
      <c r="T214" s="152">
        <v>70000</v>
      </c>
      <c r="U214" s="152">
        <v>0</v>
      </c>
      <c r="V214"/>
    </row>
    <row r="215" spans="1:22" x14ac:dyDescent="0.2">
      <c r="A215" s="149">
        <v>46278</v>
      </c>
      <c r="B215" s="3">
        <f t="shared" si="7"/>
        <v>29</v>
      </c>
      <c r="C215" s="3" t="str">
        <f>+TEXT(Opex_VE[[#This Row],[Fecha]],"ddd")</f>
        <v>dom</v>
      </c>
      <c r="E215" s="14" t="s">
        <v>145</v>
      </c>
      <c r="F215" s="168">
        <f>IFERROR(VLOOKUP(Opex_VE[[#This Row],[Fecha]],Historia!A:B,2,0),_xlfn.XLOOKUP(Opex_VE[[#This Row],[dia]],Forecast!I:I,Forecast!J:J))</f>
        <v>168750</v>
      </c>
      <c r="G215" s="168">
        <f>IFERROR(VLOOKUP(Opex_VE[[#This Row],[Fecha]],Historia!A:C,3,0),_xlfn.XLOOKUP(Opex_VE[[#This Row],[dia]],Forecast!I:I,Forecast!K:K))</f>
        <v>67500</v>
      </c>
      <c r="H215" s="182">
        <f>+Opex_VE[[#This Row],[MG]]-Opex_VE[[#This Row],[Opex]]</f>
        <v>-153878.96666666667</v>
      </c>
      <c r="I215" s="168" t="str">
        <f>IFERROR(VLOOKUP(Opex_VE[[#This Row],[Fecha]],Historia!A:D,4,0),"Forecast")</f>
        <v>Forecast</v>
      </c>
      <c r="J215" s="157">
        <f t="shared" si="6"/>
        <v>553447.41666666663</v>
      </c>
      <c r="K215" s="151">
        <f>+Opex_VE[[#This Row],[Arriendo]]+Opex_VE[[#This Row],[Servicios publicos]]+Opex_VE[[#This Row],[Nomina]]</f>
        <v>221378.96666666667</v>
      </c>
      <c r="L215" s="152">
        <f>+VLOOKUP(Opex_VE[[#This Row],[Fecha]],Opex!$B:$Y,OPEX_SALES!L$1,1)</f>
        <v>55000</v>
      </c>
      <c r="M215" s="153">
        <f>+SUM(Opex_VE[[#This Row],[Internet]:[Electricidad]])</f>
        <v>26378.966666666667</v>
      </c>
      <c r="N215" s="152">
        <f>+VLOOKUP(Opex_VE[[#This Row],[Fecha]],Opex!$B:$Y,OPEX_SALES!N$1,1)</f>
        <v>3500</v>
      </c>
      <c r="O215" s="152">
        <f>+VLOOKUP(Opex_VE[[#This Row],[Fecha]],Opex!$B:$Y,OPEX_SALES!O$1,1)</f>
        <v>8243.9666666666672</v>
      </c>
      <c r="P215" s="152">
        <f>+VLOOKUP(Opex_VE[[#This Row],[Fecha]],Opex!$B:$Y,OPEX_SALES!P$1,1)</f>
        <v>4000</v>
      </c>
      <c r="Q215" s="152">
        <f>+VLOOKUP(Opex_VE[[#This Row],[Fecha]],Opex!$B:$Y,OPEX_SALES!Q$1,1)</f>
        <v>10635</v>
      </c>
      <c r="R215" s="153">
        <f>+SUM(Opex_VE[[#This Row],[Cajero]:[Domiciliario]])</f>
        <v>140000</v>
      </c>
      <c r="S215" s="152">
        <v>70000</v>
      </c>
      <c r="T215" s="152">
        <v>70000</v>
      </c>
      <c r="U215" s="152">
        <v>0</v>
      </c>
      <c r="V215"/>
    </row>
    <row r="216" spans="1:22" x14ac:dyDescent="0.2">
      <c r="A216" s="149">
        <v>46279</v>
      </c>
      <c r="B216" s="3">
        <f t="shared" si="7"/>
        <v>30</v>
      </c>
      <c r="C216" s="3" t="str">
        <f>+TEXT(Opex_VE[[#This Row],[Fecha]],"ddd")</f>
        <v>lun</v>
      </c>
      <c r="E216" s="14" t="s">
        <v>112</v>
      </c>
      <c r="F216" s="168">
        <f>IFERROR(VLOOKUP(Opex_VE[[#This Row],[Fecha]],Historia!A:B,2,0),_xlfn.XLOOKUP(Opex_VE[[#This Row],[dia]],Forecast!I:I,Forecast!J:J))</f>
        <v>164375</v>
      </c>
      <c r="G216" s="168">
        <f>IFERROR(VLOOKUP(Opex_VE[[#This Row],[Fecha]],Historia!A:C,3,0),_xlfn.XLOOKUP(Opex_VE[[#This Row],[dia]],Forecast!I:I,Forecast!K:K))</f>
        <v>65750</v>
      </c>
      <c r="H216" s="182">
        <f>+Opex_VE[[#This Row],[MG]]-Opex_VE[[#This Row],[Opex]]</f>
        <v>-155628.96666666667</v>
      </c>
      <c r="I216" s="168" t="str">
        <f>IFERROR(VLOOKUP(Opex_VE[[#This Row],[Fecha]],Historia!A:D,4,0),"Forecast")</f>
        <v>Forecast</v>
      </c>
      <c r="J216" s="157">
        <f t="shared" si="6"/>
        <v>553447.41666666663</v>
      </c>
      <c r="K216" s="151">
        <f>+Opex_VE[[#This Row],[Arriendo]]+Opex_VE[[#This Row],[Servicios publicos]]+Opex_VE[[#This Row],[Nomina]]</f>
        <v>221378.96666666667</v>
      </c>
      <c r="L216" s="152">
        <f>+VLOOKUP(Opex_VE[[#This Row],[Fecha]],Opex!$B:$Y,OPEX_SALES!L$1,1)</f>
        <v>55000</v>
      </c>
      <c r="M216" s="153">
        <f>+SUM(Opex_VE[[#This Row],[Internet]:[Electricidad]])</f>
        <v>26378.966666666667</v>
      </c>
      <c r="N216" s="152">
        <f>+VLOOKUP(Opex_VE[[#This Row],[Fecha]],Opex!$B:$Y,OPEX_SALES!N$1,1)</f>
        <v>3500</v>
      </c>
      <c r="O216" s="152">
        <f>+VLOOKUP(Opex_VE[[#This Row],[Fecha]],Opex!$B:$Y,OPEX_SALES!O$1,1)</f>
        <v>8243.9666666666672</v>
      </c>
      <c r="P216" s="152">
        <f>+VLOOKUP(Opex_VE[[#This Row],[Fecha]],Opex!$B:$Y,OPEX_SALES!P$1,1)</f>
        <v>4000</v>
      </c>
      <c r="Q216" s="152">
        <f>+VLOOKUP(Opex_VE[[#This Row],[Fecha]],Opex!$B:$Y,OPEX_SALES!Q$1,1)</f>
        <v>10635</v>
      </c>
      <c r="R216" s="153">
        <f>+SUM(Opex_VE[[#This Row],[Cajero]:[Domiciliario]])</f>
        <v>140000</v>
      </c>
      <c r="S216" s="152">
        <v>70000</v>
      </c>
      <c r="T216" s="152">
        <v>70000</v>
      </c>
      <c r="U216" s="152">
        <v>0</v>
      </c>
      <c r="V216"/>
    </row>
    <row r="217" spans="1:22" x14ac:dyDescent="0.2">
      <c r="A217" s="149">
        <v>46280</v>
      </c>
      <c r="B217" s="3">
        <f t="shared" si="7"/>
        <v>30</v>
      </c>
      <c r="C217" s="3" t="str">
        <f>+TEXT(Opex_VE[[#This Row],[Fecha]],"ddd")</f>
        <v>mar</v>
      </c>
      <c r="E217" s="14" t="s">
        <v>112</v>
      </c>
      <c r="F217" s="168">
        <f>IFERROR(VLOOKUP(Opex_VE[[#This Row],[Fecha]],Historia!A:B,2,0),_xlfn.XLOOKUP(Opex_VE[[#This Row],[dia]],Forecast!I:I,Forecast!J:J))</f>
        <v>199625</v>
      </c>
      <c r="G217" s="168">
        <f>IFERROR(VLOOKUP(Opex_VE[[#This Row],[Fecha]],Historia!A:C,3,0),_xlfn.XLOOKUP(Opex_VE[[#This Row],[dia]],Forecast!I:I,Forecast!K:K))</f>
        <v>79850</v>
      </c>
      <c r="H217" s="182">
        <f>+Opex_VE[[#This Row],[MG]]-Opex_VE[[#This Row],[Opex]]</f>
        <v>-144335.13793103449</v>
      </c>
      <c r="I217" s="168" t="str">
        <f>IFERROR(VLOOKUP(Opex_VE[[#This Row],[Fecha]],Historia!A:D,4,0),"Forecast")</f>
        <v>Forecast</v>
      </c>
      <c r="J217" s="157">
        <f t="shared" si="6"/>
        <v>560462.8448275862</v>
      </c>
      <c r="K217" s="151">
        <f>+Opex_VE[[#This Row],[Arriendo]]+Opex_VE[[#This Row],[Servicios publicos]]+Opex_VE[[#This Row],[Nomina]]</f>
        <v>224185.13793103449</v>
      </c>
      <c r="L217" s="152">
        <f>+VLOOKUP(Opex_VE[[#This Row],[Fecha]],Opex!$B:$Y,OPEX_SALES!L$1,1)</f>
        <v>56896.551724137928</v>
      </c>
      <c r="M217" s="153">
        <f>+SUM(Opex_VE[[#This Row],[Internet]:[Electricidad]])</f>
        <v>27288.586206896551</v>
      </c>
      <c r="N217" s="152">
        <f>+VLOOKUP(Opex_VE[[#This Row],[Fecha]],Opex!$B:$Y,OPEX_SALES!N$1,1)</f>
        <v>3620.6896551724139</v>
      </c>
      <c r="O217" s="152">
        <f>+VLOOKUP(Opex_VE[[#This Row],[Fecha]],Opex!$B:$Y,OPEX_SALES!O$1,1)</f>
        <v>8528.2413793103442</v>
      </c>
      <c r="P217" s="152">
        <f>+VLOOKUP(Opex_VE[[#This Row],[Fecha]],Opex!$B:$Y,OPEX_SALES!P$1,1)</f>
        <v>4137.9310344827591</v>
      </c>
      <c r="Q217" s="152">
        <f>+VLOOKUP(Opex_VE[[#This Row],[Fecha]],Opex!$B:$Y,OPEX_SALES!Q$1,1)</f>
        <v>11001.724137931034</v>
      </c>
      <c r="R217" s="153">
        <f>+SUM(Opex_VE[[#This Row],[Cajero]:[Domiciliario]])</f>
        <v>140000</v>
      </c>
      <c r="S217" s="152">
        <v>70000</v>
      </c>
      <c r="T217" s="152">
        <v>70000</v>
      </c>
      <c r="U217" s="152">
        <v>0</v>
      </c>
      <c r="V217"/>
    </row>
    <row r="218" spans="1:22" x14ac:dyDescent="0.2">
      <c r="A218" s="149">
        <v>46281</v>
      </c>
      <c r="B218" s="3">
        <f t="shared" si="7"/>
        <v>30</v>
      </c>
      <c r="C218" s="3" t="str">
        <f>+TEXT(Opex_VE[[#This Row],[Fecha]],"ddd")</f>
        <v>mié</v>
      </c>
      <c r="E218" s="14" t="s">
        <v>112</v>
      </c>
      <c r="F218" s="168">
        <f>IFERROR(VLOOKUP(Opex_VE[[#This Row],[Fecha]],Historia!A:B,2,0),_xlfn.XLOOKUP(Opex_VE[[#This Row],[dia]],Forecast!I:I,Forecast!J:J))</f>
        <v>339250</v>
      </c>
      <c r="G218" s="168">
        <f>IFERROR(VLOOKUP(Opex_VE[[#This Row],[Fecha]],Historia!A:C,3,0),_xlfn.XLOOKUP(Opex_VE[[#This Row],[dia]],Forecast!I:I,Forecast!K:K))</f>
        <v>135700</v>
      </c>
      <c r="H218" s="182">
        <f>+Opex_VE[[#This Row],[MG]]-Opex_VE[[#This Row],[Opex]]</f>
        <v>-88485.137931034493</v>
      </c>
      <c r="I218" s="168" t="str">
        <f>IFERROR(VLOOKUP(Opex_VE[[#This Row],[Fecha]],Historia!A:D,4,0),"Forecast")</f>
        <v>Forecast</v>
      </c>
      <c r="J218" s="157">
        <f t="shared" si="6"/>
        <v>560462.8448275862</v>
      </c>
      <c r="K218" s="151">
        <f>+Opex_VE[[#This Row],[Arriendo]]+Opex_VE[[#This Row],[Servicios publicos]]+Opex_VE[[#This Row],[Nomina]]</f>
        <v>224185.13793103449</v>
      </c>
      <c r="L218" s="152">
        <f>+VLOOKUP(Opex_VE[[#This Row],[Fecha]],Opex!$B:$Y,OPEX_SALES!L$1,1)</f>
        <v>56896.551724137928</v>
      </c>
      <c r="M218" s="153">
        <f>+SUM(Opex_VE[[#This Row],[Internet]:[Electricidad]])</f>
        <v>27288.586206896551</v>
      </c>
      <c r="N218" s="152">
        <f>+VLOOKUP(Opex_VE[[#This Row],[Fecha]],Opex!$B:$Y,OPEX_SALES!N$1,1)</f>
        <v>3620.6896551724139</v>
      </c>
      <c r="O218" s="152">
        <f>+VLOOKUP(Opex_VE[[#This Row],[Fecha]],Opex!$B:$Y,OPEX_SALES!O$1,1)</f>
        <v>8528.2413793103442</v>
      </c>
      <c r="P218" s="152">
        <f>+VLOOKUP(Opex_VE[[#This Row],[Fecha]],Opex!$B:$Y,OPEX_SALES!P$1,1)</f>
        <v>4137.9310344827591</v>
      </c>
      <c r="Q218" s="152">
        <f>+VLOOKUP(Opex_VE[[#This Row],[Fecha]],Opex!$B:$Y,OPEX_SALES!Q$1,1)</f>
        <v>11001.724137931034</v>
      </c>
      <c r="R218" s="153">
        <f>+SUM(Opex_VE[[#This Row],[Cajero]:[Domiciliario]])</f>
        <v>140000</v>
      </c>
      <c r="S218" s="152">
        <v>70000</v>
      </c>
      <c r="T218" s="152">
        <v>70000</v>
      </c>
      <c r="U218" s="152">
        <v>0</v>
      </c>
      <c r="V218"/>
    </row>
    <row r="219" spans="1:22" x14ac:dyDescent="0.2">
      <c r="A219" s="149">
        <v>46282</v>
      </c>
      <c r="B219" s="3">
        <f t="shared" si="7"/>
        <v>30</v>
      </c>
      <c r="C219" s="3" t="str">
        <f>+TEXT(Opex_VE[[#This Row],[Fecha]],"ddd")</f>
        <v>jue</v>
      </c>
      <c r="E219" s="14" t="s">
        <v>112</v>
      </c>
      <c r="F219" s="168">
        <f>IFERROR(VLOOKUP(Opex_VE[[#This Row],[Fecha]],Historia!A:B,2,0),_xlfn.XLOOKUP(Opex_VE[[#This Row],[dia]],Forecast!I:I,Forecast!J:J))</f>
        <v>274975</v>
      </c>
      <c r="G219" s="168">
        <f>IFERROR(VLOOKUP(Opex_VE[[#This Row],[Fecha]],Historia!A:C,3,0),_xlfn.XLOOKUP(Opex_VE[[#This Row],[dia]],Forecast!I:I,Forecast!K:K))</f>
        <v>109990</v>
      </c>
      <c r="H219" s="182">
        <f>+Opex_VE[[#This Row],[MG]]-Opex_VE[[#This Row],[Opex]]</f>
        <v>-114195.13793103449</v>
      </c>
      <c r="I219" s="168" t="str">
        <f>IFERROR(VLOOKUP(Opex_VE[[#This Row],[Fecha]],Historia!A:D,4,0),"Forecast")</f>
        <v>Forecast</v>
      </c>
      <c r="J219" s="157">
        <f t="shared" si="6"/>
        <v>560462.8448275862</v>
      </c>
      <c r="K219" s="151">
        <f>+Opex_VE[[#This Row],[Arriendo]]+Opex_VE[[#This Row],[Servicios publicos]]+Opex_VE[[#This Row],[Nomina]]</f>
        <v>224185.13793103449</v>
      </c>
      <c r="L219" s="152">
        <f>+VLOOKUP(Opex_VE[[#This Row],[Fecha]],Opex!$B:$Y,OPEX_SALES!L$1,1)</f>
        <v>56896.551724137928</v>
      </c>
      <c r="M219" s="153">
        <f>+SUM(Opex_VE[[#This Row],[Internet]:[Electricidad]])</f>
        <v>27288.586206896551</v>
      </c>
      <c r="N219" s="152">
        <f>+VLOOKUP(Opex_VE[[#This Row],[Fecha]],Opex!$B:$Y,OPEX_SALES!N$1,1)</f>
        <v>3620.6896551724139</v>
      </c>
      <c r="O219" s="152">
        <f>+VLOOKUP(Opex_VE[[#This Row],[Fecha]],Opex!$B:$Y,OPEX_SALES!O$1,1)</f>
        <v>8528.2413793103442</v>
      </c>
      <c r="P219" s="152">
        <f>+VLOOKUP(Opex_VE[[#This Row],[Fecha]],Opex!$B:$Y,OPEX_SALES!P$1,1)</f>
        <v>4137.9310344827591</v>
      </c>
      <c r="Q219" s="152">
        <f>+VLOOKUP(Opex_VE[[#This Row],[Fecha]],Opex!$B:$Y,OPEX_SALES!Q$1,1)</f>
        <v>11001.724137931034</v>
      </c>
      <c r="R219" s="153">
        <f>+SUM(Opex_VE[[#This Row],[Cajero]:[Domiciliario]])</f>
        <v>140000</v>
      </c>
      <c r="S219" s="152">
        <v>70000</v>
      </c>
      <c r="T219" s="152">
        <v>70000</v>
      </c>
      <c r="U219" s="152">
        <v>0</v>
      </c>
      <c r="V219"/>
    </row>
    <row r="220" spans="1:22" x14ac:dyDescent="0.2">
      <c r="A220" s="149">
        <v>46283</v>
      </c>
      <c r="B220" s="3">
        <f t="shared" si="7"/>
        <v>30</v>
      </c>
      <c r="C220" s="3" t="str">
        <f>+TEXT(Opex_VE[[#This Row],[Fecha]],"ddd")</f>
        <v>vie</v>
      </c>
      <c r="E220" s="14" t="s">
        <v>217</v>
      </c>
      <c r="F220" s="168">
        <f>IFERROR(VLOOKUP(Opex_VE[[#This Row],[Fecha]],Historia!A:B,2,0),_xlfn.XLOOKUP(Opex_VE[[#This Row],[dia]],Forecast!I:I,Forecast!J:J))</f>
        <v>184566.66666666666</v>
      </c>
      <c r="G220" s="168">
        <f>IFERROR(VLOOKUP(Opex_VE[[#This Row],[Fecha]],Historia!A:C,3,0),_xlfn.XLOOKUP(Opex_VE[[#This Row],[dia]],Forecast!I:I,Forecast!K:K))</f>
        <v>73826.666666666672</v>
      </c>
      <c r="H220" s="182">
        <f>+Opex_VE[[#This Row],[MG]]-Opex_VE[[#This Row],[Opex]]</f>
        <v>-150358.47126436781</v>
      </c>
      <c r="I220" s="168" t="str">
        <f>IFERROR(VLOOKUP(Opex_VE[[#This Row],[Fecha]],Historia!A:D,4,0),"Forecast")</f>
        <v>Forecast</v>
      </c>
      <c r="J220" s="157">
        <f t="shared" si="6"/>
        <v>560462.8448275862</v>
      </c>
      <c r="K220" s="151">
        <f>+Opex_VE[[#This Row],[Arriendo]]+Opex_VE[[#This Row],[Servicios publicos]]+Opex_VE[[#This Row],[Nomina]]</f>
        <v>224185.13793103449</v>
      </c>
      <c r="L220" s="152">
        <f>+VLOOKUP(Opex_VE[[#This Row],[Fecha]],Opex!$B:$Y,OPEX_SALES!L$1,1)</f>
        <v>56896.551724137928</v>
      </c>
      <c r="M220" s="153">
        <f>+SUM(Opex_VE[[#This Row],[Internet]:[Electricidad]])</f>
        <v>27288.586206896551</v>
      </c>
      <c r="N220" s="152">
        <f>+VLOOKUP(Opex_VE[[#This Row],[Fecha]],Opex!$B:$Y,OPEX_SALES!N$1,1)</f>
        <v>3620.6896551724139</v>
      </c>
      <c r="O220" s="152">
        <f>+VLOOKUP(Opex_VE[[#This Row],[Fecha]],Opex!$B:$Y,OPEX_SALES!O$1,1)</f>
        <v>8528.2413793103442</v>
      </c>
      <c r="P220" s="152">
        <f>+VLOOKUP(Opex_VE[[#This Row],[Fecha]],Opex!$B:$Y,OPEX_SALES!P$1,1)</f>
        <v>4137.9310344827591</v>
      </c>
      <c r="Q220" s="152">
        <f>+VLOOKUP(Opex_VE[[#This Row],[Fecha]],Opex!$B:$Y,OPEX_SALES!Q$1,1)</f>
        <v>11001.724137931034</v>
      </c>
      <c r="R220" s="153">
        <f>+SUM(Opex_VE[[#This Row],[Cajero]:[Domiciliario]])</f>
        <v>140000</v>
      </c>
      <c r="S220" s="152">
        <v>70000</v>
      </c>
      <c r="T220" s="152">
        <v>70000</v>
      </c>
      <c r="U220" s="152">
        <v>0</v>
      </c>
      <c r="V220"/>
    </row>
    <row r="221" spans="1:22" x14ac:dyDescent="0.2">
      <c r="A221" s="149">
        <v>46284</v>
      </c>
      <c r="B221" s="3">
        <f t="shared" si="7"/>
        <v>30</v>
      </c>
      <c r="C221" s="3" t="str">
        <f>+TEXT(Opex_VE[[#This Row],[Fecha]],"ddd")</f>
        <v>sáb</v>
      </c>
      <c r="E221" s="14" t="s">
        <v>113</v>
      </c>
      <c r="F221" s="168">
        <f>IFERROR(VLOOKUP(Opex_VE[[#This Row],[Fecha]],Historia!A:B,2,0),_xlfn.XLOOKUP(Opex_VE[[#This Row],[dia]],Forecast!I:I,Forecast!J:J))</f>
        <v>398333.33333333331</v>
      </c>
      <c r="G221" s="168">
        <f>IFERROR(VLOOKUP(Opex_VE[[#This Row],[Fecha]],Historia!A:C,3,0),_xlfn.XLOOKUP(Opex_VE[[#This Row],[dia]],Forecast!I:I,Forecast!K:K))</f>
        <v>159333.33333333334</v>
      </c>
      <c r="H221" s="182">
        <f>+Opex_VE[[#This Row],[MG]]-Opex_VE[[#This Row],[Opex]]</f>
        <v>-64851.80459770115</v>
      </c>
      <c r="I221" s="169" t="str">
        <f>IFERROR(VLOOKUP(Opex_VE[[#This Row],[Fecha]],Historia!A:D,4,0),"Forecast")</f>
        <v>Forecast</v>
      </c>
      <c r="J221" s="157">
        <f t="shared" si="6"/>
        <v>560462.8448275862</v>
      </c>
      <c r="K221" s="151">
        <f>+Opex_VE[[#This Row],[Arriendo]]+Opex_VE[[#This Row],[Servicios publicos]]+Opex_VE[[#This Row],[Nomina]]</f>
        <v>224185.13793103449</v>
      </c>
      <c r="L221" s="152">
        <f>+VLOOKUP(Opex_VE[[#This Row],[Fecha]],Opex!$B:$Y,OPEX_SALES!L$1,1)</f>
        <v>56896.551724137928</v>
      </c>
      <c r="M221" s="153">
        <f>+SUM(Opex_VE[[#This Row],[Internet]:[Electricidad]])</f>
        <v>27288.586206896551</v>
      </c>
      <c r="N221" s="152">
        <f>+VLOOKUP(Opex_VE[[#This Row],[Fecha]],Opex!$B:$Y,OPEX_SALES!N$1,1)</f>
        <v>3620.6896551724139</v>
      </c>
      <c r="O221" s="152">
        <f>+VLOOKUP(Opex_VE[[#This Row],[Fecha]],Opex!$B:$Y,OPEX_SALES!O$1,1)</f>
        <v>8528.2413793103442</v>
      </c>
      <c r="P221" s="152">
        <f>+VLOOKUP(Opex_VE[[#This Row],[Fecha]],Opex!$B:$Y,OPEX_SALES!P$1,1)</f>
        <v>4137.9310344827591</v>
      </c>
      <c r="Q221" s="152">
        <f>+VLOOKUP(Opex_VE[[#This Row],[Fecha]],Opex!$B:$Y,OPEX_SALES!Q$1,1)</f>
        <v>11001.724137931034</v>
      </c>
      <c r="R221" s="153">
        <f>+SUM(Opex_VE[[#This Row],[Cajero]:[Domiciliario]])</f>
        <v>140000</v>
      </c>
      <c r="S221" s="152">
        <v>70000</v>
      </c>
      <c r="T221" s="152">
        <v>70000</v>
      </c>
      <c r="U221" s="152">
        <v>0</v>
      </c>
      <c r="V221"/>
    </row>
    <row r="222" spans="1:22" x14ac:dyDescent="0.2">
      <c r="A222" s="149">
        <v>46285</v>
      </c>
      <c r="B222" s="3">
        <f t="shared" si="7"/>
        <v>30</v>
      </c>
      <c r="C222" s="3" t="str">
        <f>+TEXT(Opex_VE[[#This Row],[Fecha]],"ddd")</f>
        <v>dom</v>
      </c>
      <c r="E222" s="14" t="s">
        <v>145</v>
      </c>
      <c r="F222" s="168">
        <f>IFERROR(VLOOKUP(Opex_VE[[#This Row],[Fecha]],Historia!A:B,2,0),_xlfn.XLOOKUP(Opex_VE[[#This Row],[dia]],Forecast!I:I,Forecast!J:J))</f>
        <v>168750</v>
      </c>
      <c r="G222" s="168">
        <f>IFERROR(VLOOKUP(Opex_VE[[#This Row],[Fecha]],Historia!A:C,3,0),_xlfn.XLOOKUP(Opex_VE[[#This Row],[dia]],Forecast!I:I,Forecast!K:K))</f>
        <v>67500</v>
      </c>
      <c r="H222" s="182">
        <f>+Opex_VE[[#This Row],[MG]]-Opex_VE[[#This Row],[Opex]]</f>
        <v>-156685.13793103449</v>
      </c>
      <c r="I222" s="168" t="str">
        <f>IFERROR(VLOOKUP(Opex_VE[[#This Row],[Fecha]],Historia!A:D,4,0),"Forecast")</f>
        <v>Forecast</v>
      </c>
      <c r="J222" s="157">
        <f t="shared" si="6"/>
        <v>560462.8448275862</v>
      </c>
      <c r="K222" s="151">
        <f>+Opex_VE[[#This Row],[Arriendo]]+Opex_VE[[#This Row],[Servicios publicos]]+Opex_VE[[#This Row],[Nomina]]</f>
        <v>224185.13793103449</v>
      </c>
      <c r="L222" s="152">
        <f>+VLOOKUP(Opex_VE[[#This Row],[Fecha]],Opex!$B:$Y,OPEX_SALES!L$1,1)</f>
        <v>56896.551724137928</v>
      </c>
      <c r="M222" s="153">
        <f>+SUM(Opex_VE[[#This Row],[Internet]:[Electricidad]])</f>
        <v>27288.586206896551</v>
      </c>
      <c r="N222" s="152">
        <f>+VLOOKUP(Opex_VE[[#This Row],[Fecha]],Opex!$B:$Y,OPEX_SALES!N$1,1)</f>
        <v>3620.6896551724139</v>
      </c>
      <c r="O222" s="152">
        <f>+VLOOKUP(Opex_VE[[#This Row],[Fecha]],Opex!$B:$Y,OPEX_SALES!O$1,1)</f>
        <v>8528.2413793103442</v>
      </c>
      <c r="P222" s="152">
        <f>+VLOOKUP(Opex_VE[[#This Row],[Fecha]],Opex!$B:$Y,OPEX_SALES!P$1,1)</f>
        <v>4137.9310344827591</v>
      </c>
      <c r="Q222" s="152">
        <f>+VLOOKUP(Opex_VE[[#This Row],[Fecha]],Opex!$B:$Y,OPEX_SALES!Q$1,1)</f>
        <v>11001.724137931034</v>
      </c>
      <c r="R222" s="153">
        <f>+SUM(Opex_VE[[#This Row],[Cajero]:[Domiciliario]])</f>
        <v>140000</v>
      </c>
      <c r="S222" s="152">
        <v>70000</v>
      </c>
      <c r="T222" s="152">
        <v>70000</v>
      </c>
      <c r="U222" s="152">
        <v>0</v>
      </c>
      <c r="V222"/>
    </row>
    <row r="223" spans="1:22" x14ac:dyDescent="0.2">
      <c r="A223" s="149">
        <v>46286</v>
      </c>
      <c r="B223" s="3">
        <f t="shared" si="7"/>
        <v>31</v>
      </c>
      <c r="C223" s="3" t="str">
        <f>+TEXT(Opex_VE[[#This Row],[Fecha]],"ddd")</f>
        <v>lun</v>
      </c>
      <c r="E223" s="14" t="s">
        <v>112</v>
      </c>
      <c r="F223" s="168">
        <f>IFERROR(VLOOKUP(Opex_VE[[#This Row],[Fecha]],Historia!A:B,2,0),_xlfn.XLOOKUP(Opex_VE[[#This Row],[dia]],Forecast!I:I,Forecast!J:J))</f>
        <v>164375</v>
      </c>
      <c r="G223" s="168">
        <f>IFERROR(VLOOKUP(Opex_VE[[#This Row],[Fecha]],Historia!A:C,3,0),_xlfn.XLOOKUP(Opex_VE[[#This Row],[dia]],Forecast!I:I,Forecast!K:K))</f>
        <v>65750</v>
      </c>
      <c r="H223" s="182">
        <f>+Opex_VE[[#This Row],[MG]]-Opex_VE[[#This Row],[Opex]]</f>
        <v>-158435.13793103449</v>
      </c>
      <c r="I223" s="168" t="str">
        <f>IFERROR(VLOOKUP(Opex_VE[[#This Row],[Fecha]],Historia!A:D,4,0),"Forecast")</f>
        <v>Forecast</v>
      </c>
      <c r="J223" s="157">
        <f t="shared" si="6"/>
        <v>560462.8448275862</v>
      </c>
      <c r="K223" s="151">
        <f>+Opex_VE[[#This Row],[Arriendo]]+Opex_VE[[#This Row],[Servicios publicos]]+Opex_VE[[#This Row],[Nomina]]</f>
        <v>224185.13793103449</v>
      </c>
      <c r="L223" s="152">
        <f>+VLOOKUP(Opex_VE[[#This Row],[Fecha]],Opex!$B:$Y,OPEX_SALES!L$1,1)</f>
        <v>56896.551724137928</v>
      </c>
      <c r="M223" s="153">
        <f>+SUM(Opex_VE[[#This Row],[Internet]:[Electricidad]])</f>
        <v>27288.586206896551</v>
      </c>
      <c r="N223" s="152">
        <f>+VLOOKUP(Opex_VE[[#This Row],[Fecha]],Opex!$B:$Y,OPEX_SALES!N$1,1)</f>
        <v>3620.6896551724139</v>
      </c>
      <c r="O223" s="152">
        <f>+VLOOKUP(Opex_VE[[#This Row],[Fecha]],Opex!$B:$Y,OPEX_SALES!O$1,1)</f>
        <v>8528.2413793103442</v>
      </c>
      <c r="P223" s="152">
        <f>+VLOOKUP(Opex_VE[[#This Row],[Fecha]],Opex!$B:$Y,OPEX_SALES!P$1,1)</f>
        <v>4137.9310344827591</v>
      </c>
      <c r="Q223" s="152">
        <f>+VLOOKUP(Opex_VE[[#This Row],[Fecha]],Opex!$B:$Y,OPEX_SALES!Q$1,1)</f>
        <v>11001.724137931034</v>
      </c>
      <c r="R223" s="153">
        <f>+SUM(Opex_VE[[#This Row],[Cajero]:[Domiciliario]])</f>
        <v>140000</v>
      </c>
      <c r="S223" s="152">
        <v>70000</v>
      </c>
      <c r="T223" s="152">
        <v>70000</v>
      </c>
      <c r="U223" s="152">
        <v>0</v>
      </c>
      <c r="V223"/>
    </row>
    <row r="224" spans="1:22" x14ac:dyDescent="0.2">
      <c r="A224" s="149">
        <v>46287</v>
      </c>
      <c r="B224" s="3">
        <f t="shared" si="7"/>
        <v>31</v>
      </c>
      <c r="C224" s="3" t="str">
        <f>+TEXT(Opex_VE[[#This Row],[Fecha]],"ddd")</f>
        <v>mar</v>
      </c>
      <c r="E224" s="14" t="s">
        <v>112</v>
      </c>
      <c r="F224" s="168">
        <f>IFERROR(VLOOKUP(Opex_VE[[#This Row],[Fecha]],Historia!A:B,2,0),_xlfn.XLOOKUP(Opex_VE[[#This Row],[dia]],Forecast!I:I,Forecast!J:J))</f>
        <v>199625</v>
      </c>
      <c r="G224" s="168">
        <f>IFERROR(VLOOKUP(Opex_VE[[#This Row],[Fecha]],Historia!A:C,3,0),_xlfn.XLOOKUP(Opex_VE[[#This Row],[dia]],Forecast!I:I,Forecast!K:K))</f>
        <v>79850</v>
      </c>
      <c r="H224" s="182">
        <f>+Opex_VE[[#This Row],[MG]]-Opex_VE[[#This Row],[Opex]]</f>
        <v>-144335.13793103449</v>
      </c>
      <c r="I224" s="168" t="str">
        <f>IFERROR(VLOOKUP(Opex_VE[[#This Row],[Fecha]],Historia!A:D,4,0),"Forecast")</f>
        <v>Forecast</v>
      </c>
      <c r="J224" s="157">
        <f t="shared" si="6"/>
        <v>560462.8448275862</v>
      </c>
      <c r="K224" s="151">
        <f>+Opex_VE[[#This Row],[Arriendo]]+Opex_VE[[#This Row],[Servicios publicos]]+Opex_VE[[#This Row],[Nomina]]</f>
        <v>224185.13793103449</v>
      </c>
      <c r="L224" s="152">
        <f>+VLOOKUP(Opex_VE[[#This Row],[Fecha]],Opex!$B:$Y,OPEX_SALES!L$1,1)</f>
        <v>56896.551724137928</v>
      </c>
      <c r="M224" s="153">
        <f>+SUM(Opex_VE[[#This Row],[Internet]:[Electricidad]])</f>
        <v>27288.586206896551</v>
      </c>
      <c r="N224" s="152">
        <f>+VLOOKUP(Opex_VE[[#This Row],[Fecha]],Opex!$B:$Y,OPEX_SALES!N$1,1)</f>
        <v>3620.6896551724139</v>
      </c>
      <c r="O224" s="152">
        <f>+VLOOKUP(Opex_VE[[#This Row],[Fecha]],Opex!$B:$Y,OPEX_SALES!O$1,1)</f>
        <v>8528.2413793103442</v>
      </c>
      <c r="P224" s="152">
        <f>+VLOOKUP(Opex_VE[[#This Row],[Fecha]],Opex!$B:$Y,OPEX_SALES!P$1,1)</f>
        <v>4137.9310344827591</v>
      </c>
      <c r="Q224" s="152">
        <f>+VLOOKUP(Opex_VE[[#This Row],[Fecha]],Opex!$B:$Y,OPEX_SALES!Q$1,1)</f>
        <v>11001.724137931034</v>
      </c>
      <c r="R224" s="153">
        <f>+SUM(Opex_VE[[#This Row],[Cajero]:[Domiciliario]])</f>
        <v>140000</v>
      </c>
      <c r="S224" s="152">
        <v>70000</v>
      </c>
      <c r="T224" s="152">
        <v>70000</v>
      </c>
      <c r="U224" s="152">
        <v>0</v>
      </c>
      <c r="V224"/>
    </row>
    <row r="225" spans="1:22" x14ac:dyDescent="0.2">
      <c r="A225" s="149">
        <v>46288</v>
      </c>
      <c r="B225" s="3">
        <f t="shared" si="7"/>
        <v>31</v>
      </c>
      <c r="C225" s="3" t="str">
        <f>+TEXT(Opex_VE[[#This Row],[Fecha]],"ddd")</f>
        <v>mié</v>
      </c>
      <c r="E225" s="14" t="s">
        <v>112</v>
      </c>
      <c r="F225" s="168">
        <f>IFERROR(VLOOKUP(Opex_VE[[#This Row],[Fecha]],Historia!A:B,2,0),_xlfn.XLOOKUP(Opex_VE[[#This Row],[dia]],Forecast!I:I,Forecast!J:J))</f>
        <v>339250</v>
      </c>
      <c r="G225" s="168">
        <f>IFERROR(VLOOKUP(Opex_VE[[#This Row],[Fecha]],Historia!A:C,3,0),_xlfn.XLOOKUP(Opex_VE[[#This Row],[dia]],Forecast!I:I,Forecast!K:K))</f>
        <v>135700</v>
      </c>
      <c r="H225" s="182">
        <f>+Opex_VE[[#This Row],[MG]]-Opex_VE[[#This Row],[Opex]]</f>
        <v>-88485.137931034493</v>
      </c>
      <c r="I225" s="168" t="str">
        <f>IFERROR(VLOOKUP(Opex_VE[[#This Row],[Fecha]],Historia!A:D,4,0),"Forecast")</f>
        <v>Forecast</v>
      </c>
      <c r="J225" s="157">
        <f t="shared" si="6"/>
        <v>560462.8448275862</v>
      </c>
      <c r="K225" s="151">
        <f>+Opex_VE[[#This Row],[Arriendo]]+Opex_VE[[#This Row],[Servicios publicos]]+Opex_VE[[#This Row],[Nomina]]</f>
        <v>224185.13793103449</v>
      </c>
      <c r="L225" s="152">
        <f>+VLOOKUP(Opex_VE[[#This Row],[Fecha]],Opex!$B:$Y,OPEX_SALES!L$1,1)</f>
        <v>56896.551724137928</v>
      </c>
      <c r="M225" s="153">
        <f>+SUM(Opex_VE[[#This Row],[Internet]:[Electricidad]])</f>
        <v>27288.586206896551</v>
      </c>
      <c r="N225" s="152">
        <f>+VLOOKUP(Opex_VE[[#This Row],[Fecha]],Opex!$B:$Y,OPEX_SALES!N$1,1)</f>
        <v>3620.6896551724139</v>
      </c>
      <c r="O225" s="152">
        <f>+VLOOKUP(Opex_VE[[#This Row],[Fecha]],Opex!$B:$Y,OPEX_SALES!O$1,1)</f>
        <v>8528.2413793103442</v>
      </c>
      <c r="P225" s="152">
        <f>+VLOOKUP(Opex_VE[[#This Row],[Fecha]],Opex!$B:$Y,OPEX_SALES!P$1,1)</f>
        <v>4137.9310344827591</v>
      </c>
      <c r="Q225" s="152">
        <f>+VLOOKUP(Opex_VE[[#This Row],[Fecha]],Opex!$B:$Y,OPEX_SALES!Q$1,1)</f>
        <v>11001.724137931034</v>
      </c>
      <c r="R225" s="153">
        <f>+SUM(Opex_VE[[#This Row],[Cajero]:[Domiciliario]])</f>
        <v>140000</v>
      </c>
      <c r="S225" s="152">
        <v>70000</v>
      </c>
      <c r="T225" s="152">
        <v>70000</v>
      </c>
      <c r="U225" s="152">
        <v>0</v>
      </c>
      <c r="V225"/>
    </row>
    <row r="226" spans="1:22" x14ac:dyDescent="0.2">
      <c r="A226" s="149">
        <v>46289</v>
      </c>
      <c r="B226" s="3">
        <f t="shared" si="7"/>
        <v>31</v>
      </c>
      <c r="C226" s="3" t="str">
        <f>+TEXT(Opex_VE[[#This Row],[Fecha]],"ddd")</f>
        <v>jue</v>
      </c>
      <c r="E226" s="14" t="s">
        <v>112</v>
      </c>
      <c r="F226" s="168">
        <f>IFERROR(VLOOKUP(Opex_VE[[#This Row],[Fecha]],Historia!A:B,2,0),_xlfn.XLOOKUP(Opex_VE[[#This Row],[dia]],Forecast!I:I,Forecast!J:J))</f>
        <v>274975</v>
      </c>
      <c r="G226" s="168">
        <f>IFERROR(VLOOKUP(Opex_VE[[#This Row],[Fecha]],Historia!A:C,3,0),_xlfn.XLOOKUP(Opex_VE[[#This Row],[dia]],Forecast!I:I,Forecast!K:K))</f>
        <v>109990</v>
      </c>
      <c r="H226" s="182">
        <f>+Opex_VE[[#This Row],[MG]]-Opex_VE[[#This Row],[Opex]]</f>
        <v>-114195.13793103449</v>
      </c>
      <c r="I226" s="168" t="str">
        <f>IFERROR(VLOOKUP(Opex_VE[[#This Row],[Fecha]],Historia!A:D,4,0),"Forecast")</f>
        <v>Forecast</v>
      </c>
      <c r="J226" s="157">
        <f t="shared" si="6"/>
        <v>560462.8448275862</v>
      </c>
      <c r="K226" s="151">
        <f>+Opex_VE[[#This Row],[Arriendo]]+Opex_VE[[#This Row],[Servicios publicos]]+Opex_VE[[#This Row],[Nomina]]</f>
        <v>224185.13793103449</v>
      </c>
      <c r="L226" s="152">
        <f>+VLOOKUP(Opex_VE[[#This Row],[Fecha]],Opex!$B:$Y,OPEX_SALES!L$1,1)</f>
        <v>56896.551724137928</v>
      </c>
      <c r="M226" s="153">
        <f>+SUM(Opex_VE[[#This Row],[Internet]:[Electricidad]])</f>
        <v>27288.586206896551</v>
      </c>
      <c r="N226" s="152">
        <f>+VLOOKUP(Opex_VE[[#This Row],[Fecha]],Opex!$B:$Y,OPEX_SALES!N$1,1)</f>
        <v>3620.6896551724139</v>
      </c>
      <c r="O226" s="152">
        <f>+VLOOKUP(Opex_VE[[#This Row],[Fecha]],Opex!$B:$Y,OPEX_SALES!O$1,1)</f>
        <v>8528.2413793103442</v>
      </c>
      <c r="P226" s="152">
        <f>+VLOOKUP(Opex_VE[[#This Row],[Fecha]],Opex!$B:$Y,OPEX_SALES!P$1,1)</f>
        <v>4137.9310344827591</v>
      </c>
      <c r="Q226" s="152">
        <f>+VLOOKUP(Opex_VE[[#This Row],[Fecha]],Opex!$B:$Y,OPEX_SALES!Q$1,1)</f>
        <v>11001.724137931034</v>
      </c>
      <c r="R226" s="153">
        <f>+SUM(Opex_VE[[#This Row],[Cajero]:[Domiciliario]])</f>
        <v>140000</v>
      </c>
      <c r="S226" s="152">
        <v>70000</v>
      </c>
      <c r="T226" s="152">
        <v>70000</v>
      </c>
      <c r="U226" s="152">
        <v>0</v>
      </c>
      <c r="V226"/>
    </row>
    <row r="227" spans="1:22" x14ac:dyDescent="0.2">
      <c r="A227" s="149">
        <v>46290</v>
      </c>
      <c r="B227" s="3">
        <f t="shared" si="7"/>
        <v>31</v>
      </c>
      <c r="C227" s="3" t="str">
        <f>+TEXT(Opex_VE[[#This Row],[Fecha]],"ddd")</f>
        <v>vie</v>
      </c>
      <c r="E227" s="14" t="s">
        <v>217</v>
      </c>
      <c r="F227" s="168">
        <f>IFERROR(VLOOKUP(Opex_VE[[#This Row],[Fecha]],Historia!A:B,2,0),_xlfn.XLOOKUP(Opex_VE[[#This Row],[dia]],Forecast!I:I,Forecast!J:J))</f>
        <v>184566.66666666666</v>
      </c>
      <c r="G227" s="168">
        <f>IFERROR(VLOOKUP(Opex_VE[[#This Row],[Fecha]],Historia!A:C,3,0),_xlfn.XLOOKUP(Opex_VE[[#This Row],[dia]],Forecast!I:I,Forecast!K:K))</f>
        <v>73826.666666666672</v>
      </c>
      <c r="H227" s="182">
        <f>+Opex_VE[[#This Row],[MG]]-Opex_VE[[#This Row],[Opex]]</f>
        <v>-150358.47126436781</v>
      </c>
      <c r="I227" s="168" t="str">
        <f>IFERROR(VLOOKUP(Opex_VE[[#This Row],[Fecha]],Historia!A:D,4,0),"Forecast")</f>
        <v>Forecast</v>
      </c>
      <c r="J227" s="157">
        <f t="shared" si="6"/>
        <v>560462.8448275862</v>
      </c>
      <c r="K227" s="151">
        <f>+Opex_VE[[#This Row],[Arriendo]]+Opex_VE[[#This Row],[Servicios publicos]]+Opex_VE[[#This Row],[Nomina]]</f>
        <v>224185.13793103449</v>
      </c>
      <c r="L227" s="152">
        <f>+VLOOKUP(Opex_VE[[#This Row],[Fecha]],Opex!$B:$Y,OPEX_SALES!L$1,1)</f>
        <v>56896.551724137928</v>
      </c>
      <c r="M227" s="153">
        <f>+SUM(Opex_VE[[#This Row],[Internet]:[Electricidad]])</f>
        <v>27288.586206896551</v>
      </c>
      <c r="N227" s="152">
        <f>+VLOOKUP(Opex_VE[[#This Row],[Fecha]],Opex!$B:$Y,OPEX_SALES!N$1,1)</f>
        <v>3620.6896551724139</v>
      </c>
      <c r="O227" s="152">
        <f>+VLOOKUP(Opex_VE[[#This Row],[Fecha]],Opex!$B:$Y,OPEX_SALES!O$1,1)</f>
        <v>8528.2413793103442</v>
      </c>
      <c r="P227" s="152">
        <f>+VLOOKUP(Opex_VE[[#This Row],[Fecha]],Opex!$B:$Y,OPEX_SALES!P$1,1)</f>
        <v>4137.9310344827591</v>
      </c>
      <c r="Q227" s="152">
        <f>+VLOOKUP(Opex_VE[[#This Row],[Fecha]],Opex!$B:$Y,OPEX_SALES!Q$1,1)</f>
        <v>11001.724137931034</v>
      </c>
      <c r="R227" s="153">
        <f>+SUM(Opex_VE[[#This Row],[Cajero]:[Domiciliario]])</f>
        <v>140000</v>
      </c>
      <c r="S227" s="152">
        <v>70000</v>
      </c>
      <c r="T227" s="152">
        <v>70000</v>
      </c>
      <c r="U227" s="152">
        <v>0</v>
      </c>
      <c r="V227"/>
    </row>
    <row r="228" spans="1:22" x14ac:dyDescent="0.2">
      <c r="A228" s="149">
        <v>46291</v>
      </c>
      <c r="B228" s="3">
        <f t="shared" si="7"/>
        <v>31</v>
      </c>
      <c r="C228" s="3" t="str">
        <f>+TEXT(Opex_VE[[#This Row],[Fecha]],"ddd")</f>
        <v>sáb</v>
      </c>
      <c r="E228" s="14" t="s">
        <v>113</v>
      </c>
      <c r="F228" s="168">
        <f>IFERROR(VLOOKUP(Opex_VE[[#This Row],[Fecha]],Historia!A:B,2,0),_xlfn.XLOOKUP(Opex_VE[[#This Row],[dia]],Forecast!I:I,Forecast!J:J))</f>
        <v>398333.33333333331</v>
      </c>
      <c r="G228" s="168">
        <f>IFERROR(VLOOKUP(Opex_VE[[#This Row],[Fecha]],Historia!A:C,3,0),_xlfn.XLOOKUP(Opex_VE[[#This Row],[dia]],Forecast!I:I,Forecast!K:K))</f>
        <v>159333.33333333334</v>
      </c>
      <c r="H228" s="182">
        <f>+Opex_VE[[#This Row],[MG]]-Opex_VE[[#This Row],[Opex]]</f>
        <v>-64851.80459770115</v>
      </c>
      <c r="I228" s="169" t="str">
        <f>IFERROR(VLOOKUP(Opex_VE[[#This Row],[Fecha]],Historia!A:D,4,0),"Forecast")</f>
        <v>Forecast</v>
      </c>
      <c r="J228" s="157">
        <f t="shared" si="6"/>
        <v>560462.8448275862</v>
      </c>
      <c r="K228" s="151">
        <f>+Opex_VE[[#This Row],[Arriendo]]+Opex_VE[[#This Row],[Servicios publicos]]+Opex_VE[[#This Row],[Nomina]]</f>
        <v>224185.13793103449</v>
      </c>
      <c r="L228" s="152">
        <f>+VLOOKUP(Opex_VE[[#This Row],[Fecha]],Opex!$B:$Y,OPEX_SALES!L$1,1)</f>
        <v>56896.551724137928</v>
      </c>
      <c r="M228" s="153">
        <f>+SUM(Opex_VE[[#This Row],[Internet]:[Electricidad]])</f>
        <v>27288.586206896551</v>
      </c>
      <c r="N228" s="152">
        <f>+VLOOKUP(Opex_VE[[#This Row],[Fecha]],Opex!$B:$Y,OPEX_SALES!N$1,1)</f>
        <v>3620.6896551724139</v>
      </c>
      <c r="O228" s="152">
        <f>+VLOOKUP(Opex_VE[[#This Row],[Fecha]],Opex!$B:$Y,OPEX_SALES!O$1,1)</f>
        <v>8528.2413793103442</v>
      </c>
      <c r="P228" s="152">
        <f>+VLOOKUP(Opex_VE[[#This Row],[Fecha]],Opex!$B:$Y,OPEX_SALES!P$1,1)</f>
        <v>4137.9310344827591</v>
      </c>
      <c r="Q228" s="152">
        <f>+VLOOKUP(Opex_VE[[#This Row],[Fecha]],Opex!$B:$Y,OPEX_SALES!Q$1,1)</f>
        <v>11001.724137931034</v>
      </c>
      <c r="R228" s="153">
        <f>+SUM(Opex_VE[[#This Row],[Cajero]:[Domiciliario]])</f>
        <v>140000</v>
      </c>
      <c r="S228" s="152">
        <v>70000</v>
      </c>
      <c r="T228" s="152">
        <v>70000</v>
      </c>
      <c r="U228" s="152">
        <v>0</v>
      </c>
      <c r="V228"/>
    </row>
    <row r="229" spans="1:22" x14ac:dyDescent="0.2">
      <c r="A229" s="149">
        <v>46292</v>
      </c>
      <c r="B229" s="3">
        <f t="shared" si="7"/>
        <v>31</v>
      </c>
      <c r="C229" s="3" t="str">
        <f>+TEXT(Opex_VE[[#This Row],[Fecha]],"ddd")</f>
        <v>dom</v>
      </c>
      <c r="E229" s="14" t="s">
        <v>145</v>
      </c>
      <c r="F229" s="168">
        <f>IFERROR(VLOOKUP(Opex_VE[[#This Row],[Fecha]],Historia!A:B,2,0),_xlfn.XLOOKUP(Opex_VE[[#This Row],[dia]],Forecast!I:I,Forecast!J:J))</f>
        <v>168750</v>
      </c>
      <c r="G229" s="168">
        <f>IFERROR(VLOOKUP(Opex_VE[[#This Row],[Fecha]],Historia!A:C,3,0),_xlfn.XLOOKUP(Opex_VE[[#This Row],[dia]],Forecast!I:I,Forecast!K:K))</f>
        <v>67500</v>
      </c>
      <c r="H229" s="182">
        <f>+Opex_VE[[#This Row],[MG]]-Opex_VE[[#This Row],[Opex]]</f>
        <v>-156685.13793103449</v>
      </c>
      <c r="I229" s="168" t="str">
        <f>IFERROR(VLOOKUP(Opex_VE[[#This Row],[Fecha]],Historia!A:D,4,0),"Forecast")</f>
        <v>Forecast</v>
      </c>
      <c r="J229" s="157">
        <f t="shared" si="6"/>
        <v>560462.8448275862</v>
      </c>
      <c r="K229" s="151">
        <f>+Opex_VE[[#This Row],[Arriendo]]+Opex_VE[[#This Row],[Servicios publicos]]+Opex_VE[[#This Row],[Nomina]]</f>
        <v>224185.13793103449</v>
      </c>
      <c r="L229" s="152">
        <f>+VLOOKUP(Opex_VE[[#This Row],[Fecha]],Opex!$B:$Y,OPEX_SALES!L$1,1)</f>
        <v>56896.551724137928</v>
      </c>
      <c r="M229" s="153">
        <f>+SUM(Opex_VE[[#This Row],[Internet]:[Electricidad]])</f>
        <v>27288.586206896551</v>
      </c>
      <c r="N229" s="152">
        <f>+VLOOKUP(Opex_VE[[#This Row],[Fecha]],Opex!$B:$Y,OPEX_SALES!N$1,1)</f>
        <v>3620.6896551724139</v>
      </c>
      <c r="O229" s="152">
        <f>+VLOOKUP(Opex_VE[[#This Row],[Fecha]],Opex!$B:$Y,OPEX_SALES!O$1,1)</f>
        <v>8528.2413793103442</v>
      </c>
      <c r="P229" s="152">
        <f>+VLOOKUP(Opex_VE[[#This Row],[Fecha]],Opex!$B:$Y,OPEX_SALES!P$1,1)</f>
        <v>4137.9310344827591</v>
      </c>
      <c r="Q229" s="152">
        <f>+VLOOKUP(Opex_VE[[#This Row],[Fecha]],Opex!$B:$Y,OPEX_SALES!Q$1,1)</f>
        <v>11001.724137931034</v>
      </c>
      <c r="R229" s="153">
        <f>+SUM(Opex_VE[[#This Row],[Cajero]:[Domiciliario]])</f>
        <v>140000</v>
      </c>
      <c r="S229" s="152">
        <v>70000</v>
      </c>
      <c r="T229" s="152">
        <v>70000</v>
      </c>
      <c r="U229" s="152">
        <v>0</v>
      </c>
      <c r="V229"/>
    </row>
    <row r="230" spans="1:22" x14ac:dyDescent="0.2">
      <c r="A230" s="149">
        <v>46293</v>
      </c>
      <c r="B230" s="3">
        <f t="shared" si="7"/>
        <v>32</v>
      </c>
      <c r="C230" s="3" t="str">
        <f>+TEXT(Opex_VE[[#This Row],[Fecha]],"ddd")</f>
        <v>lun</v>
      </c>
      <c r="E230" s="14" t="s">
        <v>112</v>
      </c>
      <c r="F230" s="168">
        <f>IFERROR(VLOOKUP(Opex_VE[[#This Row],[Fecha]],Historia!A:B,2,0),_xlfn.XLOOKUP(Opex_VE[[#This Row],[dia]],Forecast!I:I,Forecast!J:J))</f>
        <v>164375</v>
      </c>
      <c r="G230" s="168">
        <f>IFERROR(VLOOKUP(Opex_VE[[#This Row],[Fecha]],Historia!A:C,3,0),_xlfn.XLOOKUP(Opex_VE[[#This Row],[dia]],Forecast!I:I,Forecast!K:K))</f>
        <v>65750</v>
      </c>
      <c r="H230" s="182">
        <f>+Opex_VE[[#This Row],[MG]]-Opex_VE[[#This Row],[Opex]]</f>
        <v>-158435.13793103449</v>
      </c>
      <c r="I230" s="168" t="str">
        <f>IFERROR(VLOOKUP(Opex_VE[[#This Row],[Fecha]],Historia!A:D,4,0),"Forecast")</f>
        <v>Forecast</v>
      </c>
      <c r="J230" s="157">
        <f t="shared" si="6"/>
        <v>560462.8448275862</v>
      </c>
      <c r="K230" s="151">
        <f>+Opex_VE[[#This Row],[Arriendo]]+Opex_VE[[#This Row],[Servicios publicos]]+Opex_VE[[#This Row],[Nomina]]</f>
        <v>224185.13793103449</v>
      </c>
      <c r="L230" s="152">
        <f>+VLOOKUP(Opex_VE[[#This Row],[Fecha]],Opex!$B:$Y,OPEX_SALES!L$1,1)</f>
        <v>56896.551724137928</v>
      </c>
      <c r="M230" s="153">
        <f>+SUM(Opex_VE[[#This Row],[Internet]:[Electricidad]])</f>
        <v>27288.586206896551</v>
      </c>
      <c r="N230" s="152">
        <f>+VLOOKUP(Opex_VE[[#This Row],[Fecha]],Opex!$B:$Y,OPEX_SALES!N$1,1)</f>
        <v>3620.6896551724139</v>
      </c>
      <c r="O230" s="152">
        <f>+VLOOKUP(Opex_VE[[#This Row],[Fecha]],Opex!$B:$Y,OPEX_SALES!O$1,1)</f>
        <v>8528.2413793103442</v>
      </c>
      <c r="P230" s="152">
        <f>+VLOOKUP(Opex_VE[[#This Row],[Fecha]],Opex!$B:$Y,OPEX_SALES!P$1,1)</f>
        <v>4137.9310344827591</v>
      </c>
      <c r="Q230" s="152">
        <f>+VLOOKUP(Opex_VE[[#This Row],[Fecha]],Opex!$B:$Y,OPEX_SALES!Q$1,1)</f>
        <v>11001.724137931034</v>
      </c>
      <c r="R230" s="153">
        <f>+SUM(Opex_VE[[#This Row],[Cajero]:[Domiciliario]])</f>
        <v>140000</v>
      </c>
      <c r="S230" s="152">
        <v>70000</v>
      </c>
      <c r="T230" s="152">
        <v>70000</v>
      </c>
      <c r="U230" s="152">
        <v>0</v>
      </c>
      <c r="V230"/>
    </row>
    <row r="231" spans="1:22" x14ac:dyDescent="0.2">
      <c r="A231" s="149">
        <v>46294</v>
      </c>
      <c r="B231" s="3">
        <f t="shared" si="7"/>
        <v>32</v>
      </c>
      <c r="C231" s="3" t="str">
        <f>+TEXT(Opex_VE[[#This Row],[Fecha]],"ddd")</f>
        <v>mar</v>
      </c>
      <c r="E231" s="14" t="s">
        <v>112</v>
      </c>
      <c r="F231" s="168">
        <f>IFERROR(VLOOKUP(Opex_VE[[#This Row],[Fecha]],Historia!A:B,2,0),_xlfn.XLOOKUP(Opex_VE[[#This Row],[dia]],Forecast!I:I,Forecast!J:J))</f>
        <v>199625</v>
      </c>
      <c r="G231" s="168">
        <f>IFERROR(VLOOKUP(Opex_VE[[#This Row],[Fecha]],Historia!A:C,3,0),_xlfn.XLOOKUP(Opex_VE[[#This Row],[dia]],Forecast!I:I,Forecast!K:K))</f>
        <v>79850</v>
      </c>
      <c r="H231" s="182">
        <f>+Opex_VE[[#This Row],[MG]]-Opex_VE[[#This Row],[Opex]]</f>
        <v>-144335.13793103449</v>
      </c>
      <c r="I231" s="168" t="str">
        <f>IFERROR(VLOOKUP(Opex_VE[[#This Row],[Fecha]],Historia!A:D,4,0),"Forecast")</f>
        <v>Forecast</v>
      </c>
      <c r="J231" s="157">
        <f t="shared" si="6"/>
        <v>560462.8448275862</v>
      </c>
      <c r="K231" s="151">
        <f>+Opex_VE[[#This Row],[Arriendo]]+Opex_VE[[#This Row],[Servicios publicos]]+Opex_VE[[#This Row],[Nomina]]</f>
        <v>224185.13793103449</v>
      </c>
      <c r="L231" s="152">
        <f>+VLOOKUP(Opex_VE[[#This Row],[Fecha]],Opex!$B:$Y,OPEX_SALES!L$1,1)</f>
        <v>56896.551724137928</v>
      </c>
      <c r="M231" s="153">
        <f>+SUM(Opex_VE[[#This Row],[Internet]:[Electricidad]])</f>
        <v>27288.586206896551</v>
      </c>
      <c r="N231" s="152">
        <f>+VLOOKUP(Opex_VE[[#This Row],[Fecha]],Opex!$B:$Y,OPEX_SALES!N$1,1)</f>
        <v>3620.6896551724139</v>
      </c>
      <c r="O231" s="152">
        <f>+VLOOKUP(Opex_VE[[#This Row],[Fecha]],Opex!$B:$Y,OPEX_SALES!O$1,1)</f>
        <v>8528.2413793103442</v>
      </c>
      <c r="P231" s="152">
        <f>+VLOOKUP(Opex_VE[[#This Row],[Fecha]],Opex!$B:$Y,OPEX_SALES!P$1,1)</f>
        <v>4137.9310344827591</v>
      </c>
      <c r="Q231" s="152">
        <f>+VLOOKUP(Opex_VE[[#This Row],[Fecha]],Opex!$B:$Y,OPEX_SALES!Q$1,1)</f>
        <v>11001.724137931034</v>
      </c>
      <c r="R231" s="153">
        <f>+SUM(Opex_VE[[#This Row],[Cajero]:[Domiciliario]])</f>
        <v>140000</v>
      </c>
      <c r="S231" s="152">
        <v>70000</v>
      </c>
      <c r="T231" s="152">
        <v>70000</v>
      </c>
      <c r="U231" s="152">
        <v>0</v>
      </c>
      <c r="V231"/>
    </row>
    <row r="232" spans="1:22" x14ac:dyDescent="0.2">
      <c r="A232" s="149">
        <v>46295</v>
      </c>
      <c r="B232" s="3">
        <f t="shared" si="7"/>
        <v>32</v>
      </c>
      <c r="C232" s="3" t="str">
        <f>+TEXT(Opex_VE[[#This Row],[Fecha]],"ddd")</f>
        <v>mié</v>
      </c>
      <c r="E232" s="14" t="s">
        <v>112</v>
      </c>
      <c r="F232" s="168">
        <f>IFERROR(VLOOKUP(Opex_VE[[#This Row],[Fecha]],Historia!A:B,2,0),_xlfn.XLOOKUP(Opex_VE[[#This Row],[dia]],Forecast!I:I,Forecast!J:J))</f>
        <v>339250</v>
      </c>
      <c r="G232" s="168">
        <f>IFERROR(VLOOKUP(Opex_VE[[#This Row],[Fecha]],Historia!A:C,3,0),_xlfn.XLOOKUP(Opex_VE[[#This Row],[dia]],Forecast!I:I,Forecast!K:K))</f>
        <v>135700</v>
      </c>
      <c r="H232" s="182">
        <f>+Opex_VE[[#This Row],[MG]]-Opex_VE[[#This Row],[Opex]]</f>
        <v>-88485.137931034493</v>
      </c>
      <c r="I232" s="168" t="str">
        <f>IFERROR(VLOOKUP(Opex_VE[[#This Row],[Fecha]],Historia!A:D,4,0),"Forecast")</f>
        <v>Forecast</v>
      </c>
      <c r="J232" s="157">
        <f t="shared" si="6"/>
        <v>560462.8448275862</v>
      </c>
      <c r="K232" s="151">
        <f>+Opex_VE[[#This Row],[Arriendo]]+Opex_VE[[#This Row],[Servicios publicos]]+Opex_VE[[#This Row],[Nomina]]</f>
        <v>224185.13793103449</v>
      </c>
      <c r="L232" s="152">
        <f>+VLOOKUP(Opex_VE[[#This Row],[Fecha]],Opex!$B:$Y,OPEX_SALES!L$1,1)</f>
        <v>56896.551724137928</v>
      </c>
      <c r="M232" s="153">
        <f>+SUM(Opex_VE[[#This Row],[Internet]:[Electricidad]])</f>
        <v>27288.586206896551</v>
      </c>
      <c r="N232" s="152">
        <f>+VLOOKUP(Opex_VE[[#This Row],[Fecha]],Opex!$B:$Y,OPEX_SALES!N$1,1)</f>
        <v>3620.6896551724139</v>
      </c>
      <c r="O232" s="152">
        <f>+VLOOKUP(Opex_VE[[#This Row],[Fecha]],Opex!$B:$Y,OPEX_SALES!O$1,1)</f>
        <v>8528.2413793103442</v>
      </c>
      <c r="P232" s="152">
        <f>+VLOOKUP(Opex_VE[[#This Row],[Fecha]],Opex!$B:$Y,OPEX_SALES!P$1,1)</f>
        <v>4137.9310344827591</v>
      </c>
      <c r="Q232" s="152">
        <f>+VLOOKUP(Opex_VE[[#This Row],[Fecha]],Opex!$B:$Y,OPEX_SALES!Q$1,1)</f>
        <v>11001.724137931034</v>
      </c>
      <c r="R232" s="153">
        <f>+SUM(Opex_VE[[#This Row],[Cajero]:[Domiciliario]])</f>
        <v>140000</v>
      </c>
      <c r="S232" s="152">
        <v>70000</v>
      </c>
      <c r="T232" s="152">
        <v>70000</v>
      </c>
      <c r="U232" s="152">
        <v>0</v>
      </c>
      <c r="V232"/>
    </row>
    <row r="233" spans="1:22" x14ac:dyDescent="0.2">
      <c r="A233" s="149">
        <v>46296</v>
      </c>
      <c r="B233" s="3">
        <f t="shared" si="7"/>
        <v>32</v>
      </c>
      <c r="C233" s="3" t="str">
        <f>+TEXT(Opex_VE[[#This Row],[Fecha]],"ddd")</f>
        <v>jue</v>
      </c>
      <c r="E233" s="14" t="s">
        <v>112</v>
      </c>
      <c r="F233" s="168">
        <f>IFERROR(VLOOKUP(Opex_VE[[#This Row],[Fecha]],Historia!A:B,2,0),_xlfn.XLOOKUP(Opex_VE[[#This Row],[dia]],Forecast!I:I,Forecast!J:J))</f>
        <v>274975</v>
      </c>
      <c r="G233" s="168">
        <f>IFERROR(VLOOKUP(Opex_VE[[#This Row],[Fecha]],Historia!A:C,3,0),_xlfn.XLOOKUP(Opex_VE[[#This Row],[dia]],Forecast!I:I,Forecast!K:K))</f>
        <v>109990</v>
      </c>
      <c r="H233" s="182">
        <f>+Opex_VE[[#This Row],[MG]]-Opex_VE[[#This Row],[Opex]]</f>
        <v>-114195.13793103449</v>
      </c>
      <c r="I233" s="168" t="str">
        <f>IFERROR(VLOOKUP(Opex_VE[[#This Row],[Fecha]],Historia!A:D,4,0),"Forecast")</f>
        <v>Forecast</v>
      </c>
      <c r="J233" s="157">
        <f t="shared" si="6"/>
        <v>560462.8448275862</v>
      </c>
      <c r="K233" s="151">
        <f>+Opex_VE[[#This Row],[Arriendo]]+Opex_VE[[#This Row],[Servicios publicos]]+Opex_VE[[#This Row],[Nomina]]</f>
        <v>224185.13793103449</v>
      </c>
      <c r="L233" s="152">
        <f>+VLOOKUP(Opex_VE[[#This Row],[Fecha]],Opex!$B:$Y,OPEX_SALES!L$1,1)</f>
        <v>56896.551724137928</v>
      </c>
      <c r="M233" s="153">
        <f>+SUM(Opex_VE[[#This Row],[Internet]:[Electricidad]])</f>
        <v>27288.586206896551</v>
      </c>
      <c r="N233" s="152">
        <f>+VLOOKUP(Opex_VE[[#This Row],[Fecha]],Opex!$B:$Y,OPEX_SALES!N$1,1)</f>
        <v>3620.6896551724139</v>
      </c>
      <c r="O233" s="152">
        <f>+VLOOKUP(Opex_VE[[#This Row],[Fecha]],Opex!$B:$Y,OPEX_SALES!O$1,1)</f>
        <v>8528.2413793103442</v>
      </c>
      <c r="P233" s="152">
        <f>+VLOOKUP(Opex_VE[[#This Row],[Fecha]],Opex!$B:$Y,OPEX_SALES!P$1,1)</f>
        <v>4137.9310344827591</v>
      </c>
      <c r="Q233" s="152">
        <f>+VLOOKUP(Opex_VE[[#This Row],[Fecha]],Opex!$B:$Y,OPEX_SALES!Q$1,1)</f>
        <v>11001.724137931034</v>
      </c>
      <c r="R233" s="153">
        <f>+SUM(Opex_VE[[#This Row],[Cajero]:[Domiciliario]])</f>
        <v>140000</v>
      </c>
      <c r="S233" s="152">
        <v>70000</v>
      </c>
      <c r="T233" s="152">
        <v>70000</v>
      </c>
      <c r="U233" s="152">
        <v>0</v>
      </c>
      <c r="V233"/>
    </row>
    <row r="234" spans="1:22" x14ac:dyDescent="0.2">
      <c r="A234" s="149">
        <v>46297</v>
      </c>
      <c r="B234" s="3">
        <f t="shared" si="7"/>
        <v>32</v>
      </c>
      <c r="C234" s="3" t="str">
        <f>+TEXT(Opex_VE[[#This Row],[Fecha]],"ddd")</f>
        <v>vie</v>
      </c>
      <c r="E234" s="14" t="s">
        <v>217</v>
      </c>
      <c r="F234" s="168">
        <f>IFERROR(VLOOKUP(Opex_VE[[#This Row],[Fecha]],Historia!A:B,2,0),_xlfn.XLOOKUP(Opex_VE[[#This Row],[dia]],Forecast!I:I,Forecast!J:J))</f>
        <v>184566.66666666666</v>
      </c>
      <c r="G234" s="168">
        <f>IFERROR(VLOOKUP(Opex_VE[[#This Row],[Fecha]],Historia!A:C,3,0),_xlfn.XLOOKUP(Opex_VE[[#This Row],[dia]],Forecast!I:I,Forecast!K:K))</f>
        <v>73826.666666666672</v>
      </c>
      <c r="H234" s="182">
        <f>+Opex_VE[[#This Row],[MG]]-Opex_VE[[#This Row],[Opex]]</f>
        <v>-150358.47126436781</v>
      </c>
      <c r="I234" s="168" t="str">
        <f>IFERROR(VLOOKUP(Opex_VE[[#This Row],[Fecha]],Historia!A:D,4,0),"Forecast")</f>
        <v>Forecast</v>
      </c>
      <c r="J234" s="157">
        <f t="shared" si="6"/>
        <v>560462.8448275862</v>
      </c>
      <c r="K234" s="151">
        <f>+Opex_VE[[#This Row],[Arriendo]]+Opex_VE[[#This Row],[Servicios publicos]]+Opex_VE[[#This Row],[Nomina]]</f>
        <v>224185.13793103449</v>
      </c>
      <c r="L234" s="152">
        <f>+VLOOKUP(Opex_VE[[#This Row],[Fecha]],Opex!$B:$Y,OPEX_SALES!L$1,1)</f>
        <v>56896.551724137928</v>
      </c>
      <c r="M234" s="153">
        <f>+SUM(Opex_VE[[#This Row],[Internet]:[Electricidad]])</f>
        <v>27288.586206896551</v>
      </c>
      <c r="N234" s="152">
        <f>+VLOOKUP(Opex_VE[[#This Row],[Fecha]],Opex!$B:$Y,OPEX_SALES!N$1,1)</f>
        <v>3620.6896551724139</v>
      </c>
      <c r="O234" s="152">
        <f>+VLOOKUP(Opex_VE[[#This Row],[Fecha]],Opex!$B:$Y,OPEX_SALES!O$1,1)</f>
        <v>8528.2413793103442</v>
      </c>
      <c r="P234" s="152">
        <f>+VLOOKUP(Opex_VE[[#This Row],[Fecha]],Opex!$B:$Y,OPEX_SALES!P$1,1)</f>
        <v>4137.9310344827591</v>
      </c>
      <c r="Q234" s="152">
        <f>+VLOOKUP(Opex_VE[[#This Row],[Fecha]],Opex!$B:$Y,OPEX_SALES!Q$1,1)</f>
        <v>11001.724137931034</v>
      </c>
      <c r="R234" s="153">
        <f>+SUM(Opex_VE[[#This Row],[Cajero]:[Domiciliario]])</f>
        <v>140000</v>
      </c>
      <c r="S234" s="152">
        <v>70000</v>
      </c>
      <c r="T234" s="152">
        <v>70000</v>
      </c>
      <c r="U234" s="152">
        <v>0</v>
      </c>
      <c r="V234"/>
    </row>
    <row r="235" spans="1:22" x14ac:dyDescent="0.2">
      <c r="A235" s="149">
        <v>46298</v>
      </c>
      <c r="B235" s="3">
        <f t="shared" si="7"/>
        <v>32</v>
      </c>
      <c r="C235" s="3" t="str">
        <f>+TEXT(Opex_VE[[#This Row],[Fecha]],"ddd")</f>
        <v>sáb</v>
      </c>
      <c r="E235" s="14" t="s">
        <v>113</v>
      </c>
      <c r="F235" s="168">
        <f>IFERROR(VLOOKUP(Opex_VE[[#This Row],[Fecha]],Historia!A:B,2,0),_xlfn.XLOOKUP(Opex_VE[[#This Row],[dia]],Forecast!I:I,Forecast!J:J))</f>
        <v>398333.33333333331</v>
      </c>
      <c r="G235" s="168">
        <f>IFERROR(VLOOKUP(Opex_VE[[#This Row],[Fecha]],Historia!A:C,3,0),_xlfn.XLOOKUP(Opex_VE[[#This Row],[dia]],Forecast!I:I,Forecast!K:K))</f>
        <v>159333.33333333334</v>
      </c>
      <c r="H235" s="182">
        <f>+Opex_VE[[#This Row],[MG]]-Opex_VE[[#This Row],[Opex]]</f>
        <v>-64851.80459770115</v>
      </c>
      <c r="I235" s="169" t="str">
        <f>IFERROR(VLOOKUP(Opex_VE[[#This Row],[Fecha]],Historia!A:D,4,0),"Forecast")</f>
        <v>Forecast</v>
      </c>
      <c r="J235" s="157">
        <f t="shared" si="6"/>
        <v>560462.8448275862</v>
      </c>
      <c r="K235" s="151">
        <f>+Opex_VE[[#This Row],[Arriendo]]+Opex_VE[[#This Row],[Servicios publicos]]+Opex_VE[[#This Row],[Nomina]]</f>
        <v>224185.13793103449</v>
      </c>
      <c r="L235" s="152">
        <f>+VLOOKUP(Opex_VE[[#This Row],[Fecha]],Opex!$B:$Y,OPEX_SALES!L$1,1)</f>
        <v>56896.551724137928</v>
      </c>
      <c r="M235" s="153">
        <f>+SUM(Opex_VE[[#This Row],[Internet]:[Electricidad]])</f>
        <v>27288.586206896551</v>
      </c>
      <c r="N235" s="152">
        <f>+VLOOKUP(Opex_VE[[#This Row],[Fecha]],Opex!$B:$Y,OPEX_SALES!N$1,1)</f>
        <v>3620.6896551724139</v>
      </c>
      <c r="O235" s="152">
        <f>+VLOOKUP(Opex_VE[[#This Row],[Fecha]],Opex!$B:$Y,OPEX_SALES!O$1,1)</f>
        <v>8528.2413793103442</v>
      </c>
      <c r="P235" s="152">
        <f>+VLOOKUP(Opex_VE[[#This Row],[Fecha]],Opex!$B:$Y,OPEX_SALES!P$1,1)</f>
        <v>4137.9310344827591</v>
      </c>
      <c r="Q235" s="152">
        <f>+VLOOKUP(Opex_VE[[#This Row],[Fecha]],Opex!$B:$Y,OPEX_SALES!Q$1,1)</f>
        <v>11001.724137931034</v>
      </c>
      <c r="R235" s="153">
        <f>+SUM(Opex_VE[[#This Row],[Cajero]:[Domiciliario]])</f>
        <v>140000</v>
      </c>
      <c r="S235" s="152">
        <v>70000</v>
      </c>
      <c r="T235" s="152">
        <v>70000</v>
      </c>
      <c r="U235" s="152">
        <v>0</v>
      </c>
      <c r="V235"/>
    </row>
    <row r="236" spans="1:22" x14ac:dyDescent="0.2">
      <c r="A236" s="149">
        <v>46299</v>
      </c>
      <c r="B236" s="3">
        <f t="shared" si="7"/>
        <v>32</v>
      </c>
      <c r="C236" s="3" t="str">
        <f>+TEXT(Opex_VE[[#This Row],[Fecha]],"ddd")</f>
        <v>dom</v>
      </c>
      <c r="E236" s="14" t="s">
        <v>145</v>
      </c>
      <c r="F236" s="168">
        <f>IFERROR(VLOOKUP(Opex_VE[[#This Row],[Fecha]],Historia!A:B,2,0),_xlfn.XLOOKUP(Opex_VE[[#This Row],[dia]],Forecast!I:I,Forecast!J:J))</f>
        <v>168750</v>
      </c>
      <c r="G236" s="168">
        <f>IFERROR(VLOOKUP(Opex_VE[[#This Row],[Fecha]],Historia!A:C,3,0),_xlfn.XLOOKUP(Opex_VE[[#This Row],[dia]],Forecast!I:I,Forecast!K:K))</f>
        <v>67500</v>
      </c>
      <c r="H236" s="182">
        <f>+Opex_VE[[#This Row],[MG]]-Opex_VE[[#This Row],[Opex]]</f>
        <v>-156685.13793103449</v>
      </c>
      <c r="I236" s="168" t="str">
        <f>IFERROR(VLOOKUP(Opex_VE[[#This Row],[Fecha]],Historia!A:D,4,0),"Forecast")</f>
        <v>Forecast</v>
      </c>
      <c r="J236" s="157">
        <f t="shared" si="6"/>
        <v>560462.8448275862</v>
      </c>
      <c r="K236" s="151">
        <f>+Opex_VE[[#This Row],[Arriendo]]+Opex_VE[[#This Row],[Servicios publicos]]+Opex_VE[[#This Row],[Nomina]]</f>
        <v>224185.13793103449</v>
      </c>
      <c r="L236" s="152">
        <f>+VLOOKUP(Opex_VE[[#This Row],[Fecha]],Opex!$B:$Y,OPEX_SALES!L$1,1)</f>
        <v>56896.551724137928</v>
      </c>
      <c r="M236" s="153">
        <f>+SUM(Opex_VE[[#This Row],[Internet]:[Electricidad]])</f>
        <v>27288.586206896551</v>
      </c>
      <c r="N236" s="152">
        <f>+VLOOKUP(Opex_VE[[#This Row],[Fecha]],Opex!$B:$Y,OPEX_SALES!N$1,1)</f>
        <v>3620.6896551724139</v>
      </c>
      <c r="O236" s="152">
        <f>+VLOOKUP(Opex_VE[[#This Row],[Fecha]],Opex!$B:$Y,OPEX_SALES!O$1,1)</f>
        <v>8528.2413793103442</v>
      </c>
      <c r="P236" s="152">
        <f>+VLOOKUP(Opex_VE[[#This Row],[Fecha]],Opex!$B:$Y,OPEX_SALES!P$1,1)</f>
        <v>4137.9310344827591</v>
      </c>
      <c r="Q236" s="152">
        <f>+VLOOKUP(Opex_VE[[#This Row],[Fecha]],Opex!$B:$Y,OPEX_SALES!Q$1,1)</f>
        <v>11001.724137931034</v>
      </c>
      <c r="R236" s="153">
        <f>+SUM(Opex_VE[[#This Row],[Cajero]:[Domiciliario]])</f>
        <v>140000</v>
      </c>
      <c r="S236" s="152">
        <v>70000</v>
      </c>
      <c r="T236" s="152">
        <v>70000</v>
      </c>
      <c r="U236" s="152">
        <v>0</v>
      </c>
      <c r="V236"/>
    </row>
    <row r="237" spans="1:22" x14ac:dyDescent="0.2">
      <c r="A237" s="149">
        <v>46300</v>
      </c>
      <c r="B237" s="3">
        <f t="shared" si="7"/>
        <v>33</v>
      </c>
      <c r="C237" s="3" t="str">
        <f>+TEXT(Opex_VE[[#This Row],[Fecha]],"ddd")</f>
        <v>lun</v>
      </c>
      <c r="E237" s="14" t="s">
        <v>112</v>
      </c>
      <c r="F237" s="168">
        <f>IFERROR(VLOOKUP(Opex_VE[[#This Row],[Fecha]],Historia!A:B,2,0),_xlfn.XLOOKUP(Opex_VE[[#This Row],[dia]],Forecast!I:I,Forecast!J:J))</f>
        <v>164375</v>
      </c>
      <c r="G237" s="168">
        <f>IFERROR(VLOOKUP(Opex_VE[[#This Row],[Fecha]],Historia!A:C,3,0),_xlfn.XLOOKUP(Opex_VE[[#This Row],[dia]],Forecast!I:I,Forecast!K:K))</f>
        <v>65750</v>
      </c>
      <c r="H237" s="182">
        <f>+Opex_VE[[#This Row],[MG]]-Opex_VE[[#This Row],[Opex]]</f>
        <v>-158435.13793103449</v>
      </c>
      <c r="I237" s="168" t="str">
        <f>IFERROR(VLOOKUP(Opex_VE[[#This Row],[Fecha]],Historia!A:D,4,0),"Forecast")</f>
        <v>Forecast</v>
      </c>
      <c r="J237" s="157">
        <f t="shared" si="6"/>
        <v>560462.8448275862</v>
      </c>
      <c r="K237" s="151">
        <f>+Opex_VE[[#This Row],[Arriendo]]+Opex_VE[[#This Row],[Servicios publicos]]+Opex_VE[[#This Row],[Nomina]]</f>
        <v>224185.13793103449</v>
      </c>
      <c r="L237" s="152">
        <f>+VLOOKUP(Opex_VE[[#This Row],[Fecha]],Opex!$B:$Y,OPEX_SALES!L$1,1)</f>
        <v>56896.551724137928</v>
      </c>
      <c r="M237" s="153">
        <f>+SUM(Opex_VE[[#This Row],[Internet]:[Electricidad]])</f>
        <v>27288.586206896551</v>
      </c>
      <c r="N237" s="152">
        <f>+VLOOKUP(Opex_VE[[#This Row],[Fecha]],Opex!$B:$Y,OPEX_SALES!N$1,1)</f>
        <v>3620.6896551724139</v>
      </c>
      <c r="O237" s="152">
        <f>+VLOOKUP(Opex_VE[[#This Row],[Fecha]],Opex!$B:$Y,OPEX_SALES!O$1,1)</f>
        <v>8528.2413793103442</v>
      </c>
      <c r="P237" s="152">
        <f>+VLOOKUP(Opex_VE[[#This Row],[Fecha]],Opex!$B:$Y,OPEX_SALES!P$1,1)</f>
        <v>4137.9310344827591</v>
      </c>
      <c r="Q237" s="152">
        <f>+VLOOKUP(Opex_VE[[#This Row],[Fecha]],Opex!$B:$Y,OPEX_SALES!Q$1,1)</f>
        <v>11001.724137931034</v>
      </c>
      <c r="R237" s="153">
        <f>+SUM(Opex_VE[[#This Row],[Cajero]:[Domiciliario]])</f>
        <v>140000</v>
      </c>
      <c r="S237" s="152">
        <v>70000</v>
      </c>
      <c r="T237" s="152">
        <v>70000</v>
      </c>
      <c r="U237" s="152">
        <v>0</v>
      </c>
      <c r="V237"/>
    </row>
    <row r="238" spans="1:22" x14ac:dyDescent="0.2">
      <c r="A238" s="149">
        <v>46301</v>
      </c>
      <c r="B238" s="3">
        <f t="shared" si="7"/>
        <v>33</v>
      </c>
      <c r="C238" s="3" t="str">
        <f>+TEXT(Opex_VE[[#This Row],[Fecha]],"ddd")</f>
        <v>mar</v>
      </c>
      <c r="E238" s="14" t="s">
        <v>112</v>
      </c>
      <c r="F238" s="168">
        <f>IFERROR(VLOOKUP(Opex_VE[[#This Row],[Fecha]],Historia!A:B,2,0),_xlfn.XLOOKUP(Opex_VE[[#This Row],[dia]],Forecast!I:I,Forecast!J:J))</f>
        <v>199625</v>
      </c>
      <c r="G238" s="168">
        <f>IFERROR(VLOOKUP(Opex_VE[[#This Row],[Fecha]],Historia!A:C,3,0),_xlfn.XLOOKUP(Opex_VE[[#This Row],[dia]],Forecast!I:I,Forecast!K:K))</f>
        <v>79850</v>
      </c>
      <c r="H238" s="182">
        <f>+Opex_VE[[#This Row],[MG]]-Opex_VE[[#This Row],[Opex]]</f>
        <v>-144335.13793103449</v>
      </c>
      <c r="I238" s="168" t="str">
        <f>IFERROR(VLOOKUP(Opex_VE[[#This Row],[Fecha]],Historia!A:D,4,0),"Forecast")</f>
        <v>Forecast</v>
      </c>
      <c r="J238" s="157">
        <f t="shared" si="6"/>
        <v>560462.8448275862</v>
      </c>
      <c r="K238" s="151">
        <f>+Opex_VE[[#This Row],[Arriendo]]+Opex_VE[[#This Row],[Servicios publicos]]+Opex_VE[[#This Row],[Nomina]]</f>
        <v>224185.13793103449</v>
      </c>
      <c r="L238" s="152">
        <f>+VLOOKUP(Opex_VE[[#This Row],[Fecha]],Opex!$B:$Y,OPEX_SALES!L$1,1)</f>
        <v>56896.551724137928</v>
      </c>
      <c r="M238" s="153">
        <f>+SUM(Opex_VE[[#This Row],[Internet]:[Electricidad]])</f>
        <v>27288.586206896551</v>
      </c>
      <c r="N238" s="152">
        <f>+VLOOKUP(Opex_VE[[#This Row],[Fecha]],Opex!$B:$Y,OPEX_SALES!N$1,1)</f>
        <v>3620.6896551724139</v>
      </c>
      <c r="O238" s="152">
        <f>+VLOOKUP(Opex_VE[[#This Row],[Fecha]],Opex!$B:$Y,OPEX_SALES!O$1,1)</f>
        <v>8528.2413793103442</v>
      </c>
      <c r="P238" s="152">
        <f>+VLOOKUP(Opex_VE[[#This Row],[Fecha]],Opex!$B:$Y,OPEX_SALES!P$1,1)</f>
        <v>4137.9310344827591</v>
      </c>
      <c r="Q238" s="152">
        <f>+VLOOKUP(Opex_VE[[#This Row],[Fecha]],Opex!$B:$Y,OPEX_SALES!Q$1,1)</f>
        <v>11001.724137931034</v>
      </c>
      <c r="R238" s="153">
        <f>+SUM(Opex_VE[[#This Row],[Cajero]:[Domiciliario]])</f>
        <v>140000</v>
      </c>
      <c r="S238" s="152">
        <v>70000</v>
      </c>
      <c r="T238" s="152">
        <v>70000</v>
      </c>
      <c r="U238" s="152">
        <v>0</v>
      </c>
      <c r="V238"/>
    </row>
    <row r="239" spans="1:22" x14ac:dyDescent="0.2">
      <c r="A239" s="149">
        <v>46302</v>
      </c>
      <c r="B239" s="3">
        <f t="shared" si="7"/>
        <v>33</v>
      </c>
      <c r="C239" s="3" t="str">
        <f>+TEXT(Opex_VE[[#This Row],[Fecha]],"ddd")</f>
        <v>mié</v>
      </c>
      <c r="E239" s="14" t="s">
        <v>112</v>
      </c>
      <c r="F239" s="168">
        <f>IFERROR(VLOOKUP(Opex_VE[[#This Row],[Fecha]],Historia!A:B,2,0),_xlfn.XLOOKUP(Opex_VE[[#This Row],[dia]],Forecast!I:I,Forecast!J:J))</f>
        <v>339250</v>
      </c>
      <c r="G239" s="168">
        <f>IFERROR(VLOOKUP(Opex_VE[[#This Row],[Fecha]],Historia!A:C,3,0),_xlfn.XLOOKUP(Opex_VE[[#This Row],[dia]],Forecast!I:I,Forecast!K:K))</f>
        <v>135700</v>
      </c>
      <c r="H239" s="182">
        <f>+Opex_VE[[#This Row],[MG]]-Opex_VE[[#This Row],[Opex]]</f>
        <v>-88485.137931034493</v>
      </c>
      <c r="I239" s="168" t="str">
        <f>IFERROR(VLOOKUP(Opex_VE[[#This Row],[Fecha]],Historia!A:D,4,0),"Forecast")</f>
        <v>Forecast</v>
      </c>
      <c r="J239" s="157">
        <f t="shared" si="6"/>
        <v>560462.8448275862</v>
      </c>
      <c r="K239" s="151">
        <f>+Opex_VE[[#This Row],[Arriendo]]+Opex_VE[[#This Row],[Servicios publicos]]+Opex_VE[[#This Row],[Nomina]]</f>
        <v>224185.13793103449</v>
      </c>
      <c r="L239" s="152">
        <f>+VLOOKUP(Opex_VE[[#This Row],[Fecha]],Opex!$B:$Y,OPEX_SALES!L$1,1)</f>
        <v>56896.551724137928</v>
      </c>
      <c r="M239" s="153">
        <f>+SUM(Opex_VE[[#This Row],[Internet]:[Electricidad]])</f>
        <v>27288.586206896551</v>
      </c>
      <c r="N239" s="152">
        <f>+VLOOKUP(Opex_VE[[#This Row],[Fecha]],Opex!$B:$Y,OPEX_SALES!N$1,1)</f>
        <v>3620.6896551724139</v>
      </c>
      <c r="O239" s="152">
        <f>+VLOOKUP(Opex_VE[[#This Row],[Fecha]],Opex!$B:$Y,OPEX_SALES!O$1,1)</f>
        <v>8528.2413793103442</v>
      </c>
      <c r="P239" s="152">
        <f>+VLOOKUP(Opex_VE[[#This Row],[Fecha]],Opex!$B:$Y,OPEX_SALES!P$1,1)</f>
        <v>4137.9310344827591</v>
      </c>
      <c r="Q239" s="152">
        <f>+VLOOKUP(Opex_VE[[#This Row],[Fecha]],Opex!$B:$Y,OPEX_SALES!Q$1,1)</f>
        <v>11001.724137931034</v>
      </c>
      <c r="R239" s="153">
        <f>+SUM(Opex_VE[[#This Row],[Cajero]:[Domiciliario]])</f>
        <v>140000</v>
      </c>
      <c r="S239" s="152">
        <v>70000</v>
      </c>
      <c r="T239" s="152">
        <v>70000</v>
      </c>
      <c r="U239" s="152">
        <v>0</v>
      </c>
      <c r="V239"/>
    </row>
    <row r="240" spans="1:22" x14ac:dyDescent="0.2">
      <c r="A240" s="149">
        <v>46303</v>
      </c>
      <c r="B240" s="3">
        <f t="shared" si="7"/>
        <v>33</v>
      </c>
      <c r="C240" s="3" t="str">
        <f>+TEXT(Opex_VE[[#This Row],[Fecha]],"ddd")</f>
        <v>jue</v>
      </c>
      <c r="E240" s="14" t="s">
        <v>112</v>
      </c>
      <c r="F240" s="168">
        <f>IFERROR(VLOOKUP(Opex_VE[[#This Row],[Fecha]],Historia!A:B,2,0),_xlfn.XLOOKUP(Opex_VE[[#This Row],[dia]],Forecast!I:I,Forecast!J:J))</f>
        <v>274975</v>
      </c>
      <c r="G240" s="168">
        <f>IFERROR(VLOOKUP(Opex_VE[[#This Row],[Fecha]],Historia!A:C,3,0),_xlfn.XLOOKUP(Opex_VE[[#This Row],[dia]],Forecast!I:I,Forecast!K:K))</f>
        <v>109990</v>
      </c>
      <c r="H240" s="182">
        <f>+Opex_VE[[#This Row],[MG]]-Opex_VE[[#This Row],[Opex]]</f>
        <v>-114195.13793103449</v>
      </c>
      <c r="I240" s="168" t="str">
        <f>IFERROR(VLOOKUP(Opex_VE[[#This Row],[Fecha]],Historia!A:D,4,0),"Forecast")</f>
        <v>Forecast</v>
      </c>
      <c r="J240" s="157">
        <f t="shared" si="6"/>
        <v>560462.8448275862</v>
      </c>
      <c r="K240" s="151">
        <f>+Opex_VE[[#This Row],[Arriendo]]+Opex_VE[[#This Row],[Servicios publicos]]+Opex_VE[[#This Row],[Nomina]]</f>
        <v>224185.13793103449</v>
      </c>
      <c r="L240" s="152">
        <f>+VLOOKUP(Opex_VE[[#This Row],[Fecha]],Opex!$B:$Y,OPEX_SALES!L$1,1)</f>
        <v>56896.551724137928</v>
      </c>
      <c r="M240" s="153">
        <f>+SUM(Opex_VE[[#This Row],[Internet]:[Electricidad]])</f>
        <v>27288.586206896551</v>
      </c>
      <c r="N240" s="152">
        <f>+VLOOKUP(Opex_VE[[#This Row],[Fecha]],Opex!$B:$Y,OPEX_SALES!N$1,1)</f>
        <v>3620.6896551724139</v>
      </c>
      <c r="O240" s="152">
        <f>+VLOOKUP(Opex_VE[[#This Row],[Fecha]],Opex!$B:$Y,OPEX_SALES!O$1,1)</f>
        <v>8528.2413793103442</v>
      </c>
      <c r="P240" s="152">
        <f>+VLOOKUP(Opex_VE[[#This Row],[Fecha]],Opex!$B:$Y,OPEX_SALES!P$1,1)</f>
        <v>4137.9310344827591</v>
      </c>
      <c r="Q240" s="152">
        <f>+VLOOKUP(Opex_VE[[#This Row],[Fecha]],Opex!$B:$Y,OPEX_SALES!Q$1,1)</f>
        <v>11001.724137931034</v>
      </c>
      <c r="R240" s="153">
        <f>+SUM(Opex_VE[[#This Row],[Cajero]:[Domiciliario]])</f>
        <v>140000</v>
      </c>
      <c r="S240" s="152">
        <v>70000</v>
      </c>
      <c r="T240" s="152">
        <v>70000</v>
      </c>
      <c r="U240" s="152">
        <v>0</v>
      </c>
      <c r="V240"/>
    </row>
    <row r="241" spans="1:22" x14ac:dyDescent="0.2">
      <c r="A241" s="149">
        <v>46304</v>
      </c>
      <c r="B241" s="3">
        <f t="shared" si="7"/>
        <v>33</v>
      </c>
      <c r="C241" s="3" t="str">
        <f>+TEXT(Opex_VE[[#This Row],[Fecha]],"ddd")</f>
        <v>vie</v>
      </c>
      <c r="E241" s="14" t="s">
        <v>217</v>
      </c>
      <c r="F241" s="168">
        <f>IFERROR(VLOOKUP(Opex_VE[[#This Row],[Fecha]],Historia!A:B,2,0),_xlfn.XLOOKUP(Opex_VE[[#This Row],[dia]],Forecast!I:I,Forecast!J:J))</f>
        <v>184566.66666666666</v>
      </c>
      <c r="G241" s="168">
        <f>IFERROR(VLOOKUP(Opex_VE[[#This Row],[Fecha]],Historia!A:C,3,0),_xlfn.XLOOKUP(Opex_VE[[#This Row],[dia]],Forecast!I:I,Forecast!K:K))</f>
        <v>73826.666666666672</v>
      </c>
      <c r="H241" s="182">
        <f>+Opex_VE[[#This Row],[MG]]-Opex_VE[[#This Row],[Opex]]</f>
        <v>-150358.47126436781</v>
      </c>
      <c r="I241" s="168" t="str">
        <f>IFERROR(VLOOKUP(Opex_VE[[#This Row],[Fecha]],Historia!A:D,4,0),"Forecast")</f>
        <v>Forecast</v>
      </c>
      <c r="J241" s="157">
        <f t="shared" si="6"/>
        <v>560462.8448275862</v>
      </c>
      <c r="K241" s="151">
        <f>+Opex_VE[[#This Row],[Arriendo]]+Opex_VE[[#This Row],[Servicios publicos]]+Opex_VE[[#This Row],[Nomina]]</f>
        <v>224185.13793103449</v>
      </c>
      <c r="L241" s="152">
        <f>+VLOOKUP(Opex_VE[[#This Row],[Fecha]],Opex!$B:$Y,OPEX_SALES!L$1,1)</f>
        <v>56896.551724137928</v>
      </c>
      <c r="M241" s="153">
        <f>+SUM(Opex_VE[[#This Row],[Internet]:[Electricidad]])</f>
        <v>27288.586206896551</v>
      </c>
      <c r="N241" s="152">
        <f>+VLOOKUP(Opex_VE[[#This Row],[Fecha]],Opex!$B:$Y,OPEX_SALES!N$1,1)</f>
        <v>3620.6896551724139</v>
      </c>
      <c r="O241" s="152">
        <f>+VLOOKUP(Opex_VE[[#This Row],[Fecha]],Opex!$B:$Y,OPEX_SALES!O$1,1)</f>
        <v>8528.2413793103442</v>
      </c>
      <c r="P241" s="152">
        <f>+VLOOKUP(Opex_VE[[#This Row],[Fecha]],Opex!$B:$Y,OPEX_SALES!P$1,1)</f>
        <v>4137.9310344827591</v>
      </c>
      <c r="Q241" s="152">
        <f>+VLOOKUP(Opex_VE[[#This Row],[Fecha]],Opex!$B:$Y,OPEX_SALES!Q$1,1)</f>
        <v>11001.724137931034</v>
      </c>
      <c r="R241" s="153">
        <f>+SUM(Opex_VE[[#This Row],[Cajero]:[Domiciliario]])</f>
        <v>140000</v>
      </c>
      <c r="S241" s="152">
        <v>70000</v>
      </c>
      <c r="T241" s="152">
        <v>70000</v>
      </c>
      <c r="U241" s="152">
        <v>0</v>
      </c>
      <c r="V241"/>
    </row>
    <row r="242" spans="1:22" x14ac:dyDescent="0.2">
      <c r="A242" s="149">
        <v>46305</v>
      </c>
      <c r="B242" s="3">
        <f t="shared" si="7"/>
        <v>33</v>
      </c>
      <c r="C242" s="3" t="str">
        <f>+TEXT(Opex_VE[[#This Row],[Fecha]],"ddd")</f>
        <v>sáb</v>
      </c>
      <c r="E242" s="14" t="s">
        <v>113</v>
      </c>
      <c r="F242" s="168">
        <f>IFERROR(VLOOKUP(Opex_VE[[#This Row],[Fecha]],Historia!A:B,2,0),_xlfn.XLOOKUP(Opex_VE[[#This Row],[dia]],Forecast!I:I,Forecast!J:J))</f>
        <v>398333.33333333331</v>
      </c>
      <c r="G242" s="168">
        <f>IFERROR(VLOOKUP(Opex_VE[[#This Row],[Fecha]],Historia!A:C,3,0),_xlfn.XLOOKUP(Opex_VE[[#This Row],[dia]],Forecast!I:I,Forecast!K:K))</f>
        <v>159333.33333333334</v>
      </c>
      <c r="H242" s="182">
        <f>+Opex_VE[[#This Row],[MG]]-Opex_VE[[#This Row],[Opex]]</f>
        <v>-64851.80459770115</v>
      </c>
      <c r="I242" s="169" t="str">
        <f>IFERROR(VLOOKUP(Opex_VE[[#This Row],[Fecha]],Historia!A:D,4,0),"Forecast")</f>
        <v>Forecast</v>
      </c>
      <c r="J242" s="157">
        <f t="shared" si="6"/>
        <v>560462.8448275862</v>
      </c>
      <c r="K242" s="151">
        <f>+Opex_VE[[#This Row],[Arriendo]]+Opex_VE[[#This Row],[Servicios publicos]]+Opex_VE[[#This Row],[Nomina]]</f>
        <v>224185.13793103449</v>
      </c>
      <c r="L242" s="152">
        <f>+VLOOKUP(Opex_VE[[#This Row],[Fecha]],Opex!$B:$Y,OPEX_SALES!L$1,1)</f>
        <v>56896.551724137928</v>
      </c>
      <c r="M242" s="153">
        <f>+SUM(Opex_VE[[#This Row],[Internet]:[Electricidad]])</f>
        <v>27288.586206896551</v>
      </c>
      <c r="N242" s="152">
        <f>+VLOOKUP(Opex_VE[[#This Row],[Fecha]],Opex!$B:$Y,OPEX_SALES!N$1,1)</f>
        <v>3620.6896551724139</v>
      </c>
      <c r="O242" s="152">
        <f>+VLOOKUP(Opex_VE[[#This Row],[Fecha]],Opex!$B:$Y,OPEX_SALES!O$1,1)</f>
        <v>8528.2413793103442</v>
      </c>
      <c r="P242" s="152">
        <f>+VLOOKUP(Opex_VE[[#This Row],[Fecha]],Opex!$B:$Y,OPEX_SALES!P$1,1)</f>
        <v>4137.9310344827591</v>
      </c>
      <c r="Q242" s="152">
        <f>+VLOOKUP(Opex_VE[[#This Row],[Fecha]],Opex!$B:$Y,OPEX_SALES!Q$1,1)</f>
        <v>11001.724137931034</v>
      </c>
      <c r="R242" s="153">
        <f>+SUM(Opex_VE[[#This Row],[Cajero]:[Domiciliario]])</f>
        <v>140000</v>
      </c>
      <c r="S242" s="152">
        <v>70000</v>
      </c>
      <c r="T242" s="152">
        <v>70000</v>
      </c>
      <c r="U242" s="152">
        <v>0</v>
      </c>
      <c r="V242"/>
    </row>
    <row r="243" spans="1:22" x14ac:dyDescent="0.2">
      <c r="A243" s="149">
        <v>46306</v>
      </c>
      <c r="B243" s="3">
        <f t="shared" si="7"/>
        <v>33</v>
      </c>
      <c r="C243" s="3" t="str">
        <f>+TEXT(Opex_VE[[#This Row],[Fecha]],"ddd")</f>
        <v>dom</v>
      </c>
      <c r="E243" s="14" t="s">
        <v>145</v>
      </c>
      <c r="F243" s="168">
        <f>IFERROR(VLOOKUP(Opex_VE[[#This Row],[Fecha]],Historia!A:B,2,0),_xlfn.XLOOKUP(Opex_VE[[#This Row],[dia]],Forecast!I:I,Forecast!J:J))</f>
        <v>168750</v>
      </c>
      <c r="G243" s="168">
        <f>IFERROR(VLOOKUP(Opex_VE[[#This Row],[Fecha]],Historia!A:C,3,0),_xlfn.XLOOKUP(Opex_VE[[#This Row],[dia]],Forecast!I:I,Forecast!K:K))</f>
        <v>67500</v>
      </c>
      <c r="H243" s="182">
        <f>+Opex_VE[[#This Row],[MG]]-Opex_VE[[#This Row],[Opex]]</f>
        <v>-156685.13793103449</v>
      </c>
      <c r="I243" s="168" t="str">
        <f>IFERROR(VLOOKUP(Opex_VE[[#This Row],[Fecha]],Historia!A:D,4,0),"Forecast")</f>
        <v>Forecast</v>
      </c>
      <c r="J243" s="157">
        <f t="shared" si="6"/>
        <v>560462.8448275862</v>
      </c>
      <c r="K243" s="151">
        <f>+Opex_VE[[#This Row],[Arriendo]]+Opex_VE[[#This Row],[Servicios publicos]]+Opex_VE[[#This Row],[Nomina]]</f>
        <v>224185.13793103449</v>
      </c>
      <c r="L243" s="152">
        <f>+VLOOKUP(Opex_VE[[#This Row],[Fecha]],Opex!$B:$Y,OPEX_SALES!L$1,1)</f>
        <v>56896.551724137928</v>
      </c>
      <c r="M243" s="153">
        <f>+SUM(Opex_VE[[#This Row],[Internet]:[Electricidad]])</f>
        <v>27288.586206896551</v>
      </c>
      <c r="N243" s="152">
        <f>+VLOOKUP(Opex_VE[[#This Row],[Fecha]],Opex!$B:$Y,OPEX_SALES!N$1,1)</f>
        <v>3620.6896551724139</v>
      </c>
      <c r="O243" s="152">
        <f>+VLOOKUP(Opex_VE[[#This Row],[Fecha]],Opex!$B:$Y,OPEX_SALES!O$1,1)</f>
        <v>8528.2413793103442</v>
      </c>
      <c r="P243" s="152">
        <f>+VLOOKUP(Opex_VE[[#This Row],[Fecha]],Opex!$B:$Y,OPEX_SALES!P$1,1)</f>
        <v>4137.9310344827591</v>
      </c>
      <c r="Q243" s="152">
        <f>+VLOOKUP(Opex_VE[[#This Row],[Fecha]],Opex!$B:$Y,OPEX_SALES!Q$1,1)</f>
        <v>11001.724137931034</v>
      </c>
      <c r="R243" s="153">
        <f>+SUM(Opex_VE[[#This Row],[Cajero]:[Domiciliario]])</f>
        <v>140000</v>
      </c>
      <c r="S243" s="152">
        <v>70000</v>
      </c>
      <c r="T243" s="152">
        <v>70000</v>
      </c>
      <c r="U243" s="152">
        <v>0</v>
      </c>
      <c r="V243"/>
    </row>
    <row r="244" spans="1:22" x14ac:dyDescent="0.2">
      <c r="A244" s="149">
        <v>46307</v>
      </c>
      <c r="B244" s="3">
        <f t="shared" si="7"/>
        <v>34</v>
      </c>
      <c r="C244" s="3" t="str">
        <f>+TEXT(Opex_VE[[#This Row],[Fecha]],"ddd")</f>
        <v>lun</v>
      </c>
      <c r="E244" s="14" t="s">
        <v>112</v>
      </c>
      <c r="F244" s="168">
        <f>IFERROR(VLOOKUP(Opex_VE[[#This Row],[Fecha]],Historia!A:B,2,0),_xlfn.XLOOKUP(Opex_VE[[#This Row],[dia]],Forecast!I:I,Forecast!J:J))</f>
        <v>164375</v>
      </c>
      <c r="G244" s="168">
        <f>IFERROR(VLOOKUP(Opex_VE[[#This Row],[Fecha]],Historia!A:C,3,0),_xlfn.XLOOKUP(Opex_VE[[#This Row],[dia]],Forecast!I:I,Forecast!K:K))</f>
        <v>65750</v>
      </c>
      <c r="H244" s="182">
        <f>+Opex_VE[[#This Row],[MG]]-Opex_VE[[#This Row],[Opex]]</f>
        <v>-158435.13793103449</v>
      </c>
      <c r="I244" s="168" t="str">
        <f>IFERROR(VLOOKUP(Opex_VE[[#This Row],[Fecha]],Historia!A:D,4,0),"Forecast")</f>
        <v>Forecast</v>
      </c>
      <c r="J244" s="157">
        <f t="shared" si="6"/>
        <v>560462.8448275862</v>
      </c>
      <c r="K244" s="151">
        <f>+Opex_VE[[#This Row],[Arriendo]]+Opex_VE[[#This Row],[Servicios publicos]]+Opex_VE[[#This Row],[Nomina]]</f>
        <v>224185.13793103449</v>
      </c>
      <c r="L244" s="152">
        <f>+VLOOKUP(Opex_VE[[#This Row],[Fecha]],Opex!$B:$Y,OPEX_SALES!L$1,1)</f>
        <v>56896.551724137928</v>
      </c>
      <c r="M244" s="153">
        <f>+SUM(Opex_VE[[#This Row],[Internet]:[Electricidad]])</f>
        <v>27288.586206896551</v>
      </c>
      <c r="N244" s="152">
        <f>+VLOOKUP(Opex_VE[[#This Row],[Fecha]],Opex!$B:$Y,OPEX_SALES!N$1,1)</f>
        <v>3620.6896551724139</v>
      </c>
      <c r="O244" s="152">
        <f>+VLOOKUP(Opex_VE[[#This Row],[Fecha]],Opex!$B:$Y,OPEX_SALES!O$1,1)</f>
        <v>8528.2413793103442</v>
      </c>
      <c r="P244" s="152">
        <f>+VLOOKUP(Opex_VE[[#This Row],[Fecha]],Opex!$B:$Y,OPEX_SALES!P$1,1)</f>
        <v>4137.9310344827591</v>
      </c>
      <c r="Q244" s="152">
        <f>+VLOOKUP(Opex_VE[[#This Row],[Fecha]],Opex!$B:$Y,OPEX_SALES!Q$1,1)</f>
        <v>11001.724137931034</v>
      </c>
      <c r="R244" s="153">
        <f>+SUM(Opex_VE[[#This Row],[Cajero]:[Domiciliario]])</f>
        <v>140000</v>
      </c>
      <c r="S244" s="152">
        <v>70000</v>
      </c>
      <c r="T244" s="152">
        <v>70000</v>
      </c>
      <c r="U244" s="152">
        <v>0</v>
      </c>
      <c r="V244"/>
    </row>
    <row r="245" spans="1:22" x14ac:dyDescent="0.2">
      <c r="A245" s="149">
        <v>46308</v>
      </c>
      <c r="B245" s="3">
        <f t="shared" si="7"/>
        <v>34</v>
      </c>
      <c r="C245" s="3" t="str">
        <f>+TEXT(Opex_VE[[#This Row],[Fecha]],"ddd")</f>
        <v>mar</v>
      </c>
      <c r="E245" s="14" t="s">
        <v>112</v>
      </c>
      <c r="F245" s="168">
        <f>IFERROR(VLOOKUP(Opex_VE[[#This Row],[Fecha]],Historia!A:B,2,0),_xlfn.XLOOKUP(Opex_VE[[#This Row],[dia]],Forecast!I:I,Forecast!J:J))</f>
        <v>199625</v>
      </c>
      <c r="G245" s="168">
        <f>IFERROR(VLOOKUP(Opex_VE[[#This Row],[Fecha]],Historia!A:C,3,0),_xlfn.XLOOKUP(Opex_VE[[#This Row],[dia]],Forecast!I:I,Forecast!K:K))</f>
        <v>79850</v>
      </c>
      <c r="H245" s="182">
        <f>+Opex_VE[[#This Row],[MG]]-Opex_VE[[#This Row],[Opex]]</f>
        <v>-144335.13793103449</v>
      </c>
      <c r="I245" s="168" t="str">
        <f>IFERROR(VLOOKUP(Opex_VE[[#This Row],[Fecha]],Historia!A:D,4,0),"Forecast")</f>
        <v>Forecast</v>
      </c>
      <c r="J245" s="157">
        <f t="shared" si="6"/>
        <v>560462.8448275862</v>
      </c>
      <c r="K245" s="151">
        <f>+Opex_VE[[#This Row],[Arriendo]]+Opex_VE[[#This Row],[Servicios publicos]]+Opex_VE[[#This Row],[Nomina]]</f>
        <v>224185.13793103449</v>
      </c>
      <c r="L245" s="152">
        <f>+VLOOKUP(Opex_VE[[#This Row],[Fecha]],Opex!$B:$Y,OPEX_SALES!L$1,1)</f>
        <v>56896.551724137928</v>
      </c>
      <c r="M245" s="153">
        <f>+SUM(Opex_VE[[#This Row],[Internet]:[Electricidad]])</f>
        <v>27288.586206896551</v>
      </c>
      <c r="N245" s="152">
        <f>+VLOOKUP(Opex_VE[[#This Row],[Fecha]],Opex!$B:$Y,OPEX_SALES!N$1,1)</f>
        <v>3620.6896551724139</v>
      </c>
      <c r="O245" s="152">
        <f>+VLOOKUP(Opex_VE[[#This Row],[Fecha]],Opex!$B:$Y,OPEX_SALES!O$1,1)</f>
        <v>8528.2413793103442</v>
      </c>
      <c r="P245" s="152">
        <f>+VLOOKUP(Opex_VE[[#This Row],[Fecha]],Opex!$B:$Y,OPEX_SALES!P$1,1)</f>
        <v>4137.9310344827591</v>
      </c>
      <c r="Q245" s="152">
        <f>+VLOOKUP(Opex_VE[[#This Row],[Fecha]],Opex!$B:$Y,OPEX_SALES!Q$1,1)</f>
        <v>11001.724137931034</v>
      </c>
      <c r="R245" s="153">
        <f>+SUM(Opex_VE[[#This Row],[Cajero]:[Domiciliario]])</f>
        <v>140000</v>
      </c>
      <c r="S245" s="152">
        <v>70000</v>
      </c>
      <c r="T245" s="152">
        <v>70000</v>
      </c>
      <c r="U245" s="152">
        <v>0</v>
      </c>
      <c r="V245"/>
    </row>
    <row r="246" spans="1:22" x14ac:dyDescent="0.2">
      <c r="A246" s="149">
        <v>46309</v>
      </c>
      <c r="B246" s="3">
        <f t="shared" si="7"/>
        <v>34</v>
      </c>
      <c r="C246" s="3" t="str">
        <f>+TEXT(Opex_VE[[#This Row],[Fecha]],"ddd")</f>
        <v>mié</v>
      </c>
      <c r="E246" s="14" t="s">
        <v>112</v>
      </c>
      <c r="F246" s="168">
        <f>IFERROR(VLOOKUP(Opex_VE[[#This Row],[Fecha]],Historia!A:B,2,0),_xlfn.XLOOKUP(Opex_VE[[#This Row],[dia]],Forecast!I:I,Forecast!J:J))</f>
        <v>339250</v>
      </c>
      <c r="G246" s="168">
        <f>IFERROR(VLOOKUP(Opex_VE[[#This Row],[Fecha]],Historia!A:C,3,0),_xlfn.XLOOKUP(Opex_VE[[#This Row],[dia]],Forecast!I:I,Forecast!K:K))</f>
        <v>135700</v>
      </c>
      <c r="H246" s="182">
        <f>+Opex_VE[[#This Row],[MG]]-Opex_VE[[#This Row],[Opex]]</f>
        <v>-88485.137931034493</v>
      </c>
      <c r="I246" s="168" t="str">
        <f>IFERROR(VLOOKUP(Opex_VE[[#This Row],[Fecha]],Historia!A:D,4,0),"Forecast")</f>
        <v>Forecast</v>
      </c>
      <c r="J246" s="157">
        <f t="shared" si="6"/>
        <v>560462.8448275862</v>
      </c>
      <c r="K246" s="151">
        <f>+Opex_VE[[#This Row],[Arriendo]]+Opex_VE[[#This Row],[Servicios publicos]]+Opex_VE[[#This Row],[Nomina]]</f>
        <v>224185.13793103449</v>
      </c>
      <c r="L246" s="152">
        <f>+VLOOKUP(Opex_VE[[#This Row],[Fecha]],Opex!$B:$Y,OPEX_SALES!L$1,1)</f>
        <v>56896.551724137928</v>
      </c>
      <c r="M246" s="153">
        <f>+SUM(Opex_VE[[#This Row],[Internet]:[Electricidad]])</f>
        <v>27288.586206896551</v>
      </c>
      <c r="N246" s="152">
        <f>+VLOOKUP(Opex_VE[[#This Row],[Fecha]],Opex!$B:$Y,OPEX_SALES!N$1,1)</f>
        <v>3620.6896551724139</v>
      </c>
      <c r="O246" s="152">
        <f>+VLOOKUP(Opex_VE[[#This Row],[Fecha]],Opex!$B:$Y,OPEX_SALES!O$1,1)</f>
        <v>8528.2413793103442</v>
      </c>
      <c r="P246" s="152">
        <f>+VLOOKUP(Opex_VE[[#This Row],[Fecha]],Opex!$B:$Y,OPEX_SALES!P$1,1)</f>
        <v>4137.9310344827591</v>
      </c>
      <c r="Q246" s="152">
        <f>+VLOOKUP(Opex_VE[[#This Row],[Fecha]],Opex!$B:$Y,OPEX_SALES!Q$1,1)</f>
        <v>11001.724137931034</v>
      </c>
      <c r="R246" s="153">
        <f>+SUM(Opex_VE[[#This Row],[Cajero]:[Domiciliario]])</f>
        <v>140000</v>
      </c>
      <c r="S246" s="152">
        <v>70000</v>
      </c>
      <c r="T246" s="152">
        <v>70000</v>
      </c>
      <c r="U246" s="152">
        <v>0</v>
      </c>
      <c r="V246"/>
    </row>
    <row r="247" spans="1:22" x14ac:dyDescent="0.2">
      <c r="A247" s="149">
        <v>46310</v>
      </c>
      <c r="B247" s="3">
        <f t="shared" si="7"/>
        <v>34</v>
      </c>
      <c r="C247" s="3" t="str">
        <f>+TEXT(Opex_VE[[#This Row],[Fecha]],"ddd")</f>
        <v>jue</v>
      </c>
      <c r="E247" s="14" t="s">
        <v>112</v>
      </c>
      <c r="F247" s="168">
        <f>IFERROR(VLOOKUP(Opex_VE[[#This Row],[Fecha]],Historia!A:B,2,0),_xlfn.XLOOKUP(Opex_VE[[#This Row],[dia]],Forecast!I:I,Forecast!J:J))</f>
        <v>274975</v>
      </c>
      <c r="G247" s="168">
        <f>IFERROR(VLOOKUP(Opex_VE[[#This Row],[Fecha]],Historia!A:C,3,0),_xlfn.XLOOKUP(Opex_VE[[#This Row],[dia]],Forecast!I:I,Forecast!K:K))</f>
        <v>109990</v>
      </c>
      <c r="H247" s="182">
        <f>+Opex_VE[[#This Row],[MG]]-Opex_VE[[#This Row],[Opex]]</f>
        <v>-111388.96666666667</v>
      </c>
      <c r="I247" s="168" t="str">
        <f>IFERROR(VLOOKUP(Opex_VE[[#This Row],[Fecha]],Historia!A:D,4,0),"Forecast")</f>
        <v>Forecast</v>
      </c>
      <c r="J247" s="157">
        <f t="shared" si="6"/>
        <v>553447.41666666663</v>
      </c>
      <c r="K247" s="151">
        <f>+Opex_VE[[#This Row],[Arriendo]]+Opex_VE[[#This Row],[Servicios publicos]]+Opex_VE[[#This Row],[Nomina]]</f>
        <v>221378.96666666667</v>
      </c>
      <c r="L247" s="152">
        <f>+VLOOKUP(Opex_VE[[#This Row],[Fecha]],Opex!$B:$Y,OPEX_SALES!L$1,1)</f>
        <v>55000</v>
      </c>
      <c r="M247" s="153">
        <f>+SUM(Opex_VE[[#This Row],[Internet]:[Electricidad]])</f>
        <v>26378.966666666667</v>
      </c>
      <c r="N247" s="152">
        <f>+VLOOKUP(Opex_VE[[#This Row],[Fecha]],Opex!$B:$Y,OPEX_SALES!N$1,1)</f>
        <v>3500</v>
      </c>
      <c r="O247" s="152">
        <f>+VLOOKUP(Opex_VE[[#This Row],[Fecha]],Opex!$B:$Y,OPEX_SALES!O$1,1)</f>
        <v>8243.9666666666672</v>
      </c>
      <c r="P247" s="152">
        <f>+VLOOKUP(Opex_VE[[#This Row],[Fecha]],Opex!$B:$Y,OPEX_SALES!P$1,1)</f>
        <v>4000</v>
      </c>
      <c r="Q247" s="152">
        <f>+VLOOKUP(Opex_VE[[#This Row],[Fecha]],Opex!$B:$Y,OPEX_SALES!Q$1,1)</f>
        <v>10635</v>
      </c>
      <c r="R247" s="153">
        <f>+SUM(Opex_VE[[#This Row],[Cajero]:[Domiciliario]])</f>
        <v>140000</v>
      </c>
      <c r="S247" s="152">
        <v>70000</v>
      </c>
      <c r="T247" s="152">
        <v>70000</v>
      </c>
      <c r="U247" s="152">
        <v>0</v>
      </c>
      <c r="V247"/>
    </row>
    <row r="248" spans="1:22" x14ac:dyDescent="0.2">
      <c r="A248" s="149">
        <v>46311</v>
      </c>
      <c r="B248" s="3">
        <f t="shared" si="7"/>
        <v>34</v>
      </c>
      <c r="C248" s="3" t="str">
        <f>+TEXT(Opex_VE[[#This Row],[Fecha]],"ddd")</f>
        <v>vie</v>
      </c>
      <c r="E248" s="14" t="s">
        <v>217</v>
      </c>
      <c r="F248" s="168">
        <f>IFERROR(VLOOKUP(Opex_VE[[#This Row],[Fecha]],Historia!A:B,2,0),_xlfn.XLOOKUP(Opex_VE[[#This Row],[dia]],Forecast!I:I,Forecast!J:J))</f>
        <v>184566.66666666666</v>
      </c>
      <c r="G248" s="168">
        <f>IFERROR(VLOOKUP(Opex_VE[[#This Row],[Fecha]],Historia!A:C,3,0),_xlfn.XLOOKUP(Opex_VE[[#This Row],[dia]],Forecast!I:I,Forecast!K:K))</f>
        <v>73826.666666666672</v>
      </c>
      <c r="H248" s="182">
        <f>+Opex_VE[[#This Row],[MG]]-Opex_VE[[#This Row],[Opex]]</f>
        <v>-147552.29999999999</v>
      </c>
      <c r="I248" s="168" t="str">
        <f>IFERROR(VLOOKUP(Opex_VE[[#This Row],[Fecha]],Historia!A:D,4,0),"Forecast")</f>
        <v>Forecast</v>
      </c>
      <c r="J248" s="157">
        <f t="shared" si="6"/>
        <v>553447.41666666663</v>
      </c>
      <c r="K248" s="151">
        <f>+Opex_VE[[#This Row],[Arriendo]]+Opex_VE[[#This Row],[Servicios publicos]]+Opex_VE[[#This Row],[Nomina]]</f>
        <v>221378.96666666667</v>
      </c>
      <c r="L248" s="152">
        <f>+VLOOKUP(Opex_VE[[#This Row],[Fecha]],Opex!$B:$Y,OPEX_SALES!L$1,1)</f>
        <v>55000</v>
      </c>
      <c r="M248" s="153">
        <f>+SUM(Opex_VE[[#This Row],[Internet]:[Electricidad]])</f>
        <v>26378.966666666667</v>
      </c>
      <c r="N248" s="152">
        <f>+VLOOKUP(Opex_VE[[#This Row],[Fecha]],Opex!$B:$Y,OPEX_SALES!N$1,1)</f>
        <v>3500</v>
      </c>
      <c r="O248" s="152">
        <f>+VLOOKUP(Opex_VE[[#This Row],[Fecha]],Opex!$B:$Y,OPEX_SALES!O$1,1)</f>
        <v>8243.9666666666672</v>
      </c>
      <c r="P248" s="152">
        <f>+VLOOKUP(Opex_VE[[#This Row],[Fecha]],Opex!$B:$Y,OPEX_SALES!P$1,1)</f>
        <v>4000</v>
      </c>
      <c r="Q248" s="152">
        <f>+VLOOKUP(Opex_VE[[#This Row],[Fecha]],Opex!$B:$Y,OPEX_SALES!Q$1,1)</f>
        <v>10635</v>
      </c>
      <c r="R248" s="153">
        <f>+SUM(Opex_VE[[#This Row],[Cajero]:[Domiciliario]])</f>
        <v>140000</v>
      </c>
      <c r="S248" s="152">
        <v>70000</v>
      </c>
      <c r="T248" s="152">
        <v>70000</v>
      </c>
      <c r="U248" s="152">
        <v>0</v>
      </c>
      <c r="V248"/>
    </row>
    <row r="249" spans="1:22" x14ac:dyDescent="0.2">
      <c r="A249" s="149">
        <v>46312</v>
      </c>
      <c r="B249" s="3">
        <f t="shared" si="7"/>
        <v>34</v>
      </c>
      <c r="C249" s="3" t="str">
        <f>+TEXT(Opex_VE[[#This Row],[Fecha]],"ddd")</f>
        <v>sáb</v>
      </c>
      <c r="E249" s="14" t="s">
        <v>113</v>
      </c>
      <c r="F249" s="168">
        <f>IFERROR(VLOOKUP(Opex_VE[[#This Row],[Fecha]],Historia!A:B,2,0),_xlfn.XLOOKUP(Opex_VE[[#This Row],[dia]],Forecast!I:I,Forecast!J:J))</f>
        <v>398333.33333333331</v>
      </c>
      <c r="G249" s="168">
        <f>IFERROR(VLOOKUP(Opex_VE[[#This Row],[Fecha]],Historia!A:C,3,0),_xlfn.XLOOKUP(Opex_VE[[#This Row],[dia]],Forecast!I:I,Forecast!K:K))</f>
        <v>159333.33333333334</v>
      </c>
      <c r="H249" s="182">
        <f>+Opex_VE[[#This Row],[MG]]-Opex_VE[[#This Row],[Opex]]</f>
        <v>-62045.633333333331</v>
      </c>
      <c r="I249" s="169" t="str">
        <f>IFERROR(VLOOKUP(Opex_VE[[#This Row],[Fecha]],Historia!A:D,4,0),"Forecast")</f>
        <v>Forecast</v>
      </c>
      <c r="J249" s="157">
        <f t="shared" si="6"/>
        <v>553447.41666666663</v>
      </c>
      <c r="K249" s="151">
        <f>+Opex_VE[[#This Row],[Arriendo]]+Opex_VE[[#This Row],[Servicios publicos]]+Opex_VE[[#This Row],[Nomina]]</f>
        <v>221378.96666666667</v>
      </c>
      <c r="L249" s="152">
        <f>+VLOOKUP(Opex_VE[[#This Row],[Fecha]],Opex!$B:$Y,OPEX_SALES!L$1,1)</f>
        <v>55000</v>
      </c>
      <c r="M249" s="153">
        <f>+SUM(Opex_VE[[#This Row],[Internet]:[Electricidad]])</f>
        <v>26378.966666666667</v>
      </c>
      <c r="N249" s="152">
        <f>+VLOOKUP(Opex_VE[[#This Row],[Fecha]],Opex!$B:$Y,OPEX_SALES!N$1,1)</f>
        <v>3500</v>
      </c>
      <c r="O249" s="152">
        <f>+VLOOKUP(Opex_VE[[#This Row],[Fecha]],Opex!$B:$Y,OPEX_SALES!O$1,1)</f>
        <v>8243.9666666666672</v>
      </c>
      <c r="P249" s="152">
        <f>+VLOOKUP(Opex_VE[[#This Row],[Fecha]],Opex!$B:$Y,OPEX_SALES!P$1,1)</f>
        <v>4000</v>
      </c>
      <c r="Q249" s="152">
        <f>+VLOOKUP(Opex_VE[[#This Row],[Fecha]],Opex!$B:$Y,OPEX_SALES!Q$1,1)</f>
        <v>10635</v>
      </c>
      <c r="R249" s="153">
        <f>+SUM(Opex_VE[[#This Row],[Cajero]:[Domiciliario]])</f>
        <v>140000</v>
      </c>
      <c r="S249" s="152">
        <v>70000</v>
      </c>
      <c r="T249" s="152">
        <v>70000</v>
      </c>
      <c r="U249" s="152">
        <v>0</v>
      </c>
      <c r="V249"/>
    </row>
    <row r="250" spans="1:22" x14ac:dyDescent="0.2">
      <c r="A250" s="149">
        <v>46313</v>
      </c>
      <c r="B250" s="3">
        <f t="shared" si="7"/>
        <v>34</v>
      </c>
      <c r="C250" s="3" t="str">
        <f>+TEXT(Opex_VE[[#This Row],[Fecha]],"ddd")</f>
        <v>dom</v>
      </c>
      <c r="E250" s="14" t="s">
        <v>145</v>
      </c>
      <c r="F250" s="168">
        <f>IFERROR(VLOOKUP(Opex_VE[[#This Row],[Fecha]],Historia!A:B,2,0),_xlfn.XLOOKUP(Opex_VE[[#This Row],[dia]],Forecast!I:I,Forecast!J:J))</f>
        <v>168750</v>
      </c>
      <c r="G250" s="168">
        <f>IFERROR(VLOOKUP(Opex_VE[[#This Row],[Fecha]],Historia!A:C,3,0),_xlfn.XLOOKUP(Opex_VE[[#This Row],[dia]],Forecast!I:I,Forecast!K:K))</f>
        <v>67500</v>
      </c>
      <c r="H250" s="182">
        <f>+Opex_VE[[#This Row],[MG]]-Opex_VE[[#This Row],[Opex]]</f>
        <v>-153878.96666666667</v>
      </c>
      <c r="I250" s="168" t="str">
        <f>IFERROR(VLOOKUP(Opex_VE[[#This Row],[Fecha]],Historia!A:D,4,0),"Forecast")</f>
        <v>Forecast</v>
      </c>
      <c r="J250" s="157">
        <f t="shared" si="6"/>
        <v>553447.41666666663</v>
      </c>
      <c r="K250" s="151">
        <f>+Opex_VE[[#This Row],[Arriendo]]+Opex_VE[[#This Row],[Servicios publicos]]+Opex_VE[[#This Row],[Nomina]]</f>
        <v>221378.96666666667</v>
      </c>
      <c r="L250" s="152">
        <f>+VLOOKUP(Opex_VE[[#This Row],[Fecha]],Opex!$B:$Y,OPEX_SALES!L$1,1)</f>
        <v>55000</v>
      </c>
      <c r="M250" s="153">
        <f>+SUM(Opex_VE[[#This Row],[Internet]:[Electricidad]])</f>
        <v>26378.966666666667</v>
      </c>
      <c r="N250" s="152">
        <f>+VLOOKUP(Opex_VE[[#This Row],[Fecha]],Opex!$B:$Y,OPEX_SALES!N$1,1)</f>
        <v>3500</v>
      </c>
      <c r="O250" s="152">
        <f>+VLOOKUP(Opex_VE[[#This Row],[Fecha]],Opex!$B:$Y,OPEX_SALES!O$1,1)</f>
        <v>8243.9666666666672</v>
      </c>
      <c r="P250" s="152">
        <f>+VLOOKUP(Opex_VE[[#This Row],[Fecha]],Opex!$B:$Y,OPEX_SALES!P$1,1)</f>
        <v>4000</v>
      </c>
      <c r="Q250" s="152">
        <f>+VLOOKUP(Opex_VE[[#This Row],[Fecha]],Opex!$B:$Y,OPEX_SALES!Q$1,1)</f>
        <v>10635</v>
      </c>
      <c r="R250" s="153">
        <f>+SUM(Opex_VE[[#This Row],[Cajero]:[Domiciliario]])</f>
        <v>140000</v>
      </c>
      <c r="S250" s="152">
        <v>70000</v>
      </c>
      <c r="T250" s="152">
        <v>70000</v>
      </c>
      <c r="U250" s="152">
        <v>0</v>
      </c>
      <c r="V250"/>
    </row>
    <row r="251" spans="1:22" x14ac:dyDescent="0.2">
      <c r="A251" s="149">
        <v>46314</v>
      </c>
      <c r="B251" s="3">
        <f t="shared" si="7"/>
        <v>35</v>
      </c>
      <c r="C251" s="3" t="str">
        <f>+TEXT(Opex_VE[[#This Row],[Fecha]],"ddd")</f>
        <v>lun</v>
      </c>
      <c r="E251" s="14" t="s">
        <v>112</v>
      </c>
      <c r="F251" s="168">
        <f>IFERROR(VLOOKUP(Opex_VE[[#This Row],[Fecha]],Historia!A:B,2,0),_xlfn.XLOOKUP(Opex_VE[[#This Row],[dia]],Forecast!I:I,Forecast!J:J))</f>
        <v>164375</v>
      </c>
      <c r="G251" s="168">
        <f>IFERROR(VLOOKUP(Opex_VE[[#This Row],[Fecha]],Historia!A:C,3,0),_xlfn.XLOOKUP(Opex_VE[[#This Row],[dia]],Forecast!I:I,Forecast!K:K))</f>
        <v>65750</v>
      </c>
      <c r="H251" s="182">
        <f>+Opex_VE[[#This Row],[MG]]-Opex_VE[[#This Row],[Opex]]</f>
        <v>-155628.96666666667</v>
      </c>
      <c r="I251" s="168" t="str">
        <f>IFERROR(VLOOKUP(Opex_VE[[#This Row],[Fecha]],Historia!A:D,4,0),"Forecast")</f>
        <v>Forecast</v>
      </c>
      <c r="J251" s="157">
        <f t="shared" si="6"/>
        <v>553447.41666666663</v>
      </c>
      <c r="K251" s="151">
        <f>+Opex_VE[[#This Row],[Arriendo]]+Opex_VE[[#This Row],[Servicios publicos]]+Opex_VE[[#This Row],[Nomina]]</f>
        <v>221378.96666666667</v>
      </c>
      <c r="L251" s="152">
        <f>+VLOOKUP(Opex_VE[[#This Row],[Fecha]],Opex!$B:$Y,OPEX_SALES!L$1,1)</f>
        <v>55000</v>
      </c>
      <c r="M251" s="153">
        <f>+SUM(Opex_VE[[#This Row],[Internet]:[Electricidad]])</f>
        <v>26378.966666666667</v>
      </c>
      <c r="N251" s="152">
        <f>+VLOOKUP(Opex_VE[[#This Row],[Fecha]],Opex!$B:$Y,OPEX_SALES!N$1,1)</f>
        <v>3500</v>
      </c>
      <c r="O251" s="152">
        <f>+VLOOKUP(Opex_VE[[#This Row],[Fecha]],Opex!$B:$Y,OPEX_SALES!O$1,1)</f>
        <v>8243.9666666666672</v>
      </c>
      <c r="P251" s="152">
        <f>+VLOOKUP(Opex_VE[[#This Row],[Fecha]],Opex!$B:$Y,OPEX_SALES!P$1,1)</f>
        <v>4000</v>
      </c>
      <c r="Q251" s="152">
        <f>+VLOOKUP(Opex_VE[[#This Row],[Fecha]],Opex!$B:$Y,OPEX_SALES!Q$1,1)</f>
        <v>10635</v>
      </c>
      <c r="R251" s="153">
        <f>+SUM(Opex_VE[[#This Row],[Cajero]:[Domiciliario]])</f>
        <v>140000</v>
      </c>
      <c r="S251" s="152">
        <v>70000</v>
      </c>
      <c r="T251" s="152">
        <v>70000</v>
      </c>
      <c r="U251" s="152">
        <v>0</v>
      </c>
      <c r="V251"/>
    </row>
    <row r="252" spans="1:22" x14ac:dyDescent="0.2">
      <c r="A252" s="149">
        <v>46315</v>
      </c>
      <c r="B252" s="3">
        <f t="shared" si="7"/>
        <v>35</v>
      </c>
      <c r="C252" s="3" t="str">
        <f>+TEXT(Opex_VE[[#This Row],[Fecha]],"ddd")</f>
        <v>mar</v>
      </c>
      <c r="E252" s="14" t="s">
        <v>112</v>
      </c>
      <c r="F252" s="168">
        <f>IFERROR(VLOOKUP(Opex_VE[[#This Row],[Fecha]],Historia!A:B,2,0),_xlfn.XLOOKUP(Opex_VE[[#This Row],[dia]],Forecast!I:I,Forecast!J:J))</f>
        <v>199625</v>
      </c>
      <c r="G252" s="168">
        <f>IFERROR(VLOOKUP(Opex_VE[[#This Row],[Fecha]],Historia!A:C,3,0),_xlfn.XLOOKUP(Opex_VE[[#This Row],[dia]],Forecast!I:I,Forecast!K:K))</f>
        <v>79850</v>
      </c>
      <c r="H252" s="182">
        <f>+Opex_VE[[#This Row],[MG]]-Opex_VE[[#This Row],[Opex]]</f>
        <v>-141528.96666666667</v>
      </c>
      <c r="I252" s="168" t="str">
        <f>IFERROR(VLOOKUP(Opex_VE[[#This Row],[Fecha]],Historia!A:D,4,0),"Forecast")</f>
        <v>Forecast</v>
      </c>
      <c r="J252" s="157">
        <f t="shared" si="6"/>
        <v>553447.41666666663</v>
      </c>
      <c r="K252" s="151">
        <f>+Opex_VE[[#This Row],[Arriendo]]+Opex_VE[[#This Row],[Servicios publicos]]+Opex_VE[[#This Row],[Nomina]]</f>
        <v>221378.96666666667</v>
      </c>
      <c r="L252" s="152">
        <f>+VLOOKUP(Opex_VE[[#This Row],[Fecha]],Opex!$B:$Y,OPEX_SALES!L$1,1)</f>
        <v>55000</v>
      </c>
      <c r="M252" s="153">
        <f>+SUM(Opex_VE[[#This Row],[Internet]:[Electricidad]])</f>
        <v>26378.966666666667</v>
      </c>
      <c r="N252" s="152">
        <f>+VLOOKUP(Opex_VE[[#This Row],[Fecha]],Opex!$B:$Y,OPEX_SALES!N$1,1)</f>
        <v>3500</v>
      </c>
      <c r="O252" s="152">
        <f>+VLOOKUP(Opex_VE[[#This Row],[Fecha]],Opex!$B:$Y,OPEX_SALES!O$1,1)</f>
        <v>8243.9666666666672</v>
      </c>
      <c r="P252" s="152">
        <f>+VLOOKUP(Opex_VE[[#This Row],[Fecha]],Opex!$B:$Y,OPEX_SALES!P$1,1)</f>
        <v>4000</v>
      </c>
      <c r="Q252" s="152">
        <f>+VLOOKUP(Opex_VE[[#This Row],[Fecha]],Opex!$B:$Y,OPEX_SALES!Q$1,1)</f>
        <v>10635</v>
      </c>
      <c r="R252" s="153">
        <f>+SUM(Opex_VE[[#This Row],[Cajero]:[Domiciliario]])</f>
        <v>140000</v>
      </c>
      <c r="S252" s="152">
        <v>70000</v>
      </c>
      <c r="T252" s="152">
        <v>70000</v>
      </c>
      <c r="U252" s="152">
        <v>0</v>
      </c>
      <c r="V252"/>
    </row>
    <row r="253" spans="1:22" x14ac:dyDescent="0.2">
      <c r="A253" s="149">
        <v>46316</v>
      </c>
      <c r="B253" s="3">
        <f t="shared" si="7"/>
        <v>35</v>
      </c>
      <c r="C253" s="3" t="str">
        <f>+TEXT(Opex_VE[[#This Row],[Fecha]],"ddd")</f>
        <v>mié</v>
      </c>
      <c r="E253" s="14" t="s">
        <v>112</v>
      </c>
      <c r="F253" s="168">
        <f>IFERROR(VLOOKUP(Opex_VE[[#This Row],[Fecha]],Historia!A:B,2,0),_xlfn.XLOOKUP(Opex_VE[[#This Row],[dia]],Forecast!I:I,Forecast!J:J))</f>
        <v>339250</v>
      </c>
      <c r="G253" s="168">
        <f>IFERROR(VLOOKUP(Opex_VE[[#This Row],[Fecha]],Historia!A:C,3,0),_xlfn.XLOOKUP(Opex_VE[[#This Row],[dia]],Forecast!I:I,Forecast!K:K))</f>
        <v>135700</v>
      </c>
      <c r="H253" s="182">
        <f>+Opex_VE[[#This Row],[MG]]-Opex_VE[[#This Row],[Opex]]</f>
        <v>-85678.966666666674</v>
      </c>
      <c r="I253" s="168" t="str">
        <f>IFERROR(VLOOKUP(Opex_VE[[#This Row],[Fecha]],Historia!A:D,4,0),"Forecast")</f>
        <v>Forecast</v>
      </c>
      <c r="J253" s="157">
        <f t="shared" si="6"/>
        <v>553447.41666666663</v>
      </c>
      <c r="K253" s="151">
        <f>+Opex_VE[[#This Row],[Arriendo]]+Opex_VE[[#This Row],[Servicios publicos]]+Opex_VE[[#This Row],[Nomina]]</f>
        <v>221378.96666666667</v>
      </c>
      <c r="L253" s="152">
        <f>+VLOOKUP(Opex_VE[[#This Row],[Fecha]],Opex!$B:$Y,OPEX_SALES!L$1,1)</f>
        <v>55000</v>
      </c>
      <c r="M253" s="153">
        <f>+SUM(Opex_VE[[#This Row],[Internet]:[Electricidad]])</f>
        <v>26378.966666666667</v>
      </c>
      <c r="N253" s="152">
        <f>+VLOOKUP(Opex_VE[[#This Row],[Fecha]],Opex!$B:$Y,OPEX_SALES!N$1,1)</f>
        <v>3500</v>
      </c>
      <c r="O253" s="152">
        <f>+VLOOKUP(Opex_VE[[#This Row],[Fecha]],Opex!$B:$Y,OPEX_SALES!O$1,1)</f>
        <v>8243.9666666666672</v>
      </c>
      <c r="P253" s="152">
        <f>+VLOOKUP(Opex_VE[[#This Row],[Fecha]],Opex!$B:$Y,OPEX_SALES!P$1,1)</f>
        <v>4000</v>
      </c>
      <c r="Q253" s="152">
        <f>+VLOOKUP(Opex_VE[[#This Row],[Fecha]],Opex!$B:$Y,OPEX_SALES!Q$1,1)</f>
        <v>10635</v>
      </c>
      <c r="R253" s="153">
        <f>+SUM(Opex_VE[[#This Row],[Cajero]:[Domiciliario]])</f>
        <v>140000</v>
      </c>
      <c r="S253" s="152">
        <v>70000</v>
      </c>
      <c r="T253" s="152">
        <v>70000</v>
      </c>
      <c r="U253" s="152">
        <v>0</v>
      </c>
      <c r="V253"/>
    </row>
    <row r="254" spans="1:22" x14ac:dyDescent="0.2">
      <c r="A254" s="149">
        <v>46317</v>
      </c>
      <c r="B254" s="3">
        <f t="shared" si="7"/>
        <v>35</v>
      </c>
      <c r="C254" s="3" t="str">
        <f>+TEXT(Opex_VE[[#This Row],[Fecha]],"ddd")</f>
        <v>jue</v>
      </c>
      <c r="E254" s="14" t="s">
        <v>112</v>
      </c>
      <c r="F254" s="168">
        <f>IFERROR(VLOOKUP(Opex_VE[[#This Row],[Fecha]],Historia!A:B,2,0),_xlfn.XLOOKUP(Opex_VE[[#This Row],[dia]],Forecast!I:I,Forecast!J:J))</f>
        <v>274975</v>
      </c>
      <c r="G254" s="168">
        <f>IFERROR(VLOOKUP(Opex_VE[[#This Row],[Fecha]],Historia!A:C,3,0),_xlfn.XLOOKUP(Opex_VE[[#This Row],[dia]],Forecast!I:I,Forecast!K:K))</f>
        <v>109990</v>
      </c>
      <c r="H254" s="182">
        <f>+Opex_VE[[#This Row],[MG]]-Opex_VE[[#This Row],[Opex]]</f>
        <v>-111388.96666666667</v>
      </c>
      <c r="I254" s="168" t="str">
        <f>IFERROR(VLOOKUP(Opex_VE[[#This Row],[Fecha]],Historia!A:D,4,0),"Forecast")</f>
        <v>Forecast</v>
      </c>
      <c r="J254" s="157">
        <f t="shared" si="6"/>
        <v>553447.41666666663</v>
      </c>
      <c r="K254" s="151">
        <f>+Opex_VE[[#This Row],[Arriendo]]+Opex_VE[[#This Row],[Servicios publicos]]+Opex_VE[[#This Row],[Nomina]]</f>
        <v>221378.96666666667</v>
      </c>
      <c r="L254" s="152">
        <f>+VLOOKUP(Opex_VE[[#This Row],[Fecha]],Opex!$B:$Y,OPEX_SALES!L$1,1)</f>
        <v>55000</v>
      </c>
      <c r="M254" s="153">
        <f>+SUM(Opex_VE[[#This Row],[Internet]:[Electricidad]])</f>
        <v>26378.966666666667</v>
      </c>
      <c r="N254" s="152">
        <f>+VLOOKUP(Opex_VE[[#This Row],[Fecha]],Opex!$B:$Y,OPEX_SALES!N$1,1)</f>
        <v>3500</v>
      </c>
      <c r="O254" s="152">
        <f>+VLOOKUP(Opex_VE[[#This Row],[Fecha]],Opex!$B:$Y,OPEX_SALES!O$1,1)</f>
        <v>8243.9666666666672</v>
      </c>
      <c r="P254" s="152">
        <f>+VLOOKUP(Opex_VE[[#This Row],[Fecha]],Opex!$B:$Y,OPEX_SALES!P$1,1)</f>
        <v>4000</v>
      </c>
      <c r="Q254" s="152">
        <f>+VLOOKUP(Opex_VE[[#This Row],[Fecha]],Opex!$B:$Y,OPEX_SALES!Q$1,1)</f>
        <v>10635</v>
      </c>
      <c r="R254" s="153">
        <f>+SUM(Opex_VE[[#This Row],[Cajero]:[Domiciliario]])</f>
        <v>140000</v>
      </c>
      <c r="S254" s="152">
        <v>70000</v>
      </c>
      <c r="T254" s="152">
        <v>70000</v>
      </c>
      <c r="U254" s="152">
        <v>0</v>
      </c>
      <c r="V254"/>
    </row>
    <row r="255" spans="1:22" x14ac:dyDescent="0.2">
      <c r="A255" s="149">
        <v>46318</v>
      </c>
      <c r="B255" s="3">
        <f t="shared" si="7"/>
        <v>35</v>
      </c>
      <c r="C255" s="3" t="str">
        <f>+TEXT(Opex_VE[[#This Row],[Fecha]],"ddd")</f>
        <v>vie</v>
      </c>
      <c r="E255" s="14" t="s">
        <v>217</v>
      </c>
      <c r="F255" s="168">
        <f>IFERROR(VLOOKUP(Opex_VE[[#This Row],[Fecha]],Historia!A:B,2,0),_xlfn.XLOOKUP(Opex_VE[[#This Row],[dia]],Forecast!I:I,Forecast!J:J))</f>
        <v>184566.66666666666</v>
      </c>
      <c r="G255" s="168">
        <f>IFERROR(VLOOKUP(Opex_VE[[#This Row],[Fecha]],Historia!A:C,3,0),_xlfn.XLOOKUP(Opex_VE[[#This Row],[dia]],Forecast!I:I,Forecast!K:K))</f>
        <v>73826.666666666672</v>
      </c>
      <c r="H255" s="182">
        <f>+Opex_VE[[#This Row],[MG]]-Opex_VE[[#This Row],[Opex]]</f>
        <v>-147552.29999999999</v>
      </c>
      <c r="I255" s="168" t="str">
        <f>IFERROR(VLOOKUP(Opex_VE[[#This Row],[Fecha]],Historia!A:D,4,0),"Forecast")</f>
        <v>Forecast</v>
      </c>
      <c r="J255" s="157">
        <f t="shared" si="6"/>
        <v>553447.41666666663</v>
      </c>
      <c r="K255" s="151">
        <f>+Opex_VE[[#This Row],[Arriendo]]+Opex_VE[[#This Row],[Servicios publicos]]+Opex_VE[[#This Row],[Nomina]]</f>
        <v>221378.96666666667</v>
      </c>
      <c r="L255" s="152">
        <f>+VLOOKUP(Opex_VE[[#This Row],[Fecha]],Opex!$B:$Y,OPEX_SALES!L$1,1)</f>
        <v>55000</v>
      </c>
      <c r="M255" s="153">
        <f>+SUM(Opex_VE[[#This Row],[Internet]:[Electricidad]])</f>
        <v>26378.966666666667</v>
      </c>
      <c r="N255" s="152">
        <f>+VLOOKUP(Opex_VE[[#This Row],[Fecha]],Opex!$B:$Y,OPEX_SALES!N$1,1)</f>
        <v>3500</v>
      </c>
      <c r="O255" s="152">
        <f>+VLOOKUP(Opex_VE[[#This Row],[Fecha]],Opex!$B:$Y,OPEX_SALES!O$1,1)</f>
        <v>8243.9666666666672</v>
      </c>
      <c r="P255" s="152">
        <f>+VLOOKUP(Opex_VE[[#This Row],[Fecha]],Opex!$B:$Y,OPEX_SALES!P$1,1)</f>
        <v>4000</v>
      </c>
      <c r="Q255" s="152">
        <f>+VLOOKUP(Opex_VE[[#This Row],[Fecha]],Opex!$B:$Y,OPEX_SALES!Q$1,1)</f>
        <v>10635</v>
      </c>
      <c r="R255" s="153">
        <f>+SUM(Opex_VE[[#This Row],[Cajero]:[Domiciliario]])</f>
        <v>140000</v>
      </c>
      <c r="S255" s="152">
        <v>70000</v>
      </c>
      <c r="T255" s="152">
        <v>70000</v>
      </c>
      <c r="U255" s="152">
        <v>0</v>
      </c>
      <c r="V255"/>
    </row>
    <row r="256" spans="1:22" x14ac:dyDescent="0.2">
      <c r="A256" s="149">
        <v>46319</v>
      </c>
      <c r="B256" s="3">
        <f t="shared" si="7"/>
        <v>35</v>
      </c>
      <c r="C256" s="3" t="str">
        <f>+TEXT(Opex_VE[[#This Row],[Fecha]],"ddd")</f>
        <v>sáb</v>
      </c>
      <c r="E256" s="14" t="s">
        <v>113</v>
      </c>
      <c r="F256" s="168">
        <f>IFERROR(VLOOKUP(Opex_VE[[#This Row],[Fecha]],Historia!A:B,2,0),_xlfn.XLOOKUP(Opex_VE[[#This Row],[dia]],Forecast!I:I,Forecast!J:J))</f>
        <v>398333.33333333331</v>
      </c>
      <c r="G256" s="168">
        <f>IFERROR(VLOOKUP(Opex_VE[[#This Row],[Fecha]],Historia!A:C,3,0),_xlfn.XLOOKUP(Opex_VE[[#This Row],[dia]],Forecast!I:I,Forecast!K:K))</f>
        <v>159333.33333333334</v>
      </c>
      <c r="H256" s="182">
        <f>+Opex_VE[[#This Row],[MG]]-Opex_VE[[#This Row],[Opex]]</f>
        <v>-62045.633333333331</v>
      </c>
      <c r="I256" s="169" t="str">
        <f>IFERROR(VLOOKUP(Opex_VE[[#This Row],[Fecha]],Historia!A:D,4,0),"Forecast")</f>
        <v>Forecast</v>
      </c>
      <c r="J256" s="157">
        <f t="shared" si="6"/>
        <v>553447.41666666663</v>
      </c>
      <c r="K256" s="151">
        <f>+Opex_VE[[#This Row],[Arriendo]]+Opex_VE[[#This Row],[Servicios publicos]]+Opex_VE[[#This Row],[Nomina]]</f>
        <v>221378.96666666667</v>
      </c>
      <c r="L256" s="152">
        <f>+VLOOKUP(Opex_VE[[#This Row],[Fecha]],Opex!$B:$Y,OPEX_SALES!L$1,1)</f>
        <v>55000</v>
      </c>
      <c r="M256" s="153">
        <f>+SUM(Opex_VE[[#This Row],[Internet]:[Electricidad]])</f>
        <v>26378.966666666667</v>
      </c>
      <c r="N256" s="152">
        <f>+VLOOKUP(Opex_VE[[#This Row],[Fecha]],Opex!$B:$Y,OPEX_SALES!N$1,1)</f>
        <v>3500</v>
      </c>
      <c r="O256" s="152">
        <f>+VLOOKUP(Opex_VE[[#This Row],[Fecha]],Opex!$B:$Y,OPEX_SALES!O$1,1)</f>
        <v>8243.9666666666672</v>
      </c>
      <c r="P256" s="152">
        <f>+VLOOKUP(Opex_VE[[#This Row],[Fecha]],Opex!$B:$Y,OPEX_SALES!P$1,1)</f>
        <v>4000</v>
      </c>
      <c r="Q256" s="152">
        <f>+VLOOKUP(Opex_VE[[#This Row],[Fecha]],Opex!$B:$Y,OPEX_SALES!Q$1,1)</f>
        <v>10635</v>
      </c>
      <c r="R256" s="153">
        <f>+SUM(Opex_VE[[#This Row],[Cajero]:[Domiciliario]])</f>
        <v>140000</v>
      </c>
      <c r="S256" s="152">
        <v>70000</v>
      </c>
      <c r="T256" s="152">
        <v>70000</v>
      </c>
      <c r="U256" s="152">
        <v>0</v>
      </c>
      <c r="V256"/>
    </row>
    <row r="257" spans="1:22" x14ac:dyDescent="0.2">
      <c r="A257" s="149">
        <v>46320</v>
      </c>
      <c r="B257" s="3">
        <f t="shared" si="7"/>
        <v>35</v>
      </c>
      <c r="C257" s="3" t="str">
        <f>+TEXT(Opex_VE[[#This Row],[Fecha]],"ddd")</f>
        <v>dom</v>
      </c>
      <c r="E257" s="14" t="s">
        <v>145</v>
      </c>
      <c r="F257" s="168">
        <f>IFERROR(VLOOKUP(Opex_VE[[#This Row],[Fecha]],Historia!A:B,2,0),_xlfn.XLOOKUP(Opex_VE[[#This Row],[dia]],Forecast!I:I,Forecast!J:J))</f>
        <v>168750</v>
      </c>
      <c r="G257" s="168">
        <f>IFERROR(VLOOKUP(Opex_VE[[#This Row],[Fecha]],Historia!A:C,3,0),_xlfn.XLOOKUP(Opex_VE[[#This Row],[dia]],Forecast!I:I,Forecast!K:K))</f>
        <v>67500</v>
      </c>
      <c r="H257" s="182">
        <f>+Opex_VE[[#This Row],[MG]]-Opex_VE[[#This Row],[Opex]]</f>
        <v>-153878.96666666667</v>
      </c>
      <c r="I257" s="168" t="str">
        <f>IFERROR(VLOOKUP(Opex_VE[[#This Row],[Fecha]],Historia!A:D,4,0),"Forecast")</f>
        <v>Forecast</v>
      </c>
      <c r="J257" s="157">
        <f t="shared" si="6"/>
        <v>553447.41666666663</v>
      </c>
      <c r="K257" s="151">
        <f>+Opex_VE[[#This Row],[Arriendo]]+Opex_VE[[#This Row],[Servicios publicos]]+Opex_VE[[#This Row],[Nomina]]</f>
        <v>221378.96666666667</v>
      </c>
      <c r="L257" s="152">
        <f>+VLOOKUP(Opex_VE[[#This Row],[Fecha]],Opex!$B:$Y,OPEX_SALES!L$1,1)</f>
        <v>55000</v>
      </c>
      <c r="M257" s="153">
        <f>+SUM(Opex_VE[[#This Row],[Internet]:[Electricidad]])</f>
        <v>26378.966666666667</v>
      </c>
      <c r="N257" s="152">
        <f>+VLOOKUP(Opex_VE[[#This Row],[Fecha]],Opex!$B:$Y,OPEX_SALES!N$1,1)</f>
        <v>3500</v>
      </c>
      <c r="O257" s="152">
        <f>+VLOOKUP(Opex_VE[[#This Row],[Fecha]],Opex!$B:$Y,OPEX_SALES!O$1,1)</f>
        <v>8243.9666666666672</v>
      </c>
      <c r="P257" s="152">
        <f>+VLOOKUP(Opex_VE[[#This Row],[Fecha]],Opex!$B:$Y,OPEX_SALES!P$1,1)</f>
        <v>4000</v>
      </c>
      <c r="Q257" s="152">
        <f>+VLOOKUP(Opex_VE[[#This Row],[Fecha]],Opex!$B:$Y,OPEX_SALES!Q$1,1)</f>
        <v>10635</v>
      </c>
      <c r="R257" s="153">
        <f>+SUM(Opex_VE[[#This Row],[Cajero]:[Domiciliario]])</f>
        <v>140000</v>
      </c>
      <c r="S257" s="152">
        <v>70000</v>
      </c>
      <c r="T257" s="152">
        <v>70000</v>
      </c>
      <c r="U257" s="152">
        <v>0</v>
      </c>
      <c r="V257"/>
    </row>
    <row r="258" spans="1:22" x14ac:dyDescent="0.2">
      <c r="A258" s="149">
        <v>46321</v>
      </c>
      <c r="B258" s="3">
        <f t="shared" si="7"/>
        <v>36</v>
      </c>
      <c r="C258" s="3" t="str">
        <f>+TEXT(Opex_VE[[#This Row],[Fecha]],"ddd")</f>
        <v>lun</v>
      </c>
      <c r="E258" s="14" t="s">
        <v>112</v>
      </c>
      <c r="F258" s="168">
        <f>IFERROR(VLOOKUP(Opex_VE[[#This Row],[Fecha]],Historia!A:B,2,0),_xlfn.XLOOKUP(Opex_VE[[#This Row],[dia]],Forecast!I:I,Forecast!J:J))</f>
        <v>164375</v>
      </c>
      <c r="G258" s="168">
        <f>IFERROR(VLOOKUP(Opex_VE[[#This Row],[Fecha]],Historia!A:C,3,0),_xlfn.XLOOKUP(Opex_VE[[#This Row],[dia]],Forecast!I:I,Forecast!K:K))</f>
        <v>65750</v>
      </c>
      <c r="H258" s="182">
        <f>+Opex_VE[[#This Row],[MG]]-Opex_VE[[#This Row],[Opex]]</f>
        <v>-155628.96666666667</v>
      </c>
      <c r="I258" s="168" t="str">
        <f>IFERROR(VLOOKUP(Opex_VE[[#This Row],[Fecha]],Historia!A:D,4,0),"Forecast")</f>
        <v>Forecast</v>
      </c>
      <c r="J258" s="157">
        <f t="shared" si="6"/>
        <v>553447.41666666663</v>
      </c>
      <c r="K258" s="151">
        <f>+Opex_VE[[#This Row],[Arriendo]]+Opex_VE[[#This Row],[Servicios publicos]]+Opex_VE[[#This Row],[Nomina]]</f>
        <v>221378.96666666667</v>
      </c>
      <c r="L258" s="152">
        <f>+VLOOKUP(Opex_VE[[#This Row],[Fecha]],Opex!$B:$Y,OPEX_SALES!L$1,1)</f>
        <v>55000</v>
      </c>
      <c r="M258" s="153">
        <f>+SUM(Opex_VE[[#This Row],[Internet]:[Electricidad]])</f>
        <v>26378.966666666667</v>
      </c>
      <c r="N258" s="152">
        <f>+VLOOKUP(Opex_VE[[#This Row],[Fecha]],Opex!$B:$Y,OPEX_SALES!N$1,1)</f>
        <v>3500</v>
      </c>
      <c r="O258" s="152">
        <f>+VLOOKUP(Opex_VE[[#This Row],[Fecha]],Opex!$B:$Y,OPEX_SALES!O$1,1)</f>
        <v>8243.9666666666672</v>
      </c>
      <c r="P258" s="152">
        <f>+VLOOKUP(Opex_VE[[#This Row],[Fecha]],Opex!$B:$Y,OPEX_SALES!P$1,1)</f>
        <v>4000</v>
      </c>
      <c r="Q258" s="152">
        <f>+VLOOKUP(Opex_VE[[#This Row],[Fecha]],Opex!$B:$Y,OPEX_SALES!Q$1,1)</f>
        <v>10635</v>
      </c>
      <c r="R258" s="153">
        <f>+SUM(Opex_VE[[#This Row],[Cajero]:[Domiciliario]])</f>
        <v>140000</v>
      </c>
      <c r="S258" s="152">
        <v>70000</v>
      </c>
      <c r="T258" s="152">
        <v>70000</v>
      </c>
      <c r="U258" s="152">
        <v>0</v>
      </c>
      <c r="V258"/>
    </row>
    <row r="259" spans="1:22" x14ac:dyDescent="0.2">
      <c r="A259" s="149">
        <v>46322</v>
      </c>
      <c r="B259" s="3">
        <f t="shared" si="7"/>
        <v>36</v>
      </c>
      <c r="C259" s="3" t="str">
        <f>+TEXT(Opex_VE[[#This Row],[Fecha]],"ddd")</f>
        <v>mar</v>
      </c>
      <c r="E259" s="14" t="s">
        <v>112</v>
      </c>
      <c r="F259" s="168">
        <f>IFERROR(VLOOKUP(Opex_VE[[#This Row],[Fecha]],Historia!A:B,2,0),_xlfn.XLOOKUP(Opex_VE[[#This Row],[dia]],Forecast!I:I,Forecast!J:J))</f>
        <v>199625</v>
      </c>
      <c r="G259" s="168">
        <f>IFERROR(VLOOKUP(Opex_VE[[#This Row],[Fecha]],Historia!A:C,3,0),_xlfn.XLOOKUP(Opex_VE[[#This Row],[dia]],Forecast!I:I,Forecast!K:K))</f>
        <v>79850</v>
      </c>
      <c r="H259" s="182">
        <f>+Opex_VE[[#This Row],[MG]]-Opex_VE[[#This Row],[Opex]]</f>
        <v>-141528.96666666667</v>
      </c>
      <c r="I259" s="168" t="str">
        <f>IFERROR(VLOOKUP(Opex_VE[[#This Row],[Fecha]],Historia!A:D,4,0),"Forecast")</f>
        <v>Forecast</v>
      </c>
      <c r="J259" s="157">
        <f t="shared" si="6"/>
        <v>553447.41666666663</v>
      </c>
      <c r="K259" s="151">
        <f>+Opex_VE[[#This Row],[Arriendo]]+Opex_VE[[#This Row],[Servicios publicos]]+Opex_VE[[#This Row],[Nomina]]</f>
        <v>221378.96666666667</v>
      </c>
      <c r="L259" s="152">
        <f>+VLOOKUP(Opex_VE[[#This Row],[Fecha]],Opex!$B:$Y,OPEX_SALES!L$1,1)</f>
        <v>55000</v>
      </c>
      <c r="M259" s="153">
        <f>+SUM(Opex_VE[[#This Row],[Internet]:[Electricidad]])</f>
        <v>26378.966666666667</v>
      </c>
      <c r="N259" s="152">
        <f>+VLOOKUP(Opex_VE[[#This Row],[Fecha]],Opex!$B:$Y,OPEX_SALES!N$1,1)</f>
        <v>3500</v>
      </c>
      <c r="O259" s="152">
        <f>+VLOOKUP(Opex_VE[[#This Row],[Fecha]],Opex!$B:$Y,OPEX_SALES!O$1,1)</f>
        <v>8243.9666666666672</v>
      </c>
      <c r="P259" s="152">
        <f>+VLOOKUP(Opex_VE[[#This Row],[Fecha]],Opex!$B:$Y,OPEX_SALES!P$1,1)</f>
        <v>4000</v>
      </c>
      <c r="Q259" s="152">
        <f>+VLOOKUP(Opex_VE[[#This Row],[Fecha]],Opex!$B:$Y,OPEX_SALES!Q$1,1)</f>
        <v>10635</v>
      </c>
      <c r="R259" s="153">
        <f>+SUM(Opex_VE[[#This Row],[Cajero]:[Domiciliario]])</f>
        <v>140000</v>
      </c>
      <c r="S259" s="152">
        <v>70000</v>
      </c>
      <c r="T259" s="152">
        <v>70000</v>
      </c>
      <c r="U259" s="152">
        <v>0</v>
      </c>
      <c r="V259"/>
    </row>
    <row r="260" spans="1:22" x14ac:dyDescent="0.2">
      <c r="A260" s="149">
        <v>46323</v>
      </c>
      <c r="B260" s="3">
        <f t="shared" si="7"/>
        <v>36</v>
      </c>
      <c r="C260" s="3" t="str">
        <f>+TEXT(Opex_VE[[#This Row],[Fecha]],"ddd")</f>
        <v>mié</v>
      </c>
      <c r="E260" s="14" t="s">
        <v>112</v>
      </c>
      <c r="F260" s="168">
        <f>IFERROR(VLOOKUP(Opex_VE[[#This Row],[Fecha]],Historia!A:B,2,0),_xlfn.XLOOKUP(Opex_VE[[#This Row],[dia]],Forecast!I:I,Forecast!J:J))</f>
        <v>339250</v>
      </c>
      <c r="G260" s="168">
        <f>IFERROR(VLOOKUP(Opex_VE[[#This Row],[Fecha]],Historia!A:C,3,0),_xlfn.XLOOKUP(Opex_VE[[#This Row],[dia]],Forecast!I:I,Forecast!K:K))</f>
        <v>135700</v>
      </c>
      <c r="H260" s="182">
        <f>+Opex_VE[[#This Row],[MG]]-Opex_VE[[#This Row],[Opex]]</f>
        <v>-85678.966666666674</v>
      </c>
      <c r="I260" s="168" t="str">
        <f>IFERROR(VLOOKUP(Opex_VE[[#This Row],[Fecha]],Historia!A:D,4,0),"Forecast")</f>
        <v>Forecast</v>
      </c>
      <c r="J260" s="157">
        <f t="shared" si="6"/>
        <v>553447.41666666663</v>
      </c>
      <c r="K260" s="151">
        <f>+Opex_VE[[#This Row],[Arriendo]]+Opex_VE[[#This Row],[Servicios publicos]]+Opex_VE[[#This Row],[Nomina]]</f>
        <v>221378.96666666667</v>
      </c>
      <c r="L260" s="152">
        <f>+VLOOKUP(Opex_VE[[#This Row],[Fecha]],Opex!$B:$Y,OPEX_SALES!L$1,1)</f>
        <v>55000</v>
      </c>
      <c r="M260" s="153">
        <f>+SUM(Opex_VE[[#This Row],[Internet]:[Electricidad]])</f>
        <v>26378.966666666667</v>
      </c>
      <c r="N260" s="152">
        <f>+VLOOKUP(Opex_VE[[#This Row],[Fecha]],Opex!$B:$Y,OPEX_SALES!N$1,1)</f>
        <v>3500</v>
      </c>
      <c r="O260" s="152">
        <f>+VLOOKUP(Opex_VE[[#This Row],[Fecha]],Opex!$B:$Y,OPEX_SALES!O$1,1)</f>
        <v>8243.9666666666672</v>
      </c>
      <c r="P260" s="152">
        <f>+VLOOKUP(Opex_VE[[#This Row],[Fecha]],Opex!$B:$Y,OPEX_SALES!P$1,1)</f>
        <v>4000</v>
      </c>
      <c r="Q260" s="152">
        <f>+VLOOKUP(Opex_VE[[#This Row],[Fecha]],Opex!$B:$Y,OPEX_SALES!Q$1,1)</f>
        <v>10635</v>
      </c>
      <c r="R260" s="153">
        <f>+SUM(Opex_VE[[#This Row],[Cajero]:[Domiciliario]])</f>
        <v>140000</v>
      </c>
      <c r="S260" s="152">
        <v>70000</v>
      </c>
      <c r="T260" s="152">
        <v>70000</v>
      </c>
      <c r="U260" s="152">
        <v>0</v>
      </c>
      <c r="V260"/>
    </row>
    <row r="261" spans="1:22" x14ac:dyDescent="0.2">
      <c r="A261" s="149">
        <v>46324</v>
      </c>
      <c r="B261" s="3">
        <f t="shared" si="7"/>
        <v>36</v>
      </c>
      <c r="C261" s="3" t="str">
        <f>+TEXT(Opex_VE[[#This Row],[Fecha]],"ddd")</f>
        <v>jue</v>
      </c>
      <c r="E261" s="14" t="s">
        <v>112</v>
      </c>
      <c r="F261" s="168">
        <f>IFERROR(VLOOKUP(Opex_VE[[#This Row],[Fecha]],Historia!A:B,2,0),_xlfn.XLOOKUP(Opex_VE[[#This Row],[dia]],Forecast!I:I,Forecast!J:J))</f>
        <v>274975</v>
      </c>
      <c r="G261" s="168">
        <f>IFERROR(VLOOKUP(Opex_VE[[#This Row],[Fecha]],Historia!A:C,3,0),_xlfn.XLOOKUP(Opex_VE[[#This Row],[dia]],Forecast!I:I,Forecast!K:K))</f>
        <v>109990</v>
      </c>
      <c r="H261" s="182">
        <f>+Opex_VE[[#This Row],[MG]]-Opex_VE[[#This Row],[Opex]]</f>
        <v>-111388.96666666667</v>
      </c>
      <c r="I261" s="168" t="str">
        <f>IFERROR(VLOOKUP(Opex_VE[[#This Row],[Fecha]],Historia!A:D,4,0),"Forecast")</f>
        <v>Forecast</v>
      </c>
      <c r="J261" s="157">
        <f t="shared" si="6"/>
        <v>553447.41666666663</v>
      </c>
      <c r="K261" s="151">
        <f>+Opex_VE[[#This Row],[Arriendo]]+Opex_VE[[#This Row],[Servicios publicos]]+Opex_VE[[#This Row],[Nomina]]</f>
        <v>221378.96666666667</v>
      </c>
      <c r="L261" s="152">
        <f>+VLOOKUP(Opex_VE[[#This Row],[Fecha]],Opex!$B:$Y,OPEX_SALES!L$1,1)</f>
        <v>55000</v>
      </c>
      <c r="M261" s="153">
        <f>+SUM(Opex_VE[[#This Row],[Internet]:[Electricidad]])</f>
        <v>26378.966666666667</v>
      </c>
      <c r="N261" s="152">
        <f>+VLOOKUP(Opex_VE[[#This Row],[Fecha]],Opex!$B:$Y,OPEX_SALES!N$1,1)</f>
        <v>3500</v>
      </c>
      <c r="O261" s="152">
        <f>+VLOOKUP(Opex_VE[[#This Row],[Fecha]],Opex!$B:$Y,OPEX_SALES!O$1,1)</f>
        <v>8243.9666666666672</v>
      </c>
      <c r="P261" s="152">
        <f>+VLOOKUP(Opex_VE[[#This Row],[Fecha]],Opex!$B:$Y,OPEX_SALES!P$1,1)</f>
        <v>4000</v>
      </c>
      <c r="Q261" s="152">
        <f>+VLOOKUP(Opex_VE[[#This Row],[Fecha]],Opex!$B:$Y,OPEX_SALES!Q$1,1)</f>
        <v>10635</v>
      </c>
      <c r="R261" s="153">
        <f>+SUM(Opex_VE[[#This Row],[Cajero]:[Domiciliario]])</f>
        <v>140000</v>
      </c>
      <c r="S261" s="152">
        <v>70000</v>
      </c>
      <c r="T261" s="152">
        <v>70000</v>
      </c>
      <c r="U261" s="152">
        <v>0</v>
      </c>
      <c r="V261"/>
    </row>
    <row r="262" spans="1:22" x14ac:dyDescent="0.2">
      <c r="A262" s="149">
        <v>46325</v>
      </c>
      <c r="B262" s="3">
        <f t="shared" si="7"/>
        <v>36</v>
      </c>
      <c r="C262" s="3" t="str">
        <f>+TEXT(Opex_VE[[#This Row],[Fecha]],"ddd")</f>
        <v>vie</v>
      </c>
      <c r="E262" s="14" t="s">
        <v>217</v>
      </c>
      <c r="F262" s="168">
        <f>IFERROR(VLOOKUP(Opex_VE[[#This Row],[Fecha]],Historia!A:B,2,0),_xlfn.XLOOKUP(Opex_VE[[#This Row],[dia]],Forecast!I:I,Forecast!J:J))</f>
        <v>184566.66666666666</v>
      </c>
      <c r="G262" s="168">
        <f>IFERROR(VLOOKUP(Opex_VE[[#This Row],[Fecha]],Historia!A:C,3,0),_xlfn.XLOOKUP(Opex_VE[[#This Row],[dia]],Forecast!I:I,Forecast!K:K))</f>
        <v>73826.666666666672</v>
      </c>
      <c r="H262" s="182">
        <f>+Opex_VE[[#This Row],[MG]]-Opex_VE[[#This Row],[Opex]]</f>
        <v>-147552.29999999999</v>
      </c>
      <c r="I262" s="168" t="str">
        <f>IFERROR(VLOOKUP(Opex_VE[[#This Row],[Fecha]],Historia!A:D,4,0),"Forecast")</f>
        <v>Forecast</v>
      </c>
      <c r="J262" s="157">
        <f t="shared" si="6"/>
        <v>553447.41666666663</v>
      </c>
      <c r="K262" s="151">
        <f>+Opex_VE[[#This Row],[Arriendo]]+Opex_VE[[#This Row],[Servicios publicos]]+Opex_VE[[#This Row],[Nomina]]</f>
        <v>221378.96666666667</v>
      </c>
      <c r="L262" s="152">
        <f>+VLOOKUP(Opex_VE[[#This Row],[Fecha]],Opex!$B:$Y,OPEX_SALES!L$1,1)</f>
        <v>55000</v>
      </c>
      <c r="M262" s="153">
        <f>+SUM(Opex_VE[[#This Row],[Internet]:[Electricidad]])</f>
        <v>26378.966666666667</v>
      </c>
      <c r="N262" s="152">
        <f>+VLOOKUP(Opex_VE[[#This Row],[Fecha]],Opex!$B:$Y,OPEX_SALES!N$1,1)</f>
        <v>3500</v>
      </c>
      <c r="O262" s="152">
        <f>+VLOOKUP(Opex_VE[[#This Row],[Fecha]],Opex!$B:$Y,OPEX_SALES!O$1,1)</f>
        <v>8243.9666666666672</v>
      </c>
      <c r="P262" s="152">
        <f>+VLOOKUP(Opex_VE[[#This Row],[Fecha]],Opex!$B:$Y,OPEX_SALES!P$1,1)</f>
        <v>4000</v>
      </c>
      <c r="Q262" s="152">
        <f>+VLOOKUP(Opex_VE[[#This Row],[Fecha]],Opex!$B:$Y,OPEX_SALES!Q$1,1)</f>
        <v>10635</v>
      </c>
      <c r="R262" s="153">
        <f>+SUM(Opex_VE[[#This Row],[Cajero]:[Domiciliario]])</f>
        <v>140000</v>
      </c>
      <c r="S262" s="152">
        <v>70000</v>
      </c>
      <c r="T262" s="152">
        <v>70000</v>
      </c>
      <c r="U262" s="152">
        <v>0</v>
      </c>
      <c r="V262"/>
    </row>
    <row r="263" spans="1:22" x14ac:dyDescent="0.2">
      <c r="A263" s="149">
        <v>46326</v>
      </c>
      <c r="B263" s="3">
        <f t="shared" si="7"/>
        <v>36</v>
      </c>
      <c r="C263" s="3" t="str">
        <f>+TEXT(Opex_VE[[#This Row],[Fecha]],"ddd")</f>
        <v>sáb</v>
      </c>
      <c r="E263" s="14" t="s">
        <v>113</v>
      </c>
      <c r="F263" s="168">
        <f>IFERROR(VLOOKUP(Opex_VE[[#This Row],[Fecha]],Historia!A:B,2,0),_xlfn.XLOOKUP(Opex_VE[[#This Row],[dia]],Forecast!I:I,Forecast!J:J))</f>
        <v>398333.33333333331</v>
      </c>
      <c r="G263" s="168">
        <f>IFERROR(VLOOKUP(Opex_VE[[#This Row],[Fecha]],Historia!A:C,3,0),_xlfn.XLOOKUP(Opex_VE[[#This Row],[dia]],Forecast!I:I,Forecast!K:K))</f>
        <v>159333.33333333334</v>
      </c>
      <c r="H263" s="182">
        <f>+Opex_VE[[#This Row],[MG]]-Opex_VE[[#This Row],[Opex]]</f>
        <v>-62045.633333333331</v>
      </c>
      <c r="I263" s="169" t="str">
        <f>IFERROR(VLOOKUP(Opex_VE[[#This Row],[Fecha]],Historia!A:D,4,0),"Forecast")</f>
        <v>Forecast</v>
      </c>
      <c r="J263" s="157">
        <f t="shared" si="6"/>
        <v>553447.41666666663</v>
      </c>
      <c r="K263" s="151">
        <f>+Opex_VE[[#This Row],[Arriendo]]+Opex_VE[[#This Row],[Servicios publicos]]+Opex_VE[[#This Row],[Nomina]]</f>
        <v>221378.96666666667</v>
      </c>
      <c r="L263" s="152">
        <f>+VLOOKUP(Opex_VE[[#This Row],[Fecha]],Opex!$B:$Y,OPEX_SALES!L$1,1)</f>
        <v>55000</v>
      </c>
      <c r="M263" s="153">
        <f>+SUM(Opex_VE[[#This Row],[Internet]:[Electricidad]])</f>
        <v>26378.966666666667</v>
      </c>
      <c r="N263" s="152">
        <f>+VLOOKUP(Opex_VE[[#This Row],[Fecha]],Opex!$B:$Y,OPEX_SALES!N$1,1)</f>
        <v>3500</v>
      </c>
      <c r="O263" s="152">
        <f>+VLOOKUP(Opex_VE[[#This Row],[Fecha]],Opex!$B:$Y,OPEX_SALES!O$1,1)</f>
        <v>8243.9666666666672</v>
      </c>
      <c r="P263" s="152">
        <f>+VLOOKUP(Opex_VE[[#This Row],[Fecha]],Opex!$B:$Y,OPEX_SALES!P$1,1)</f>
        <v>4000</v>
      </c>
      <c r="Q263" s="152">
        <f>+VLOOKUP(Opex_VE[[#This Row],[Fecha]],Opex!$B:$Y,OPEX_SALES!Q$1,1)</f>
        <v>10635</v>
      </c>
      <c r="R263" s="153">
        <f>+SUM(Opex_VE[[#This Row],[Cajero]:[Domiciliario]])</f>
        <v>140000</v>
      </c>
      <c r="S263" s="152">
        <v>70000</v>
      </c>
      <c r="T263" s="152">
        <v>70000</v>
      </c>
      <c r="U263" s="152">
        <v>0</v>
      </c>
      <c r="V263"/>
    </row>
    <row r="264" spans="1:22" x14ac:dyDescent="0.2">
      <c r="A264" s="149">
        <v>46327</v>
      </c>
      <c r="B264" s="3">
        <f t="shared" si="7"/>
        <v>36</v>
      </c>
      <c r="C264" s="3" t="str">
        <f>+TEXT(Opex_VE[[#This Row],[Fecha]],"ddd")</f>
        <v>dom</v>
      </c>
      <c r="E264" s="14" t="s">
        <v>145</v>
      </c>
      <c r="F264" s="168">
        <f>IFERROR(VLOOKUP(Opex_VE[[#This Row],[Fecha]],Historia!A:B,2,0),_xlfn.XLOOKUP(Opex_VE[[#This Row],[dia]],Forecast!I:I,Forecast!J:J))</f>
        <v>168750</v>
      </c>
      <c r="G264" s="168">
        <f>IFERROR(VLOOKUP(Opex_VE[[#This Row],[Fecha]],Historia!A:C,3,0),_xlfn.XLOOKUP(Opex_VE[[#This Row],[dia]],Forecast!I:I,Forecast!K:K))</f>
        <v>67500</v>
      </c>
      <c r="H264" s="182">
        <f>+Opex_VE[[#This Row],[MG]]-Opex_VE[[#This Row],[Opex]]</f>
        <v>-153878.96666666667</v>
      </c>
      <c r="I264" s="168" t="str">
        <f>IFERROR(VLOOKUP(Opex_VE[[#This Row],[Fecha]],Historia!A:D,4,0),"Forecast")</f>
        <v>Forecast</v>
      </c>
      <c r="J264" s="157">
        <f t="shared" si="6"/>
        <v>553447.41666666663</v>
      </c>
      <c r="K264" s="151">
        <f>+Opex_VE[[#This Row],[Arriendo]]+Opex_VE[[#This Row],[Servicios publicos]]+Opex_VE[[#This Row],[Nomina]]</f>
        <v>221378.96666666667</v>
      </c>
      <c r="L264" s="152">
        <f>+VLOOKUP(Opex_VE[[#This Row],[Fecha]],Opex!$B:$Y,OPEX_SALES!L$1,1)</f>
        <v>55000</v>
      </c>
      <c r="M264" s="153">
        <f>+SUM(Opex_VE[[#This Row],[Internet]:[Electricidad]])</f>
        <v>26378.966666666667</v>
      </c>
      <c r="N264" s="152">
        <f>+VLOOKUP(Opex_VE[[#This Row],[Fecha]],Opex!$B:$Y,OPEX_SALES!N$1,1)</f>
        <v>3500</v>
      </c>
      <c r="O264" s="152">
        <f>+VLOOKUP(Opex_VE[[#This Row],[Fecha]],Opex!$B:$Y,OPEX_SALES!O$1,1)</f>
        <v>8243.9666666666672</v>
      </c>
      <c r="P264" s="152">
        <f>+VLOOKUP(Opex_VE[[#This Row],[Fecha]],Opex!$B:$Y,OPEX_SALES!P$1,1)</f>
        <v>4000</v>
      </c>
      <c r="Q264" s="152">
        <f>+VLOOKUP(Opex_VE[[#This Row],[Fecha]],Opex!$B:$Y,OPEX_SALES!Q$1,1)</f>
        <v>10635</v>
      </c>
      <c r="R264" s="153">
        <f>+SUM(Opex_VE[[#This Row],[Cajero]:[Domiciliario]])</f>
        <v>140000</v>
      </c>
      <c r="S264" s="152">
        <v>70000</v>
      </c>
      <c r="T264" s="152">
        <v>70000</v>
      </c>
      <c r="U264" s="152">
        <v>0</v>
      </c>
      <c r="V264"/>
    </row>
    <row r="265" spans="1:22" x14ac:dyDescent="0.2">
      <c r="A265" s="149">
        <v>46328</v>
      </c>
      <c r="B265" s="3">
        <f t="shared" si="7"/>
        <v>37</v>
      </c>
      <c r="C265" s="3" t="str">
        <f>+TEXT(Opex_VE[[#This Row],[Fecha]],"ddd")</f>
        <v>lun</v>
      </c>
      <c r="E265" s="14" t="s">
        <v>112</v>
      </c>
      <c r="F265" s="168">
        <f>IFERROR(VLOOKUP(Opex_VE[[#This Row],[Fecha]],Historia!A:B,2,0),_xlfn.XLOOKUP(Opex_VE[[#This Row],[dia]],Forecast!I:I,Forecast!J:J))</f>
        <v>164375</v>
      </c>
      <c r="G265" s="168">
        <f>IFERROR(VLOOKUP(Opex_VE[[#This Row],[Fecha]],Historia!A:C,3,0),_xlfn.XLOOKUP(Opex_VE[[#This Row],[dia]],Forecast!I:I,Forecast!K:K))</f>
        <v>65750</v>
      </c>
      <c r="H265" s="182">
        <f>+Opex_VE[[#This Row],[MG]]-Opex_VE[[#This Row],[Opex]]</f>
        <v>-155628.96666666667</v>
      </c>
      <c r="I265" s="168" t="str">
        <f>IFERROR(VLOOKUP(Opex_VE[[#This Row],[Fecha]],Historia!A:D,4,0),"Forecast")</f>
        <v>Forecast</v>
      </c>
      <c r="J265" s="157">
        <f t="shared" si="6"/>
        <v>553447.41666666663</v>
      </c>
      <c r="K265" s="151">
        <f>+Opex_VE[[#This Row],[Arriendo]]+Opex_VE[[#This Row],[Servicios publicos]]+Opex_VE[[#This Row],[Nomina]]</f>
        <v>221378.96666666667</v>
      </c>
      <c r="L265" s="152">
        <f>+VLOOKUP(Opex_VE[[#This Row],[Fecha]],Opex!$B:$Y,OPEX_SALES!L$1,1)</f>
        <v>55000</v>
      </c>
      <c r="M265" s="153">
        <f>+SUM(Opex_VE[[#This Row],[Internet]:[Electricidad]])</f>
        <v>26378.966666666667</v>
      </c>
      <c r="N265" s="152">
        <f>+VLOOKUP(Opex_VE[[#This Row],[Fecha]],Opex!$B:$Y,OPEX_SALES!N$1,1)</f>
        <v>3500</v>
      </c>
      <c r="O265" s="152">
        <f>+VLOOKUP(Opex_VE[[#This Row],[Fecha]],Opex!$B:$Y,OPEX_SALES!O$1,1)</f>
        <v>8243.9666666666672</v>
      </c>
      <c r="P265" s="152">
        <f>+VLOOKUP(Opex_VE[[#This Row],[Fecha]],Opex!$B:$Y,OPEX_SALES!P$1,1)</f>
        <v>4000</v>
      </c>
      <c r="Q265" s="152">
        <f>+VLOOKUP(Opex_VE[[#This Row],[Fecha]],Opex!$B:$Y,OPEX_SALES!Q$1,1)</f>
        <v>10635</v>
      </c>
      <c r="R265" s="153">
        <f>+SUM(Opex_VE[[#This Row],[Cajero]:[Domiciliario]])</f>
        <v>140000</v>
      </c>
      <c r="S265" s="152">
        <v>70000</v>
      </c>
      <c r="T265" s="152">
        <v>70000</v>
      </c>
      <c r="U265" s="152">
        <v>0</v>
      </c>
      <c r="V265"/>
    </row>
    <row r="266" spans="1:22" x14ac:dyDescent="0.2">
      <c r="A266" s="149">
        <v>46329</v>
      </c>
      <c r="B266" s="3">
        <f t="shared" si="7"/>
        <v>37</v>
      </c>
      <c r="C266" s="3" t="str">
        <f>+TEXT(Opex_VE[[#This Row],[Fecha]],"ddd")</f>
        <v>mar</v>
      </c>
      <c r="E266" s="14" t="s">
        <v>112</v>
      </c>
      <c r="F266" s="168">
        <f>IFERROR(VLOOKUP(Opex_VE[[#This Row],[Fecha]],Historia!A:B,2,0),_xlfn.XLOOKUP(Opex_VE[[#This Row],[dia]],Forecast!I:I,Forecast!J:J))</f>
        <v>199625</v>
      </c>
      <c r="G266" s="168">
        <f>IFERROR(VLOOKUP(Opex_VE[[#This Row],[Fecha]],Historia!A:C,3,0),_xlfn.XLOOKUP(Opex_VE[[#This Row],[dia]],Forecast!I:I,Forecast!K:K))</f>
        <v>79850</v>
      </c>
      <c r="H266" s="182">
        <f>+Opex_VE[[#This Row],[MG]]-Opex_VE[[#This Row],[Opex]]</f>
        <v>-141528.96666666667</v>
      </c>
      <c r="I266" s="168" t="str">
        <f>IFERROR(VLOOKUP(Opex_VE[[#This Row],[Fecha]],Historia!A:D,4,0),"Forecast")</f>
        <v>Forecast</v>
      </c>
      <c r="J266" s="157">
        <f t="shared" si="6"/>
        <v>553447.41666666663</v>
      </c>
      <c r="K266" s="151">
        <f>+Opex_VE[[#This Row],[Arriendo]]+Opex_VE[[#This Row],[Servicios publicos]]+Opex_VE[[#This Row],[Nomina]]</f>
        <v>221378.96666666667</v>
      </c>
      <c r="L266" s="152">
        <f>+VLOOKUP(Opex_VE[[#This Row],[Fecha]],Opex!$B:$Y,OPEX_SALES!L$1,1)</f>
        <v>55000</v>
      </c>
      <c r="M266" s="153">
        <f>+SUM(Opex_VE[[#This Row],[Internet]:[Electricidad]])</f>
        <v>26378.966666666667</v>
      </c>
      <c r="N266" s="152">
        <f>+VLOOKUP(Opex_VE[[#This Row],[Fecha]],Opex!$B:$Y,OPEX_SALES!N$1,1)</f>
        <v>3500</v>
      </c>
      <c r="O266" s="152">
        <f>+VLOOKUP(Opex_VE[[#This Row],[Fecha]],Opex!$B:$Y,OPEX_SALES!O$1,1)</f>
        <v>8243.9666666666672</v>
      </c>
      <c r="P266" s="152">
        <f>+VLOOKUP(Opex_VE[[#This Row],[Fecha]],Opex!$B:$Y,OPEX_SALES!P$1,1)</f>
        <v>4000</v>
      </c>
      <c r="Q266" s="152">
        <f>+VLOOKUP(Opex_VE[[#This Row],[Fecha]],Opex!$B:$Y,OPEX_SALES!Q$1,1)</f>
        <v>10635</v>
      </c>
      <c r="R266" s="153">
        <f>+SUM(Opex_VE[[#This Row],[Cajero]:[Domiciliario]])</f>
        <v>140000</v>
      </c>
      <c r="S266" s="152">
        <v>70000</v>
      </c>
      <c r="T266" s="152">
        <v>70000</v>
      </c>
      <c r="U266" s="152">
        <v>0</v>
      </c>
      <c r="V266"/>
    </row>
    <row r="267" spans="1:22" x14ac:dyDescent="0.2">
      <c r="A267" s="149">
        <v>46330</v>
      </c>
      <c r="B267" s="3">
        <f t="shared" si="7"/>
        <v>37</v>
      </c>
      <c r="C267" s="3" t="str">
        <f>+TEXT(Opex_VE[[#This Row],[Fecha]],"ddd")</f>
        <v>mié</v>
      </c>
      <c r="E267" s="14" t="s">
        <v>112</v>
      </c>
      <c r="F267" s="168">
        <f>IFERROR(VLOOKUP(Opex_VE[[#This Row],[Fecha]],Historia!A:B,2,0),_xlfn.XLOOKUP(Opex_VE[[#This Row],[dia]],Forecast!I:I,Forecast!J:J))</f>
        <v>339250</v>
      </c>
      <c r="G267" s="168">
        <f>IFERROR(VLOOKUP(Opex_VE[[#This Row],[Fecha]],Historia!A:C,3,0),_xlfn.XLOOKUP(Opex_VE[[#This Row],[dia]],Forecast!I:I,Forecast!K:K))</f>
        <v>135700</v>
      </c>
      <c r="H267" s="182">
        <f>+Opex_VE[[#This Row],[MG]]-Opex_VE[[#This Row],[Opex]]</f>
        <v>-85678.966666666674</v>
      </c>
      <c r="I267" s="168" t="str">
        <f>IFERROR(VLOOKUP(Opex_VE[[#This Row],[Fecha]],Historia!A:D,4,0),"Forecast")</f>
        <v>Forecast</v>
      </c>
      <c r="J267" s="157">
        <f t="shared" si="6"/>
        <v>553447.41666666663</v>
      </c>
      <c r="K267" s="151">
        <f>+Opex_VE[[#This Row],[Arriendo]]+Opex_VE[[#This Row],[Servicios publicos]]+Opex_VE[[#This Row],[Nomina]]</f>
        <v>221378.96666666667</v>
      </c>
      <c r="L267" s="152">
        <f>+VLOOKUP(Opex_VE[[#This Row],[Fecha]],Opex!$B:$Y,OPEX_SALES!L$1,1)</f>
        <v>55000</v>
      </c>
      <c r="M267" s="153">
        <f>+SUM(Opex_VE[[#This Row],[Internet]:[Electricidad]])</f>
        <v>26378.966666666667</v>
      </c>
      <c r="N267" s="152">
        <f>+VLOOKUP(Opex_VE[[#This Row],[Fecha]],Opex!$B:$Y,OPEX_SALES!N$1,1)</f>
        <v>3500</v>
      </c>
      <c r="O267" s="152">
        <f>+VLOOKUP(Opex_VE[[#This Row],[Fecha]],Opex!$B:$Y,OPEX_SALES!O$1,1)</f>
        <v>8243.9666666666672</v>
      </c>
      <c r="P267" s="152">
        <f>+VLOOKUP(Opex_VE[[#This Row],[Fecha]],Opex!$B:$Y,OPEX_SALES!P$1,1)</f>
        <v>4000</v>
      </c>
      <c r="Q267" s="152">
        <f>+VLOOKUP(Opex_VE[[#This Row],[Fecha]],Opex!$B:$Y,OPEX_SALES!Q$1,1)</f>
        <v>10635</v>
      </c>
      <c r="R267" s="153">
        <f>+SUM(Opex_VE[[#This Row],[Cajero]:[Domiciliario]])</f>
        <v>140000</v>
      </c>
      <c r="S267" s="152">
        <v>70000</v>
      </c>
      <c r="T267" s="152">
        <v>70000</v>
      </c>
      <c r="U267" s="152">
        <v>0</v>
      </c>
      <c r="V267"/>
    </row>
    <row r="268" spans="1:22" x14ac:dyDescent="0.2">
      <c r="A268" s="149">
        <v>46331</v>
      </c>
      <c r="B268" s="3">
        <f t="shared" si="7"/>
        <v>37</v>
      </c>
      <c r="C268" s="3" t="str">
        <f>+TEXT(Opex_VE[[#This Row],[Fecha]],"ddd")</f>
        <v>jue</v>
      </c>
      <c r="E268" s="14" t="s">
        <v>112</v>
      </c>
      <c r="F268" s="168">
        <f>IFERROR(VLOOKUP(Opex_VE[[#This Row],[Fecha]],Historia!A:B,2,0),_xlfn.XLOOKUP(Opex_VE[[#This Row],[dia]],Forecast!I:I,Forecast!J:J))</f>
        <v>274975</v>
      </c>
      <c r="G268" s="168">
        <f>IFERROR(VLOOKUP(Opex_VE[[#This Row],[Fecha]],Historia!A:C,3,0),_xlfn.XLOOKUP(Opex_VE[[#This Row],[dia]],Forecast!I:I,Forecast!K:K))</f>
        <v>109990</v>
      </c>
      <c r="H268" s="182">
        <f>+Opex_VE[[#This Row],[MG]]-Opex_VE[[#This Row],[Opex]]</f>
        <v>-111388.96666666667</v>
      </c>
      <c r="I268" s="168" t="str">
        <f>IFERROR(VLOOKUP(Opex_VE[[#This Row],[Fecha]],Historia!A:D,4,0),"Forecast")</f>
        <v>Forecast</v>
      </c>
      <c r="J268" s="157">
        <f t="shared" si="6"/>
        <v>553447.41666666663</v>
      </c>
      <c r="K268" s="151">
        <f>+Opex_VE[[#This Row],[Arriendo]]+Opex_VE[[#This Row],[Servicios publicos]]+Opex_VE[[#This Row],[Nomina]]</f>
        <v>221378.96666666667</v>
      </c>
      <c r="L268" s="152">
        <f>+VLOOKUP(Opex_VE[[#This Row],[Fecha]],Opex!$B:$Y,OPEX_SALES!L$1,1)</f>
        <v>55000</v>
      </c>
      <c r="M268" s="153">
        <f>+SUM(Opex_VE[[#This Row],[Internet]:[Electricidad]])</f>
        <v>26378.966666666667</v>
      </c>
      <c r="N268" s="152">
        <f>+VLOOKUP(Opex_VE[[#This Row],[Fecha]],Opex!$B:$Y,OPEX_SALES!N$1,1)</f>
        <v>3500</v>
      </c>
      <c r="O268" s="152">
        <f>+VLOOKUP(Opex_VE[[#This Row],[Fecha]],Opex!$B:$Y,OPEX_SALES!O$1,1)</f>
        <v>8243.9666666666672</v>
      </c>
      <c r="P268" s="152">
        <f>+VLOOKUP(Opex_VE[[#This Row],[Fecha]],Opex!$B:$Y,OPEX_SALES!P$1,1)</f>
        <v>4000</v>
      </c>
      <c r="Q268" s="152">
        <f>+VLOOKUP(Opex_VE[[#This Row],[Fecha]],Opex!$B:$Y,OPEX_SALES!Q$1,1)</f>
        <v>10635</v>
      </c>
      <c r="R268" s="153">
        <f>+SUM(Opex_VE[[#This Row],[Cajero]:[Domiciliario]])</f>
        <v>140000</v>
      </c>
      <c r="S268" s="152">
        <v>70000</v>
      </c>
      <c r="T268" s="152">
        <v>70000</v>
      </c>
      <c r="U268" s="152">
        <v>0</v>
      </c>
      <c r="V268"/>
    </row>
    <row r="269" spans="1:22" x14ac:dyDescent="0.2">
      <c r="A269" s="149">
        <v>46332</v>
      </c>
      <c r="B269" s="3">
        <f t="shared" si="7"/>
        <v>37</v>
      </c>
      <c r="C269" s="3" t="str">
        <f>+TEXT(Opex_VE[[#This Row],[Fecha]],"ddd")</f>
        <v>vie</v>
      </c>
      <c r="E269" s="14" t="s">
        <v>217</v>
      </c>
      <c r="F269" s="168">
        <f>IFERROR(VLOOKUP(Opex_VE[[#This Row],[Fecha]],Historia!A:B,2,0),_xlfn.XLOOKUP(Opex_VE[[#This Row],[dia]],Forecast!I:I,Forecast!J:J))</f>
        <v>184566.66666666666</v>
      </c>
      <c r="G269" s="168">
        <f>IFERROR(VLOOKUP(Opex_VE[[#This Row],[Fecha]],Historia!A:C,3,0),_xlfn.XLOOKUP(Opex_VE[[#This Row],[dia]],Forecast!I:I,Forecast!K:K))</f>
        <v>73826.666666666672</v>
      </c>
      <c r="H269" s="182">
        <f>+Opex_VE[[#This Row],[MG]]-Opex_VE[[#This Row],[Opex]]</f>
        <v>-147552.29999999999</v>
      </c>
      <c r="I269" s="168" t="str">
        <f>IFERROR(VLOOKUP(Opex_VE[[#This Row],[Fecha]],Historia!A:D,4,0),"Forecast")</f>
        <v>Forecast</v>
      </c>
      <c r="J269" s="157">
        <f t="shared" ref="J269:J332" si="8">+K269/0.4</f>
        <v>553447.41666666663</v>
      </c>
      <c r="K269" s="151">
        <f>+Opex_VE[[#This Row],[Arriendo]]+Opex_VE[[#This Row],[Servicios publicos]]+Opex_VE[[#This Row],[Nomina]]</f>
        <v>221378.96666666667</v>
      </c>
      <c r="L269" s="152">
        <f>+VLOOKUP(Opex_VE[[#This Row],[Fecha]],Opex!$B:$Y,OPEX_SALES!L$1,1)</f>
        <v>55000</v>
      </c>
      <c r="M269" s="153">
        <f>+SUM(Opex_VE[[#This Row],[Internet]:[Electricidad]])</f>
        <v>26378.966666666667</v>
      </c>
      <c r="N269" s="152">
        <f>+VLOOKUP(Opex_VE[[#This Row],[Fecha]],Opex!$B:$Y,OPEX_SALES!N$1,1)</f>
        <v>3500</v>
      </c>
      <c r="O269" s="152">
        <f>+VLOOKUP(Opex_VE[[#This Row],[Fecha]],Opex!$B:$Y,OPEX_SALES!O$1,1)</f>
        <v>8243.9666666666672</v>
      </c>
      <c r="P269" s="152">
        <f>+VLOOKUP(Opex_VE[[#This Row],[Fecha]],Opex!$B:$Y,OPEX_SALES!P$1,1)</f>
        <v>4000</v>
      </c>
      <c r="Q269" s="152">
        <f>+VLOOKUP(Opex_VE[[#This Row],[Fecha]],Opex!$B:$Y,OPEX_SALES!Q$1,1)</f>
        <v>10635</v>
      </c>
      <c r="R269" s="153">
        <f>+SUM(Opex_VE[[#This Row],[Cajero]:[Domiciliario]])</f>
        <v>140000</v>
      </c>
      <c r="S269" s="152">
        <v>70000</v>
      </c>
      <c r="T269" s="152">
        <v>70000</v>
      </c>
      <c r="U269" s="152">
        <v>0</v>
      </c>
      <c r="V269"/>
    </row>
    <row r="270" spans="1:22" x14ac:dyDescent="0.2">
      <c r="A270" s="149">
        <v>46333</v>
      </c>
      <c r="B270" s="3">
        <f t="shared" si="7"/>
        <v>37</v>
      </c>
      <c r="C270" s="3" t="str">
        <f>+TEXT(Opex_VE[[#This Row],[Fecha]],"ddd")</f>
        <v>sáb</v>
      </c>
      <c r="E270" s="14" t="s">
        <v>113</v>
      </c>
      <c r="F270" s="168">
        <f>IFERROR(VLOOKUP(Opex_VE[[#This Row],[Fecha]],Historia!A:B,2,0),_xlfn.XLOOKUP(Opex_VE[[#This Row],[dia]],Forecast!I:I,Forecast!J:J))</f>
        <v>398333.33333333331</v>
      </c>
      <c r="G270" s="168">
        <f>IFERROR(VLOOKUP(Opex_VE[[#This Row],[Fecha]],Historia!A:C,3,0),_xlfn.XLOOKUP(Opex_VE[[#This Row],[dia]],Forecast!I:I,Forecast!K:K))</f>
        <v>159333.33333333334</v>
      </c>
      <c r="H270" s="182">
        <f>+Opex_VE[[#This Row],[MG]]-Opex_VE[[#This Row],[Opex]]</f>
        <v>-62045.633333333331</v>
      </c>
      <c r="I270" s="169" t="str">
        <f>IFERROR(VLOOKUP(Opex_VE[[#This Row],[Fecha]],Historia!A:D,4,0),"Forecast")</f>
        <v>Forecast</v>
      </c>
      <c r="J270" s="157">
        <f t="shared" si="8"/>
        <v>553447.41666666663</v>
      </c>
      <c r="K270" s="151">
        <f>+Opex_VE[[#This Row],[Arriendo]]+Opex_VE[[#This Row],[Servicios publicos]]+Opex_VE[[#This Row],[Nomina]]</f>
        <v>221378.96666666667</v>
      </c>
      <c r="L270" s="152">
        <f>+VLOOKUP(Opex_VE[[#This Row],[Fecha]],Opex!$B:$Y,OPEX_SALES!L$1,1)</f>
        <v>55000</v>
      </c>
      <c r="M270" s="153">
        <f>+SUM(Opex_VE[[#This Row],[Internet]:[Electricidad]])</f>
        <v>26378.966666666667</v>
      </c>
      <c r="N270" s="152">
        <f>+VLOOKUP(Opex_VE[[#This Row],[Fecha]],Opex!$B:$Y,OPEX_SALES!N$1,1)</f>
        <v>3500</v>
      </c>
      <c r="O270" s="152">
        <f>+VLOOKUP(Opex_VE[[#This Row],[Fecha]],Opex!$B:$Y,OPEX_SALES!O$1,1)</f>
        <v>8243.9666666666672</v>
      </c>
      <c r="P270" s="152">
        <f>+VLOOKUP(Opex_VE[[#This Row],[Fecha]],Opex!$B:$Y,OPEX_SALES!P$1,1)</f>
        <v>4000</v>
      </c>
      <c r="Q270" s="152">
        <f>+VLOOKUP(Opex_VE[[#This Row],[Fecha]],Opex!$B:$Y,OPEX_SALES!Q$1,1)</f>
        <v>10635</v>
      </c>
      <c r="R270" s="153">
        <f>+SUM(Opex_VE[[#This Row],[Cajero]:[Domiciliario]])</f>
        <v>140000</v>
      </c>
      <c r="S270" s="152">
        <v>70000</v>
      </c>
      <c r="T270" s="152">
        <v>70000</v>
      </c>
      <c r="U270" s="152">
        <v>0</v>
      </c>
      <c r="V270"/>
    </row>
    <row r="271" spans="1:22" x14ac:dyDescent="0.2">
      <c r="A271" s="149">
        <v>46334</v>
      </c>
      <c r="B271" s="3">
        <f t="shared" si="7"/>
        <v>37</v>
      </c>
      <c r="C271" s="3" t="str">
        <f>+TEXT(Opex_VE[[#This Row],[Fecha]],"ddd")</f>
        <v>dom</v>
      </c>
      <c r="E271" s="14" t="s">
        <v>145</v>
      </c>
      <c r="F271" s="168">
        <f>IFERROR(VLOOKUP(Opex_VE[[#This Row],[Fecha]],Historia!A:B,2,0),_xlfn.XLOOKUP(Opex_VE[[#This Row],[dia]],Forecast!I:I,Forecast!J:J))</f>
        <v>168750</v>
      </c>
      <c r="G271" s="168">
        <f>IFERROR(VLOOKUP(Opex_VE[[#This Row],[Fecha]],Historia!A:C,3,0),_xlfn.XLOOKUP(Opex_VE[[#This Row],[dia]],Forecast!I:I,Forecast!K:K))</f>
        <v>67500</v>
      </c>
      <c r="H271" s="182">
        <f>+Opex_VE[[#This Row],[MG]]-Opex_VE[[#This Row],[Opex]]</f>
        <v>-153878.96666666667</v>
      </c>
      <c r="I271" s="168" t="str">
        <f>IFERROR(VLOOKUP(Opex_VE[[#This Row],[Fecha]],Historia!A:D,4,0),"Forecast")</f>
        <v>Forecast</v>
      </c>
      <c r="J271" s="157">
        <f t="shared" si="8"/>
        <v>553447.41666666663</v>
      </c>
      <c r="K271" s="151">
        <f>+Opex_VE[[#This Row],[Arriendo]]+Opex_VE[[#This Row],[Servicios publicos]]+Opex_VE[[#This Row],[Nomina]]</f>
        <v>221378.96666666667</v>
      </c>
      <c r="L271" s="152">
        <f>+VLOOKUP(Opex_VE[[#This Row],[Fecha]],Opex!$B:$Y,OPEX_SALES!L$1,1)</f>
        <v>55000</v>
      </c>
      <c r="M271" s="153">
        <f>+SUM(Opex_VE[[#This Row],[Internet]:[Electricidad]])</f>
        <v>26378.966666666667</v>
      </c>
      <c r="N271" s="152">
        <f>+VLOOKUP(Opex_VE[[#This Row],[Fecha]],Opex!$B:$Y,OPEX_SALES!N$1,1)</f>
        <v>3500</v>
      </c>
      <c r="O271" s="152">
        <f>+VLOOKUP(Opex_VE[[#This Row],[Fecha]],Opex!$B:$Y,OPEX_SALES!O$1,1)</f>
        <v>8243.9666666666672</v>
      </c>
      <c r="P271" s="152">
        <f>+VLOOKUP(Opex_VE[[#This Row],[Fecha]],Opex!$B:$Y,OPEX_SALES!P$1,1)</f>
        <v>4000</v>
      </c>
      <c r="Q271" s="152">
        <f>+VLOOKUP(Opex_VE[[#This Row],[Fecha]],Opex!$B:$Y,OPEX_SALES!Q$1,1)</f>
        <v>10635</v>
      </c>
      <c r="R271" s="153">
        <f>+SUM(Opex_VE[[#This Row],[Cajero]:[Domiciliario]])</f>
        <v>140000</v>
      </c>
      <c r="S271" s="152">
        <v>70000</v>
      </c>
      <c r="T271" s="152">
        <v>70000</v>
      </c>
      <c r="U271" s="152">
        <v>0</v>
      </c>
      <c r="V271"/>
    </row>
    <row r="272" spans="1:22" x14ac:dyDescent="0.2">
      <c r="A272" s="149">
        <v>46335</v>
      </c>
      <c r="B272" s="3">
        <f t="shared" si="7"/>
        <v>38</v>
      </c>
      <c r="C272" s="3" t="str">
        <f>+TEXT(Opex_VE[[#This Row],[Fecha]],"ddd")</f>
        <v>lun</v>
      </c>
      <c r="E272" s="14" t="s">
        <v>112</v>
      </c>
      <c r="F272" s="168">
        <f>IFERROR(VLOOKUP(Opex_VE[[#This Row],[Fecha]],Historia!A:B,2,0),_xlfn.XLOOKUP(Opex_VE[[#This Row],[dia]],Forecast!I:I,Forecast!J:J))</f>
        <v>164375</v>
      </c>
      <c r="G272" s="168">
        <f>IFERROR(VLOOKUP(Opex_VE[[#This Row],[Fecha]],Historia!A:C,3,0),_xlfn.XLOOKUP(Opex_VE[[#This Row],[dia]],Forecast!I:I,Forecast!K:K))</f>
        <v>65750</v>
      </c>
      <c r="H272" s="182">
        <f>+Opex_VE[[#This Row],[MG]]-Opex_VE[[#This Row],[Opex]]</f>
        <v>-155628.96666666667</v>
      </c>
      <c r="I272" s="168" t="str">
        <f>IFERROR(VLOOKUP(Opex_VE[[#This Row],[Fecha]],Historia!A:D,4,0),"Forecast")</f>
        <v>Forecast</v>
      </c>
      <c r="J272" s="157">
        <f t="shared" si="8"/>
        <v>553447.41666666663</v>
      </c>
      <c r="K272" s="151">
        <f>+Opex_VE[[#This Row],[Arriendo]]+Opex_VE[[#This Row],[Servicios publicos]]+Opex_VE[[#This Row],[Nomina]]</f>
        <v>221378.96666666667</v>
      </c>
      <c r="L272" s="152">
        <f>+VLOOKUP(Opex_VE[[#This Row],[Fecha]],Opex!$B:$Y,OPEX_SALES!L$1,1)</f>
        <v>55000</v>
      </c>
      <c r="M272" s="153">
        <f>+SUM(Opex_VE[[#This Row],[Internet]:[Electricidad]])</f>
        <v>26378.966666666667</v>
      </c>
      <c r="N272" s="152">
        <f>+VLOOKUP(Opex_VE[[#This Row],[Fecha]],Opex!$B:$Y,OPEX_SALES!N$1,1)</f>
        <v>3500</v>
      </c>
      <c r="O272" s="152">
        <f>+VLOOKUP(Opex_VE[[#This Row],[Fecha]],Opex!$B:$Y,OPEX_SALES!O$1,1)</f>
        <v>8243.9666666666672</v>
      </c>
      <c r="P272" s="152">
        <f>+VLOOKUP(Opex_VE[[#This Row],[Fecha]],Opex!$B:$Y,OPEX_SALES!P$1,1)</f>
        <v>4000</v>
      </c>
      <c r="Q272" s="152">
        <f>+VLOOKUP(Opex_VE[[#This Row],[Fecha]],Opex!$B:$Y,OPEX_SALES!Q$1,1)</f>
        <v>10635</v>
      </c>
      <c r="R272" s="153">
        <f>+SUM(Opex_VE[[#This Row],[Cajero]:[Domiciliario]])</f>
        <v>140000</v>
      </c>
      <c r="S272" s="152">
        <v>70000</v>
      </c>
      <c r="T272" s="152">
        <v>70000</v>
      </c>
      <c r="U272" s="152">
        <v>0</v>
      </c>
      <c r="V272"/>
    </row>
    <row r="273" spans="1:22" x14ac:dyDescent="0.2">
      <c r="A273" s="149">
        <v>46336</v>
      </c>
      <c r="B273" s="3">
        <f t="shared" si="7"/>
        <v>38</v>
      </c>
      <c r="C273" s="3" t="str">
        <f>+TEXT(Opex_VE[[#This Row],[Fecha]],"ddd")</f>
        <v>mar</v>
      </c>
      <c r="E273" s="14" t="s">
        <v>112</v>
      </c>
      <c r="F273" s="168">
        <f>IFERROR(VLOOKUP(Opex_VE[[#This Row],[Fecha]],Historia!A:B,2,0),_xlfn.XLOOKUP(Opex_VE[[#This Row],[dia]],Forecast!I:I,Forecast!J:J))</f>
        <v>199625</v>
      </c>
      <c r="G273" s="168">
        <f>IFERROR(VLOOKUP(Opex_VE[[#This Row],[Fecha]],Historia!A:C,3,0),_xlfn.XLOOKUP(Opex_VE[[#This Row],[dia]],Forecast!I:I,Forecast!K:K))</f>
        <v>79850</v>
      </c>
      <c r="H273" s="182">
        <f>+Opex_VE[[#This Row],[MG]]-Opex_VE[[#This Row],[Opex]]</f>
        <v>-141528.96666666667</v>
      </c>
      <c r="I273" s="168" t="str">
        <f>IFERROR(VLOOKUP(Opex_VE[[#This Row],[Fecha]],Historia!A:D,4,0),"Forecast")</f>
        <v>Forecast</v>
      </c>
      <c r="J273" s="157">
        <f t="shared" si="8"/>
        <v>553447.41666666663</v>
      </c>
      <c r="K273" s="151">
        <f>+Opex_VE[[#This Row],[Arriendo]]+Opex_VE[[#This Row],[Servicios publicos]]+Opex_VE[[#This Row],[Nomina]]</f>
        <v>221378.96666666667</v>
      </c>
      <c r="L273" s="152">
        <f>+VLOOKUP(Opex_VE[[#This Row],[Fecha]],Opex!$B:$Y,OPEX_SALES!L$1,1)</f>
        <v>55000</v>
      </c>
      <c r="M273" s="153">
        <f>+SUM(Opex_VE[[#This Row],[Internet]:[Electricidad]])</f>
        <v>26378.966666666667</v>
      </c>
      <c r="N273" s="152">
        <f>+VLOOKUP(Opex_VE[[#This Row],[Fecha]],Opex!$B:$Y,OPEX_SALES!N$1,1)</f>
        <v>3500</v>
      </c>
      <c r="O273" s="152">
        <f>+VLOOKUP(Opex_VE[[#This Row],[Fecha]],Opex!$B:$Y,OPEX_SALES!O$1,1)</f>
        <v>8243.9666666666672</v>
      </c>
      <c r="P273" s="152">
        <f>+VLOOKUP(Opex_VE[[#This Row],[Fecha]],Opex!$B:$Y,OPEX_SALES!P$1,1)</f>
        <v>4000</v>
      </c>
      <c r="Q273" s="152">
        <f>+VLOOKUP(Opex_VE[[#This Row],[Fecha]],Opex!$B:$Y,OPEX_SALES!Q$1,1)</f>
        <v>10635</v>
      </c>
      <c r="R273" s="153">
        <f>+SUM(Opex_VE[[#This Row],[Cajero]:[Domiciliario]])</f>
        <v>140000</v>
      </c>
      <c r="S273" s="152">
        <v>70000</v>
      </c>
      <c r="T273" s="152">
        <v>70000</v>
      </c>
      <c r="U273" s="152">
        <v>0</v>
      </c>
      <c r="V273"/>
    </row>
    <row r="274" spans="1:22" x14ac:dyDescent="0.2">
      <c r="A274" s="149">
        <v>46337</v>
      </c>
      <c r="B274" s="3">
        <f t="shared" si="7"/>
        <v>38</v>
      </c>
      <c r="C274" s="3" t="str">
        <f>+TEXT(Opex_VE[[#This Row],[Fecha]],"ddd")</f>
        <v>mié</v>
      </c>
      <c r="E274" s="14" t="s">
        <v>112</v>
      </c>
      <c r="F274" s="168">
        <f>IFERROR(VLOOKUP(Opex_VE[[#This Row],[Fecha]],Historia!A:B,2,0),_xlfn.XLOOKUP(Opex_VE[[#This Row],[dia]],Forecast!I:I,Forecast!J:J))</f>
        <v>339250</v>
      </c>
      <c r="G274" s="168">
        <f>IFERROR(VLOOKUP(Opex_VE[[#This Row],[Fecha]],Historia!A:C,3,0),_xlfn.XLOOKUP(Opex_VE[[#This Row],[dia]],Forecast!I:I,Forecast!K:K))</f>
        <v>135700</v>
      </c>
      <c r="H274" s="182">
        <f>+Opex_VE[[#This Row],[MG]]-Opex_VE[[#This Row],[Opex]]</f>
        <v>-85678.966666666674</v>
      </c>
      <c r="I274" s="168" t="str">
        <f>IFERROR(VLOOKUP(Opex_VE[[#This Row],[Fecha]],Historia!A:D,4,0),"Forecast")</f>
        <v>Forecast</v>
      </c>
      <c r="J274" s="157">
        <f t="shared" si="8"/>
        <v>553447.41666666663</v>
      </c>
      <c r="K274" s="151">
        <f>+Opex_VE[[#This Row],[Arriendo]]+Opex_VE[[#This Row],[Servicios publicos]]+Opex_VE[[#This Row],[Nomina]]</f>
        <v>221378.96666666667</v>
      </c>
      <c r="L274" s="152">
        <f>+VLOOKUP(Opex_VE[[#This Row],[Fecha]],Opex!$B:$Y,OPEX_SALES!L$1,1)</f>
        <v>55000</v>
      </c>
      <c r="M274" s="153">
        <f>+SUM(Opex_VE[[#This Row],[Internet]:[Electricidad]])</f>
        <v>26378.966666666667</v>
      </c>
      <c r="N274" s="152">
        <f>+VLOOKUP(Opex_VE[[#This Row],[Fecha]],Opex!$B:$Y,OPEX_SALES!N$1,1)</f>
        <v>3500</v>
      </c>
      <c r="O274" s="152">
        <f>+VLOOKUP(Opex_VE[[#This Row],[Fecha]],Opex!$B:$Y,OPEX_SALES!O$1,1)</f>
        <v>8243.9666666666672</v>
      </c>
      <c r="P274" s="152">
        <f>+VLOOKUP(Opex_VE[[#This Row],[Fecha]],Opex!$B:$Y,OPEX_SALES!P$1,1)</f>
        <v>4000</v>
      </c>
      <c r="Q274" s="152">
        <f>+VLOOKUP(Opex_VE[[#This Row],[Fecha]],Opex!$B:$Y,OPEX_SALES!Q$1,1)</f>
        <v>10635</v>
      </c>
      <c r="R274" s="153">
        <f>+SUM(Opex_VE[[#This Row],[Cajero]:[Domiciliario]])</f>
        <v>140000</v>
      </c>
      <c r="S274" s="152">
        <v>70000</v>
      </c>
      <c r="T274" s="152">
        <v>70000</v>
      </c>
      <c r="U274" s="152">
        <v>0</v>
      </c>
      <c r="V274"/>
    </row>
    <row r="275" spans="1:22" x14ac:dyDescent="0.2">
      <c r="A275" s="149">
        <v>46338</v>
      </c>
      <c r="B275" s="3">
        <f t="shared" si="7"/>
        <v>38</v>
      </c>
      <c r="C275" s="3" t="str">
        <f>+TEXT(Opex_VE[[#This Row],[Fecha]],"ddd")</f>
        <v>jue</v>
      </c>
      <c r="E275" s="14" t="s">
        <v>112</v>
      </c>
      <c r="F275" s="168">
        <f>IFERROR(VLOOKUP(Opex_VE[[#This Row],[Fecha]],Historia!A:B,2,0),_xlfn.XLOOKUP(Opex_VE[[#This Row],[dia]],Forecast!I:I,Forecast!J:J))</f>
        <v>274975</v>
      </c>
      <c r="G275" s="168">
        <f>IFERROR(VLOOKUP(Opex_VE[[#This Row],[Fecha]],Historia!A:C,3,0),_xlfn.XLOOKUP(Opex_VE[[#This Row],[dia]],Forecast!I:I,Forecast!K:K))</f>
        <v>109990</v>
      </c>
      <c r="H275" s="182">
        <f>+Opex_VE[[#This Row],[MG]]-Opex_VE[[#This Row],[Opex]]</f>
        <v>-111388.96666666667</v>
      </c>
      <c r="I275" s="168" t="str">
        <f>IFERROR(VLOOKUP(Opex_VE[[#This Row],[Fecha]],Historia!A:D,4,0),"Forecast")</f>
        <v>Forecast</v>
      </c>
      <c r="J275" s="157">
        <f t="shared" si="8"/>
        <v>553447.41666666663</v>
      </c>
      <c r="K275" s="151">
        <f>+Opex_VE[[#This Row],[Arriendo]]+Opex_VE[[#This Row],[Servicios publicos]]+Opex_VE[[#This Row],[Nomina]]</f>
        <v>221378.96666666667</v>
      </c>
      <c r="L275" s="152">
        <f>+VLOOKUP(Opex_VE[[#This Row],[Fecha]],Opex!$B:$Y,OPEX_SALES!L$1,1)</f>
        <v>55000</v>
      </c>
      <c r="M275" s="153">
        <f>+SUM(Opex_VE[[#This Row],[Internet]:[Electricidad]])</f>
        <v>26378.966666666667</v>
      </c>
      <c r="N275" s="152">
        <f>+VLOOKUP(Opex_VE[[#This Row],[Fecha]],Opex!$B:$Y,OPEX_SALES!N$1,1)</f>
        <v>3500</v>
      </c>
      <c r="O275" s="152">
        <f>+VLOOKUP(Opex_VE[[#This Row],[Fecha]],Opex!$B:$Y,OPEX_SALES!O$1,1)</f>
        <v>8243.9666666666672</v>
      </c>
      <c r="P275" s="152">
        <f>+VLOOKUP(Opex_VE[[#This Row],[Fecha]],Opex!$B:$Y,OPEX_SALES!P$1,1)</f>
        <v>4000</v>
      </c>
      <c r="Q275" s="152">
        <f>+VLOOKUP(Opex_VE[[#This Row],[Fecha]],Opex!$B:$Y,OPEX_SALES!Q$1,1)</f>
        <v>10635</v>
      </c>
      <c r="R275" s="153">
        <f>+SUM(Opex_VE[[#This Row],[Cajero]:[Domiciliario]])</f>
        <v>140000</v>
      </c>
      <c r="S275" s="152">
        <v>70000</v>
      </c>
      <c r="T275" s="152">
        <v>70000</v>
      </c>
      <c r="U275" s="152">
        <v>0</v>
      </c>
      <c r="V275"/>
    </row>
    <row r="276" spans="1:22" x14ac:dyDescent="0.2">
      <c r="A276" s="149">
        <v>46339</v>
      </c>
      <c r="B276" s="3">
        <f t="shared" si="7"/>
        <v>38</v>
      </c>
      <c r="C276" s="3" t="str">
        <f>+TEXT(Opex_VE[[#This Row],[Fecha]],"ddd")</f>
        <v>vie</v>
      </c>
      <c r="E276" s="14" t="s">
        <v>217</v>
      </c>
      <c r="F276" s="168">
        <f>IFERROR(VLOOKUP(Opex_VE[[#This Row],[Fecha]],Historia!A:B,2,0),_xlfn.XLOOKUP(Opex_VE[[#This Row],[dia]],Forecast!I:I,Forecast!J:J))</f>
        <v>184566.66666666666</v>
      </c>
      <c r="G276" s="168">
        <f>IFERROR(VLOOKUP(Opex_VE[[#This Row],[Fecha]],Historia!A:C,3,0),_xlfn.XLOOKUP(Opex_VE[[#This Row],[dia]],Forecast!I:I,Forecast!K:K))</f>
        <v>73826.666666666672</v>
      </c>
      <c r="H276" s="182">
        <f>+Opex_VE[[#This Row],[MG]]-Opex_VE[[#This Row],[Opex]]</f>
        <v>-147552.29999999999</v>
      </c>
      <c r="I276" s="168" t="str">
        <f>IFERROR(VLOOKUP(Opex_VE[[#This Row],[Fecha]],Historia!A:D,4,0),"Forecast")</f>
        <v>Forecast</v>
      </c>
      <c r="J276" s="157">
        <f t="shared" si="8"/>
        <v>553447.41666666663</v>
      </c>
      <c r="K276" s="151">
        <f>+Opex_VE[[#This Row],[Arriendo]]+Opex_VE[[#This Row],[Servicios publicos]]+Opex_VE[[#This Row],[Nomina]]</f>
        <v>221378.96666666667</v>
      </c>
      <c r="L276" s="152">
        <f>+VLOOKUP(Opex_VE[[#This Row],[Fecha]],Opex!$B:$Y,OPEX_SALES!L$1,1)</f>
        <v>55000</v>
      </c>
      <c r="M276" s="153">
        <f>+SUM(Opex_VE[[#This Row],[Internet]:[Electricidad]])</f>
        <v>26378.966666666667</v>
      </c>
      <c r="N276" s="152">
        <f>+VLOOKUP(Opex_VE[[#This Row],[Fecha]],Opex!$B:$Y,OPEX_SALES!N$1,1)</f>
        <v>3500</v>
      </c>
      <c r="O276" s="152">
        <f>+VLOOKUP(Opex_VE[[#This Row],[Fecha]],Opex!$B:$Y,OPEX_SALES!O$1,1)</f>
        <v>8243.9666666666672</v>
      </c>
      <c r="P276" s="152">
        <f>+VLOOKUP(Opex_VE[[#This Row],[Fecha]],Opex!$B:$Y,OPEX_SALES!P$1,1)</f>
        <v>4000</v>
      </c>
      <c r="Q276" s="152">
        <f>+VLOOKUP(Opex_VE[[#This Row],[Fecha]],Opex!$B:$Y,OPEX_SALES!Q$1,1)</f>
        <v>10635</v>
      </c>
      <c r="R276" s="153">
        <f>+SUM(Opex_VE[[#This Row],[Cajero]:[Domiciliario]])</f>
        <v>140000</v>
      </c>
      <c r="S276" s="152">
        <v>70000</v>
      </c>
      <c r="T276" s="152">
        <v>70000</v>
      </c>
      <c r="U276" s="152">
        <v>0</v>
      </c>
      <c r="V276"/>
    </row>
    <row r="277" spans="1:22" x14ac:dyDescent="0.2">
      <c r="A277" s="149">
        <v>46340</v>
      </c>
      <c r="B277" s="3">
        <f t="shared" ref="B277:B340" si="9">+B270+1</f>
        <v>38</v>
      </c>
      <c r="C277" s="3" t="str">
        <f>+TEXT(Opex_VE[[#This Row],[Fecha]],"ddd")</f>
        <v>sáb</v>
      </c>
      <c r="E277" s="14" t="s">
        <v>113</v>
      </c>
      <c r="F277" s="168">
        <f>IFERROR(VLOOKUP(Opex_VE[[#This Row],[Fecha]],Historia!A:B,2,0),_xlfn.XLOOKUP(Opex_VE[[#This Row],[dia]],Forecast!I:I,Forecast!J:J))</f>
        <v>398333.33333333331</v>
      </c>
      <c r="G277" s="168">
        <f>IFERROR(VLOOKUP(Opex_VE[[#This Row],[Fecha]],Historia!A:C,3,0),_xlfn.XLOOKUP(Opex_VE[[#This Row],[dia]],Forecast!I:I,Forecast!K:K))</f>
        <v>159333.33333333334</v>
      </c>
      <c r="H277" s="182">
        <f>+Opex_VE[[#This Row],[MG]]-Opex_VE[[#This Row],[Opex]]</f>
        <v>-62045.633333333331</v>
      </c>
      <c r="I277" s="169" t="str">
        <f>IFERROR(VLOOKUP(Opex_VE[[#This Row],[Fecha]],Historia!A:D,4,0),"Forecast")</f>
        <v>Forecast</v>
      </c>
      <c r="J277" s="157">
        <f t="shared" si="8"/>
        <v>553447.41666666663</v>
      </c>
      <c r="K277" s="151">
        <f>+Opex_VE[[#This Row],[Arriendo]]+Opex_VE[[#This Row],[Servicios publicos]]+Opex_VE[[#This Row],[Nomina]]</f>
        <v>221378.96666666667</v>
      </c>
      <c r="L277" s="152">
        <f>+VLOOKUP(Opex_VE[[#This Row],[Fecha]],Opex!$B:$Y,OPEX_SALES!L$1,1)</f>
        <v>55000</v>
      </c>
      <c r="M277" s="153">
        <f>+SUM(Opex_VE[[#This Row],[Internet]:[Electricidad]])</f>
        <v>26378.966666666667</v>
      </c>
      <c r="N277" s="152">
        <f>+VLOOKUP(Opex_VE[[#This Row],[Fecha]],Opex!$B:$Y,OPEX_SALES!N$1,1)</f>
        <v>3500</v>
      </c>
      <c r="O277" s="152">
        <f>+VLOOKUP(Opex_VE[[#This Row],[Fecha]],Opex!$B:$Y,OPEX_SALES!O$1,1)</f>
        <v>8243.9666666666672</v>
      </c>
      <c r="P277" s="152">
        <f>+VLOOKUP(Opex_VE[[#This Row],[Fecha]],Opex!$B:$Y,OPEX_SALES!P$1,1)</f>
        <v>4000</v>
      </c>
      <c r="Q277" s="152">
        <f>+VLOOKUP(Opex_VE[[#This Row],[Fecha]],Opex!$B:$Y,OPEX_SALES!Q$1,1)</f>
        <v>10635</v>
      </c>
      <c r="R277" s="153">
        <f>+SUM(Opex_VE[[#This Row],[Cajero]:[Domiciliario]])</f>
        <v>140000</v>
      </c>
      <c r="S277" s="152">
        <v>70000</v>
      </c>
      <c r="T277" s="152">
        <v>70000</v>
      </c>
      <c r="U277" s="152">
        <v>0</v>
      </c>
      <c r="V277"/>
    </row>
    <row r="278" spans="1:22" x14ac:dyDescent="0.2">
      <c r="A278" s="149">
        <v>46341</v>
      </c>
      <c r="B278" s="3">
        <f t="shared" si="9"/>
        <v>38</v>
      </c>
      <c r="C278" s="3" t="str">
        <f>+TEXT(Opex_VE[[#This Row],[Fecha]],"ddd")</f>
        <v>dom</v>
      </c>
      <c r="E278" s="14" t="s">
        <v>145</v>
      </c>
      <c r="F278" s="168">
        <f>IFERROR(VLOOKUP(Opex_VE[[#This Row],[Fecha]],Historia!A:B,2,0),_xlfn.XLOOKUP(Opex_VE[[#This Row],[dia]],Forecast!I:I,Forecast!J:J))</f>
        <v>168750</v>
      </c>
      <c r="G278" s="168">
        <f>IFERROR(VLOOKUP(Opex_VE[[#This Row],[Fecha]],Historia!A:C,3,0),_xlfn.XLOOKUP(Opex_VE[[#This Row],[dia]],Forecast!I:I,Forecast!K:K))</f>
        <v>67500</v>
      </c>
      <c r="H278" s="182">
        <f>+Opex_VE[[#This Row],[MG]]-Opex_VE[[#This Row],[Opex]]</f>
        <v>-156685.13793103449</v>
      </c>
      <c r="I278" s="168" t="str">
        <f>IFERROR(VLOOKUP(Opex_VE[[#This Row],[Fecha]],Historia!A:D,4,0),"Forecast")</f>
        <v>Forecast</v>
      </c>
      <c r="J278" s="157">
        <f t="shared" si="8"/>
        <v>560462.8448275862</v>
      </c>
      <c r="K278" s="151">
        <f>+Opex_VE[[#This Row],[Arriendo]]+Opex_VE[[#This Row],[Servicios publicos]]+Opex_VE[[#This Row],[Nomina]]</f>
        <v>224185.13793103449</v>
      </c>
      <c r="L278" s="152">
        <f>+VLOOKUP(Opex_VE[[#This Row],[Fecha]],Opex!$B:$Y,OPEX_SALES!L$1,1)</f>
        <v>56896.551724137928</v>
      </c>
      <c r="M278" s="153">
        <f>+SUM(Opex_VE[[#This Row],[Internet]:[Electricidad]])</f>
        <v>27288.586206896551</v>
      </c>
      <c r="N278" s="152">
        <f>+VLOOKUP(Opex_VE[[#This Row],[Fecha]],Opex!$B:$Y,OPEX_SALES!N$1,1)</f>
        <v>3620.6896551724139</v>
      </c>
      <c r="O278" s="152">
        <f>+VLOOKUP(Opex_VE[[#This Row],[Fecha]],Opex!$B:$Y,OPEX_SALES!O$1,1)</f>
        <v>8528.2413793103442</v>
      </c>
      <c r="P278" s="152">
        <f>+VLOOKUP(Opex_VE[[#This Row],[Fecha]],Opex!$B:$Y,OPEX_SALES!P$1,1)</f>
        <v>4137.9310344827591</v>
      </c>
      <c r="Q278" s="152">
        <f>+VLOOKUP(Opex_VE[[#This Row],[Fecha]],Opex!$B:$Y,OPEX_SALES!Q$1,1)</f>
        <v>11001.724137931034</v>
      </c>
      <c r="R278" s="153">
        <f>+SUM(Opex_VE[[#This Row],[Cajero]:[Domiciliario]])</f>
        <v>140000</v>
      </c>
      <c r="S278" s="152">
        <v>70000</v>
      </c>
      <c r="T278" s="152">
        <v>70000</v>
      </c>
      <c r="U278" s="152">
        <v>0</v>
      </c>
      <c r="V278"/>
    </row>
    <row r="279" spans="1:22" x14ac:dyDescent="0.2">
      <c r="A279" s="149">
        <v>46342</v>
      </c>
      <c r="B279" s="3">
        <f t="shared" si="9"/>
        <v>39</v>
      </c>
      <c r="C279" s="3" t="str">
        <f>+TEXT(Opex_VE[[#This Row],[Fecha]],"ddd")</f>
        <v>lun</v>
      </c>
      <c r="E279" s="14" t="s">
        <v>112</v>
      </c>
      <c r="F279" s="168">
        <f>IFERROR(VLOOKUP(Opex_VE[[#This Row],[Fecha]],Historia!A:B,2,0),_xlfn.XLOOKUP(Opex_VE[[#This Row],[dia]],Forecast!I:I,Forecast!J:J))</f>
        <v>164375</v>
      </c>
      <c r="G279" s="168">
        <f>IFERROR(VLOOKUP(Opex_VE[[#This Row],[Fecha]],Historia!A:C,3,0),_xlfn.XLOOKUP(Opex_VE[[#This Row],[dia]],Forecast!I:I,Forecast!K:K))</f>
        <v>65750</v>
      </c>
      <c r="H279" s="182">
        <f>+Opex_VE[[#This Row],[MG]]-Opex_VE[[#This Row],[Opex]]</f>
        <v>-158435.13793103449</v>
      </c>
      <c r="I279" s="168" t="str">
        <f>IFERROR(VLOOKUP(Opex_VE[[#This Row],[Fecha]],Historia!A:D,4,0),"Forecast")</f>
        <v>Forecast</v>
      </c>
      <c r="J279" s="157">
        <f t="shared" si="8"/>
        <v>560462.8448275862</v>
      </c>
      <c r="K279" s="151">
        <f>+Opex_VE[[#This Row],[Arriendo]]+Opex_VE[[#This Row],[Servicios publicos]]+Opex_VE[[#This Row],[Nomina]]</f>
        <v>224185.13793103449</v>
      </c>
      <c r="L279" s="152">
        <f>+VLOOKUP(Opex_VE[[#This Row],[Fecha]],Opex!$B:$Y,OPEX_SALES!L$1,1)</f>
        <v>56896.551724137928</v>
      </c>
      <c r="M279" s="153">
        <f>+SUM(Opex_VE[[#This Row],[Internet]:[Electricidad]])</f>
        <v>27288.586206896551</v>
      </c>
      <c r="N279" s="152">
        <f>+VLOOKUP(Opex_VE[[#This Row],[Fecha]],Opex!$B:$Y,OPEX_SALES!N$1,1)</f>
        <v>3620.6896551724139</v>
      </c>
      <c r="O279" s="152">
        <f>+VLOOKUP(Opex_VE[[#This Row],[Fecha]],Opex!$B:$Y,OPEX_SALES!O$1,1)</f>
        <v>8528.2413793103442</v>
      </c>
      <c r="P279" s="152">
        <f>+VLOOKUP(Opex_VE[[#This Row],[Fecha]],Opex!$B:$Y,OPEX_SALES!P$1,1)</f>
        <v>4137.9310344827591</v>
      </c>
      <c r="Q279" s="152">
        <f>+VLOOKUP(Opex_VE[[#This Row],[Fecha]],Opex!$B:$Y,OPEX_SALES!Q$1,1)</f>
        <v>11001.724137931034</v>
      </c>
      <c r="R279" s="153">
        <f>+SUM(Opex_VE[[#This Row],[Cajero]:[Domiciliario]])</f>
        <v>140000</v>
      </c>
      <c r="S279" s="152">
        <v>70000</v>
      </c>
      <c r="T279" s="152">
        <v>70000</v>
      </c>
      <c r="U279" s="152">
        <v>0</v>
      </c>
      <c r="V279"/>
    </row>
    <row r="280" spans="1:22" x14ac:dyDescent="0.2">
      <c r="A280" s="149">
        <v>46343</v>
      </c>
      <c r="B280" s="3">
        <f t="shared" si="9"/>
        <v>39</v>
      </c>
      <c r="C280" s="3" t="str">
        <f>+TEXT(Opex_VE[[#This Row],[Fecha]],"ddd")</f>
        <v>mar</v>
      </c>
      <c r="E280" s="14" t="s">
        <v>112</v>
      </c>
      <c r="F280" s="168">
        <f>IFERROR(VLOOKUP(Opex_VE[[#This Row],[Fecha]],Historia!A:B,2,0),_xlfn.XLOOKUP(Opex_VE[[#This Row],[dia]],Forecast!I:I,Forecast!J:J))</f>
        <v>199625</v>
      </c>
      <c r="G280" s="168">
        <f>IFERROR(VLOOKUP(Opex_VE[[#This Row],[Fecha]],Historia!A:C,3,0),_xlfn.XLOOKUP(Opex_VE[[#This Row],[dia]],Forecast!I:I,Forecast!K:K))</f>
        <v>79850</v>
      </c>
      <c r="H280" s="182">
        <f>+Opex_VE[[#This Row],[MG]]-Opex_VE[[#This Row],[Opex]]</f>
        <v>-144335.13793103449</v>
      </c>
      <c r="I280" s="168" t="str">
        <f>IFERROR(VLOOKUP(Opex_VE[[#This Row],[Fecha]],Historia!A:D,4,0),"Forecast")</f>
        <v>Forecast</v>
      </c>
      <c r="J280" s="157">
        <f t="shared" si="8"/>
        <v>560462.8448275862</v>
      </c>
      <c r="K280" s="151">
        <f>+Opex_VE[[#This Row],[Arriendo]]+Opex_VE[[#This Row],[Servicios publicos]]+Opex_VE[[#This Row],[Nomina]]</f>
        <v>224185.13793103449</v>
      </c>
      <c r="L280" s="152">
        <f>+VLOOKUP(Opex_VE[[#This Row],[Fecha]],Opex!$B:$Y,OPEX_SALES!L$1,1)</f>
        <v>56896.551724137928</v>
      </c>
      <c r="M280" s="153">
        <f>+SUM(Opex_VE[[#This Row],[Internet]:[Electricidad]])</f>
        <v>27288.586206896551</v>
      </c>
      <c r="N280" s="152">
        <f>+VLOOKUP(Opex_VE[[#This Row],[Fecha]],Opex!$B:$Y,OPEX_SALES!N$1,1)</f>
        <v>3620.6896551724139</v>
      </c>
      <c r="O280" s="152">
        <f>+VLOOKUP(Opex_VE[[#This Row],[Fecha]],Opex!$B:$Y,OPEX_SALES!O$1,1)</f>
        <v>8528.2413793103442</v>
      </c>
      <c r="P280" s="152">
        <f>+VLOOKUP(Opex_VE[[#This Row],[Fecha]],Opex!$B:$Y,OPEX_SALES!P$1,1)</f>
        <v>4137.9310344827591</v>
      </c>
      <c r="Q280" s="152">
        <f>+VLOOKUP(Opex_VE[[#This Row],[Fecha]],Opex!$B:$Y,OPEX_SALES!Q$1,1)</f>
        <v>11001.724137931034</v>
      </c>
      <c r="R280" s="153">
        <f>+SUM(Opex_VE[[#This Row],[Cajero]:[Domiciliario]])</f>
        <v>140000</v>
      </c>
      <c r="S280" s="152">
        <v>70000</v>
      </c>
      <c r="T280" s="152">
        <v>70000</v>
      </c>
      <c r="U280" s="152">
        <v>0</v>
      </c>
      <c r="V280"/>
    </row>
    <row r="281" spans="1:22" x14ac:dyDescent="0.2">
      <c r="A281" s="149">
        <v>46344</v>
      </c>
      <c r="B281" s="3">
        <f t="shared" si="9"/>
        <v>39</v>
      </c>
      <c r="C281" s="3" t="str">
        <f>+TEXT(Opex_VE[[#This Row],[Fecha]],"ddd")</f>
        <v>mié</v>
      </c>
      <c r="E281" s="14" t="s">
        <v>112</v>
      </c>
      <c r="F281" s="168">
        <f>IFERROR(VLOOKUP(Opex_VE[[#This Row],[Fecha]],Historia!A:B,2,0),_xlfn.XLOOKUP(Opex_VE[[#This Row],[dia]],Forecast!I:I,Forecast!J:J))</f>
        <v>339250</v>
      </c>
      <c r="G281" s="168">
        <f>IFERROR(VLOOKUP(Opex_VE[[#This Row],[Fecha]],Historia!A:C,3,0),_xlfn.XLOOKUP(Opex_VE[[#This Row],[dia]],Forecast!I:I,Forecast!K:K))</f>
        <v>135700</v>
      </c>
      <c r="H281" s="182">
        <f>+Opex_VE[[#This Row],[MG]]-Opex_VE[[#This Row],[Opex]]</f>
        <v>-88485.137931034493</v>
      </c>
      <c r="I281" s="168" t="str">
        <f>IFERROR(VLOOKUP(Opex_VE[[#This Row],[Fecha]],Historia!A:D,4,0),"Forecast")</f>
        <v>Forecast</v>
      </c>
      <c r="J281" s="157">
        <f t="shared" si="8"/>
        <v>560462.8448275862</v>
      </c>
      <c r="K281" s="151">
        <f>+Opex_VE[[#This Row],[Arriendo]]+Opex_VE[[#This Row],[Servicios publicos]]+Opex_VE[[#This Row],[Nomina]]</f>
        <v>224185.13793103449</v>
      </c>
      <c r="L281" s="152">
        <f>+VLOOKUP(Opex_VE[[#This Row],[Fecha]],Opex!$B:$Y,OPEX_SALES!L$1,1)</f>
        <v>56896.551724137928</v>
      </c>
      <c r="M281" s="153">
        <f>+SUM(Opex_VE[[#This Row],[Internet]:[Electricidad]])</f>
        <v>27288.586206896551</v>
      </c>
      <c r="N281" s="152">
        <f>+VLOOKUP(Opex_VE[[#This Row],[Fecha]],Opex!$B:$Y,OPEX_SALES!N$1,1)</f>
        <v>3620.6896551724139</v>
      </c>
      <c r="O281" s="152">
        <f>+VLOOKUP(Opex_VE[[#This Row],[Fecha]],Opex!$B:$Y,OPEX_SALES!O$1,1)</f>
        <v>8528.2413793103442</v>
      </c>
      <c r="P281" s="152">
        <f>+VLOOKUP(Opex_VE[[#This Row],[Fecha]],Opex!$B:$Y,OPEX_SALES!P$1,1)</f>
        <v>4137.9310344827591</v>
      </c>
      <c r="Q281" s="152">
        <f>+VLOOKUP(Opex_VE[[#This Row],[Fecha]],Opex!$B:$Y,OPEX_SALES!Q$1,1)</f>
        <v>11001.724137931034</v>
      </c>
      <c r="R281" s="153">
        <f>+SUM(Opex_VE[[#This Row],[Cajero]:[Domiciliario]])</f>
        <v>140000</v>
      </c>
      <c r="S281" s="152">
        <v>70000</v>
      </c>
      <c r="T281" s="152">
        <v>70000</v>
      </c>
      <c r="U281" s="152">
        <v>0</v>
      </c>
      <c r="V281"/>
    </row>
    <row r="282" spans="1:22" x14ac:dyDescent="0.2">
      <c r="A282" s="149">
        <v>46345</v>
      </c>
      <c r="B282" s="3">
        <f t="shared" si="9"/>
        <v>39</v>
      </c>
      <c r="C282" s="3" t="str">
        <f>+TEXT(Opex_VE[[#This Row],[Fecha]],"ddd")</f>
        <v>jue</v>
      </c>
      <c r="E282" s="14" t="s">
        <v>112</v>
      </c>
      <c r="F282" s="168">
        <f>IFERROR(VLOOKUP(Opex_VE[[#This Row],[Fecha]],Historia!A:B,2,0),_xlfn.XLOOKUP(Opex_VE[[#This Row],[dia]],Forecast!I:I,Forecast!J:J))</f>
        <v>274975</v>
      </c>
      <c r="G282" s="168">
        <f>IFERROR(VLOOKUP(Opex_VE[[#This Row],[Fecha]],Historia!A:C,3,0),_xlfn.XLOOKUP(Opex_VE[[#This Row],[dia]],Forecast!I:I,Forecast!K:K))</f>
        <v>109990</v>
      </c>
      <c r="H282" s="182">
        <f>+Opex_VE[[#This Row],[MG]]-Opex_VE[[#This Row],[Opex]]</f>
        <v>-114195.13793103449</v>
      </c>
      <c r="I282" s="168" t="str">
        <f>IFERROR(VLOOKUP(Opex_VE[[#This Row],[Fecha]],Historia!A:D,4,0),"Forecast")</f>
        <v>Forecast</v>
      </c>
      <c r="J282" s="157">
        <f t="shared" si="8"/>
        <v>560462.8448275862</v>
      </c>
      <c r="K282" s="151">
        <f>+Opex_VE[[#This Row],[Arriendo]]+Opex_VE[[#This Row],[Servicios publicos]]+Opex_VE[[#This Row],[Nomina]]</f>
        <v>224185.13793103449</v>
      </c>
      <c r="L282" s="152">
        <f>+VLOOKUP(Opex_VE[[#This Row],[Fecha]],Opex!$B:$Y,OPEX_SALES!L$1,1)</f>
        <v>56896.551724137928</v>
      </c>
      <c r="M282" s="153">
        <f>+SUM(Opex_VE[[#This Row],[Internet]:[Electricidad]])</f>
        <v>27288.586206896551</v>
      </c>
      <c r="N282" s="152">
        <f>+VLOOKUP(Opex_VE[[#This Row],[Fecha]],Opex!$B:$Y,OPEX_SALES!N$1,1)</f>
        <v>3620.6896551724139</v>
      </c>
      <c r="O282" s="152">
        <f>+VLOOKUP(Opex_VE[[#This Row],[Fecha]],Opex!$B:$Y,OPEX_SALES!O$1,1)</f>
        <v>8528.2413793103442</v>
      </c>
      <c r="P282" s="152">
        <f>+VLOOKUP(Opex_VE[[#This Row],[Fecha]],Opex!$B:$Y,OPEX_SALES!P$1,1)</f>
        <v>4137.9310344827591</v>
      </c>
      <c r="Q282" s="152">
        <f>+VLOOKUP(Opex_VE[[#This Row],[Fecha]],Opex!$B:$Y,OPEX_SALES!Q$1,1)</f>
        <v>11001.724137931034</v>
      </c>
      <c r="R282" s="153">
        <f>+SUM(Opex_VE[[#This Row],[Cajero]:[Domiciliario]])</f>
        <v>140000</v>
      </c>
      <c r="S282" s="152">
        <v>70000</v>
      </c>
      <c r="T282" s="152">
        <v>70000</v>
      </c>
      <c r="U282" s="152">
        <v>0</v>
      </c>
      <c r="V282"/>
    </row>
    <row r="283" spans="1:22" x14ac:dyDescent="0.2">
      <c r="A283" s="149">
        <v>46346</v>
      </c>
      <c r="B283" s="3">
        <f t="shared" si="9"/>
        <v>39</v>
      </c>
      <c r="C283" s="3" t="str">
        <f>+TEXT(Opex_VE[[#This Row],[Fecha]],"ddd")</f>
        <v>vie</v>
      </c>
      <c r="E283" s="14" t="s">
        <v>217</v>
      </c>
      <c r="F283" s="168">
        <f>IFERROR(VLOOKUP(Opex_VE[[#This Row],[Fecha]],Historia!A:B,2,0),_xlfn.XLOOKUP(Opex_VE[[#This Row],[dia]],Forecast!I:I,Forecast!J:J))</f>
        <v>184566.66666666666</v>
      </c>
      <c r="G283" s="168">
        <f>IFERROR(VLOOKUP(Opex_VE[[#This Row],[Fecha]],Historia!A:C,3,0),_xlfn.XLOOKUP(Opex_VE[[#This Row],[dia]],Forecast!I:I,Forecast!K:K))</f>
        <v>73826.666666666672</v>
      </c>
      <c r="H283" s="182">
        <f>+Opex_VE[[#This Row],[MG]]-Opex_VE[[#This Row],[Opex]]</f>
        <v>-150358.47126436781</v>
      </c>
      <c r="I283" s="168" t="str">
        <f>IFERROR(VLOOKUP(Opex_VE[[#This Row],[Fecha]],Historia!A:D,4,0),"Forecast")</f>
        <v>Forecast</v>
      </c>
      <c r="J283" s="157">
        <f t="shared" si="8"/>
        <v>560462.8448275862</v>
      </c>
      <c r="K283" s="151">
        <f>+Opex_VE[[#This Row],[Arriendo]]+Opex_VE[[#This Row],[Servicios publicos]]+Opex_VE[[#This Row],[Nomina]]</f>
        <v>224185.13793103449</v>
      </c>
      <c r="L283" s="152">
        <f>+VLOOKUP(Opex_VE[[#This Row],[Fecha]],Opex!$B:$Y,OPEX_SALES!L$1,1)</f>
        <v>56896.551724137928</v>
      </c>
      <c r="M283" s="153">
        <f>+SUM(Opex_VE[[#This Row],[Internet]:[Electricidad]])</f>
        <v>27288.586206896551</v>
      </c>
      <c r="N283" s="152">
        <f>+VLOOKUP(Opex_VE[[#This Row],[Fecha]],Opex!$B:$Y,OPEX_SALES!N$1,1)</f>
        <v>3620.6896551724139</v>
      </c>
      <c r="O283" s="152">
        <f>+VLOOKUP(Opex_VE[[#This Row],[Fecha]],Opex!$B:$Y,OPEX_SALES!O$1,1)</f>
        <v>8528.2413793103442</v>
      </c>
      <c r="P283" s="152">
        <f>+VLOOKUP(Opex_VE[[#This Row],[Fecha]],Opex!$B:$Y,OPEX_SALES!P$1,1)</f>
        <v>4137.9310344827591</v>
      </c>
      <c r="Q283" s="152">
        <f>+VLOOKUP(Opex_VE[[#This Row],[Fecha]],Opex!$B:$Y,OPEX_SALES!Q$1,1)</f>
        <v>11001.724137931034</v>
      </c>
      <c r="R283" s="153">
        <f>+SUM(Opex_VE[[#This Row],[Cajero]:[Domiciliario]])</f>
        <v>140000</v>
      </c>
      <c r="S283" s="152">
        <v>70000</v>
      </c>
      <c r="T283" s="152">
        <v>70000</v>
      </c>
      <c r="U283" s="152">
        <v>0</v>
      </c>
      <c r="V283"/>
    </row>
    <row r="284" spans="1:22" x14ac:dyDescent="0.2">
      <c r="A284" s="149">
        <v>46347</v>
      </c>
      <c r="B284" s="3">
        <f t="shared" si="9"/>
        <v>39</v>
      </c>
      <c r="C284" s="3" t="str">
        <f>+TEXT(Opex_VE[[#This Row],[Fecha]],"ddd")</f>
        <v>sáb</v>
      </c>
      <c r="E284" s="14" t="s">
        <v>113</v>
      </c>
      <c r="F284" s="168">
        <f>IFERROR(VLOOKUP(Opex_VE[[#This Row],[Fecha]],Historia!A:B,2,0),_xlfn.XLOOKUP(Opex_VE[[#This Row],[dia]],Forecast!I:I,Forecast!J:J))</f>
        <v>398333.33333333331</v>
      </c>
      <c r="G284" s="168">
        <f>IFERROR(VLOOKUP(Opex_VE[[#This Row],[Fecha]],Historia!A:C,3,0),_xlfn.XLOOKUP(Opex_VE[[#This Row],[dia]],Forecast!I:I,Forecast!K:K))</f>
        <v>159333.33333333334</v>
      </c>
      <c r="H284" s="182">
        <f>+Opex_VE[[#This Row],[MG]]-Opex_VE[[#This Row],[Opex]]</f>
        <v>-64851.80459770115</v>
      </c>
      <c r="I284" s="169" t="str">
        <f>IFERROR(VLOOKUP(Opex_VE[[#This Row],[Fecha]],Historia!A:D,4,0),"Forecast")</f>
        <v>Forecast</v>
      </c>
      <c r="J284" s="157">
        <f t="shared" si="8"/>
        <v>560462.8448275862</v>
      </c>
      <c r="K284" s="151">
        <f>+Opex_VE[[#This Row],[Arriendo]]+Opex_VE[[#This Row],[Servicios publicos]]+Opex_VE[[#This Row],[Nomina]]</f>
        <v>224185.13793103449</v>
      </c>
      <c r="L284" s="152">
        <f>+VLOOKUP(Opex_VE[[#This Row],[Fecha]],Opex!$B:$Y,OPEX_SALES!L$1,1)</f>
        <v>56896.551724137928</v>
      </c>
      <c r="M284" s="153">
        <f>+SUM(Opex_VE[[#This Row],[Internet]:[Electricidad]])</f>
        <v>27288.586206896551</v>
      </c>
      <c r="N284" s="152">
        <f>+VLOOKUP(Opex_VE[[#This Row],[Fecha]],Opex!$B:$Y,OPEX_SALES!N$1,1)</f>
        <v>3620.6896551724139</v>
      </c>
      <c r="O284" s="152">
        <f>+VLOOKUP(Opex_VE[[#This Row],[Fecha]],Opex!$B:$Y,OPEX_SALES!O$1,1)</f>
        <v>8528.2413793103442</v>
      </c>
      <c r="P284" s="152">
        <f>+VLOOKUP(Opex_VE[[#This Row],[Fecha]],Opex!$B:$Y,OPEX_SALES!P$1,1)</f>
        <v>4137.9310344827591</v>
      </c>
      <c r="Q284" s="152">
        <f>+VLOOKUP(Opex_VE[[#This Row],[Fecha]],Opex!$B:$Y,OPEX_SALES!Q$1,1)</f>
        <v>11001.724137931034</v>
      </c>
      <c r="R284" s="153">
        <f>+SUM(Opex_VE[[#This Row],[Cajero]:[Domiciliario]])</f>
        <v>140000</v>
      </c>
      <c r="S284" s="152">
        <v>70000</v>
      </c>
      <c r="T284" s="152">
        <v>70000</v>
      </c>
      <c r="U284" s="152">
        <v>0</v>
      </c>
      <c r="V284"/>
    </row>
    <row r="285" spans="1:22" x14ac:dyDescent="0.2">
      <c r="A285" s="149">
        <v>46348</v>
      </c>
      <c r="B285" s="3">
        <f t="shared" si="9"/>
        <v>39</v>
      </c>
      <c r="C285" s="3" t="str">
        <f>+TEXT(Opex_VE[[#This Row],[Fecha]],"ddd")</f>
        <v>dom</v>
      </c>
      <c r="E285" s="14" t="s">
        <v>145</v>
      </c>
      <c r="F285" s="168">
        <f>IFERROR(VLOOKUP(Opex_VE[[#This Row],[Fecha]],Historia!A:B,2,0),_xlfn.XLOOKUP(Opex_VE[[#This Row],[dia]],Forecast!I:I,Forecast!J:J))</f>
        <v>168750</v>
      </c>
      <c r="G285" s="168">
        <f>IFERROR(VLOOKUP(Opex_VE[[#This Row],[Fecha]],Historia!A:C,3,0),_xlfn.XLOOKUP(Opex_VE[[#This Row],[dia]],Forecast!I:I,Forecast!K:K))</f>
        <v>67500</v>
      </c>
      <c r="H285" s="182">
        <f>+Opex_VE[[#This Row],[MG]]-Opex_VE[[#This Row],[Opex]]</f>
        <v>-156685.13793103449</v>
      </c>
      <c r="I285" s="168" t="str">
        <f>IFERROR(VLOOKUP(Opex_VE[[#This Row],[Fecha]],Historia!A:D,4,0),"Forecast")</f>
        <v>Forecast</v>
      </c>
      <c r="J285" s="157">
        <f t="shared" si="8"/>
        <v>560462.8448275862</v>
      </c>
      <c r="K285" s="151">
        <f>+Opex_VE[[#This Row],[Arriendo]]+Opex_VE[[#This Row],[Servicios publicos]]+Opex_VE[[#This Row],[Nomina]]</f>
        <v>224185.13793103449</v>
      </c>
      <c r="L285" s="152">
        <f>+VLOOKUP(Opex_VE[[#This Row],[Fecha]],Opex!$B:$Y,OPEX_SALES!L$1,1)</f>
        <v>56896.551724137928</v>
      </c>
      <c r="M285" s="153">
        <f>+SUM(Opex_VE[[#This Row],[Internet]:[Electricidad]])</f>
        <v>27288.586206896551</v>
      </c>
      <c r="N285" s="152">
        <f>+VLOOKUP(Opex_VE[[#This Row],[Fecha]],Opex!$B:$Y,OPEX_SALES!N$1,1)</f>
        <v>3620.6896551724139</v>
      </c>
      <c r="O285" s="152">
        <f>+VLOOKUP(Opex_VE[[#This Row],[Fecha]],Opex!$B:$Y,OPEX_SALES!O$1,1)</f>
        <v>8528.2413793103442</v>
      </c>
      <c r="P285" s="152">
        <f>+VLOOKUP(Opex_VE[[#This Row],[Fecha]],Opex!$B:$Y,OPEX_SALES!P$1,1)</f>
        <v>4137.9310344827591</v>
      </c>
      <c r="Q285" s="152">
        <f>+VLOOKUP(Opex_VE[[#This Row],[Fecha]],Opex!$B:$Y,OPEX_SALES!Q$1,1)</f>
        <v>11001.724137931034</v>
      </c>
      <c r="R285" s="153">
        <f>+SUM(Opex_VE[[#This Row],[Cajero]:[Domiciliario]])</f>
        <v>140000</v>
      </c>
      <c r="S285" s="152">
        <v>70000</v>
      </c>
      <c r="T285" s="152">
        <v>70000</v>
      </c>
      <c r="U285" s="152">
        <v>0</v>
      </c>
      <c r="V285"/>
    </row>
    <row r="286" spans="1:22" x14ac:dyDescent="0.2">
      <c r="A286" s="149">
        <v>46349</v>
      </c>
      <c r="B286" s="3">
        <f t="shared" si="9"/>
        <v>40</v>
      </c>
      <c r="C286" s="3" t="str">
        <f>+TEXT(Opex_VE[[#This Row],[Fecha]],"ddd")</f>
        <v>lun</v>
      </c>
      <c r="E286" s="14" t="s">
        <v>112</v>
      </c>
      <c r="F286" s="168">
        <f>IFERROR(VLOOKUP(Opex_VE[[#This Row],[Fecha]],Historia!A:B,2,0),_xlfn.XLOOKUP(Opex_VE[[#This Row],[dia]],Forecast!I:I,Forecast!J:J))</f>
        <v>164375</v>
      </c>
      <c r="G286" s="168">
        <f>IFERROR(VLOOKUP(Opex_VE[[#This Row],[Fecha]],Historia!A:C,3,0),_xlfn.XLOOKUP(Opex_VE[[#This Row],[dia]],Forecast!I:I,Forecast!K:K))</f>
        <v>65750</v>
      </c>
      <c r="H286" s="182">
        <f>+Opex_VE[[#This Row],[MG]]-Opex_VE[[#This Row],[Opex]]</f>
        <v>-158435.13793103449</v>
      </c>
      <c r="I286" s="168" t="str">
        <f>IFERROR(VLOOKUP(Opex_VE[[#This Row],[Fecha]],Historia!A:D,4,0),"Forecast")</f>
        <v>Forecast</v>
      </c>
      <c r="J286" s="157">
        <f t="shared" si="8"/>
        <v>560462.8448275862</v>
      </c>
      <c r="K286" s="151">
        <f>+Opex_VE[[#This Row],[Arriendo]]+Opex_VE[[#This Row],[Servicios publicos]]+Opex_VE[[#This Row],[Nomina]]</f>
        <v>224185.13793103449</v>
      </c>
      <c r="L286" s="152">
        <f>+VLOOKUP(Opex_VE[[#This Row],[Fecha]],Opex!$B:$Y,OPEX_SALES!L$1,1)</f>
        <v>56896.551724137928</v>
      </c>
      <c r="M286" s="153">
        <f>+SUM(Opex_VE[[#This Row],[Internet]:[Electricidad]])</f>
        <v>27288.586206896551</v>
      </c>
      <c r="N286" s="152">
        <f>+VLOOKUP(Opex_VE[[#This Row],[Fecha]],Opex!$B:$Y,OPEX_SALES!N$1,1)</f>
        <v>3620.6896551724139</v>
      </c>
      <c r="O286" s="152">
        <f>+VLOOKUP(Opex_VE[[#This Row],[Fecha]],Opex!$B:$Y,OPEX_SALES!O$1,1)</f>
        <v>8528.2413793103442</v>
      </c>
      <c r="P286" s="152">
        <f>+VLOOKUP(Opex_VE[[#This Row],[Fecha]],Opex!$B:$Y,OPEX_SALES!P$1,1)</f>
        <v>4137.9310344827591</v>
      </c>
      <c r="Q286" s="152">
        <f>+VLOOKUP(Opex_VE[[#This Row],[Fecha]],Opex!$B:$Y,OPEX_SALES!Q$1,1)</f>
        <v>11001.724137931034</v>
      </c>
      <c r="R286" s="153">
        <f>+SUM(Opex_VE[[#This Row],[Cajero]:[Domiciliario]])</f>
        <v>140000</v>
      </c>
      <c r="S286" s="152">
        <v>70000</v>
      </c>
      <c r="T286" s="152">
        <v>70000</v>
      </c>
      <c r="U286" s="152">
        <v>0</v>
      </c>
      <c r="V286"/>
    </row>
    <row r="287" spans="1:22" x14ac:dyDescent="0.2">
      <c r="A287" s="149">
        <v>46350</v>
      </c>
      <c r="B287" s="3">
        <f t="shared" si="9"/>
        <v>40</v>
      </c>
      <c r="C287" s="3" t="str">
        <f>+TEXT(Opex_VE[[#This Row],[Fecha]],"ddd")</f>
        <v>mar</v>
      </c>
      <c r="E287" s="14" t="s">
        <v>112</v>
      </c>
      <c r="F287" s="168">
        <f>IFERROR(VLOOKUP(Opex_VE[[#This Row],[Fecha]],Historia!A:B,2,0),_xlfn.XLOOKUP(Opex_VE[[#This Row],[dia]],Forecast!I:I,Forecast!J:J))</f>
        <v>199625</v>
      </c>
      <c r="G287" s="168">
        <f>IFERROR(VLOOKUP(Opex_VE[[#This Row],[Fecha]],Historia!A:C,3,0),_xlfn.XLOOKUP(Opex_VE[[#This Row],[dia]],Forecast!I:I,Forecast!K:K))</f>
        <v>79850</v>
      </c>
      <c r="H287" s="182">
        <f>+Opex_VE[[#This Row],[MG]]-Opex_VE[[#This Row],[Opex]]</f>
        <v>-144335.13793103449</v>
      </c>
      <c r="I287" s="168" t="str">
        <f>IFERROR(VLOOKUP(Opex_VE[[#This Row],[Fecha]],Historia!A:D,4,0),"Forecast")</f>
        <v>Forecast</v>
      </c>
      <c r="J287" s="157">
        <f t="shared" si="8"/>
        <v>560462.8448275862</v>
      </c>
      <c r="K287" s="151">
        <f>+Opex_VE[[#This Row],[Arriendo]]+Opex_VE[[#This Row],[Servicios publicos]]+Opex_VE[[#This Row],[Nomina]]</f>
        <v>224185.13793103449</v>
      </c>
      <c r="L287" s="152">
        <f>+VLOOKUP(Opex_VE[[#This Row],[Fecha]],Opex!$B:$Y,OPEX_SALES!L$1,1)</f>
        <v>56896.551724137928</v>
      </c>
      <c r="M287" s="153">
        <f>+SUM(Opex_VE[[#This Row],[Internet]:[Electricidad]])</f>
        <v>27288.586206896551</v>
      </c>
      <c r="N287" s="152">
        <f>+VLOOKUP(Opex_VE[[#This Row],[Fecha]],Opex!$B:$Y,OPEX_SALES!N$1,1)</f>
        <v>3620.6896551724139</v>
      </c>
      <c r="O287" s="152">
        <f>+VLOOKUP(Opex_VE[[#This Row],[Fecha]],Opex!$B:$Y,OPEX_SALES!O$1,1)</f>
        <v>8528.2413793103442</v>
      </c>
      <c r="P287" s="152">
        <f>+VLOOKUP(Opex_VE[[#This Row],[Fecha]],Opex!$B:$Y,OPEX_SALES!P$1,1)</f>
        <v>4137.9310344827591</v>
      </c>
      <c r="Q287" s="152">
        <f>+VLOOKUP(Opex_VE[[#This Row],[Fecha]],Opex!$B:$Y,OPEX_SALES!Q$1,1)</f>
        <v>11001.724137931034</v>
      </c>
      <c r="R287" s="153">
        <f>+SUM(Opex_VE[[#This Row],[Cajero]:[Domiciliario]])</f>
        <v>140000</v>
      </c>
      <c r="S287" s="152">
        <v>70000</v>
      </c>
      <c r="T287" s="152">
        <v>70000</v>
      </c>
      <c r="U287" s="152">
        <v>0</v>
      </c>
      <c r="V287"/>
    </row>
    <row r="288" spans="1:22" x14ac:dyDescent="0.2">
      <c r="A288" s="149">
        <v>46351</v>
      </c>
      <c r="B288" s="3">
        <f t="shared" si="9"/>
        <v>40</v>
      </c>
      <c r="C288" s="3" t="str">
        <f>+TEXT(Opex_VE[[#This Row],[Fecha]],"ddd")</f>
        <v>mié</v>
      </c>
      <c r="E288" s="14" t="s">
        <v>112</v>
      </c>
      <c r="F288" s="168">
        <f>IFERROR(VLOOKUP(Opex_VE[[#This Row],[Fecha]],Historia!A:B,2,0),_xlfn.XLOOKUP(Opex_VE[[#This Row],[dia]],Forecast!I:I,Forecast!J:J))</f>
        <v>339250</v>
      </c>
      <c r="G288" s="168">
        <f>IFERROR(VLOOKUP(Opex_VE[[#This Row],[Fecha]],Historia!A:C,3,0),_xlfn.XLOOKUP(Opex_VE[[#This Row],[dia]],Forecast!I:I,Forecast!K:K))</f>
        <v>135700</v>
      </c>
      <c r="H288" s="182">
        <f>+Opex_VE[[#This Row],[MG]]-Opex_VE[[#This Row],[Opex]]</f>
        <v>-88485.137931034493</v>
      </c>
      <c r="I288" s="168" t="str">
        <f>IFERROR(VLOOKUP(Opex_VE[[#This Row],[Fecha]],Historia!A:D,4,0),"Forecast")</f>
        <v>Forecast</v>
      </c>
      <c r="J288" s="157">
        <f t="shared" si="8"/>
        <v>560462.8448275862</v>
      </c>
      <c r="K288" s="151">
        <f>+Opex_VE[[#This Row],[Arriendo]]+Opex_VE[[#This Row],[Servicios publicos]]+Opex_VE[[#This Row],[Nomina]]</f>
        <v>224185.13793103449</v>
      </c>
      <c r="L288" s="152">
        <f>+VLOOKUP(Opex_VE[[#This Row],[Fecha]],Opex!$B:$Y,OPEX_SALES!L$1,1)</f>
        <v>56896.551724137928</v>
      </c>
      <c r="M288" s="153">
        <f>+SUM(Opex_VE[[#This Row],[Internet]:[Electricidad]])</f>
        <v>27288.586206896551</v>
      </c>
      <c r="N288" s="152">
        <f>+VLOOKUP(Opex_VE[[#This Row],[Fecha]],Opex!$B:$Y,OPEX_SALES!N$1,1)</f>
        <v>3620.6896551724139</v>
      </c>
      <c r="O288" s="152">
        <f>+VLOOKUP(Opex_VE[[#This Row],[Fecha]],Opex!$B:$Y,OPEX_SALES!O$1,1)</f>
        <v>8528.2413793103442</v>
      </c>
      <c r="P288" s="152">
        <f>+VLOOKUP(Opex_VE[[#This Row],[Fecha]],Opex!$B:$Y,OPEX_SALES!P$1,1)</f>
        <v>4137.9310344827591</v>
      </c>
      <c r="Q288" s="152">
        <f>+VLOOKUP(Opex_VE[[#This Row],[Fecha]],Opex!$B:$Y,OPEX_SALES!Q$1,1)</f>
        <v>11001.724137931034</v>
      </c>
      <c r="R288" s="153">
        <f>+SUM(Opex_VE[[#This Row],[Cajero]:[Domiciliario]])</f>
        <v>140000</v>
      </c>
      <c r="S288" s="152">
        <v>70000</v>
      </c>
      <c r="T288" s="152">
        <v>70000</v>
      </c>
      <c r="U288" s="152">
        <v>0</v>
      </c>
      <c r="V288"/>
    </row>
    <row r="289" spans="1:22" x14ac:dyDescent="0.2">
      <c r="A289" s="149">
        <v>46352</v>
      </c>
      <c r="B289" s="3">
        <f t="shared" si="9"/>
        <v>40</v>
      </c>
      <c r="C289" s="3" t="str">
        <f>+TEXT(Opex_VE[[#This Row],[Fecha]],"ddd")</f>
        <v>jue</v>
      </c>
      <c r="E289" s="14" t="s">
        <v>112</v>
      </c>
      <c r="F289" s="168">
        <f>IFERROR(VLOOKUP(Opex_VE[[#This Row],[Fecha]],Historia!A:B,2,0),_xlfn.XLOOKUP(Opex_VE[[#This Row],[dia]],Forecast!I:I,Forecast!J:J))</f>
        <v>274975</v>
      </c>
      <c r="G289" s="168">
        <f>IFERROR(VLOOKUP(Opex_VE[[#This Row],[Fecha]],Historia!A:C,3,0),_xlfn.XLOOKUP(Opex_VE[[#This Row],[dia]],Forecast!I:I,Forecast!K:K))</f>
        <v>109990</v>
      </c>
      <c r="H289" s="182">
        <f>+Opex_VE[[#This Row],[MG]]-Opex_VE[[#This Row],[Opex]]</f>
        <v>-114195.13793103449</v>
      </c>
      <c r="I289" s="168" t="str">
        <f>IFERROR(VLOOKUP(Opex_VE[[#This Row],[Fecha]],Historia!A:D,4,0),"Forecast")</f>
        <v>Forecast</v>
      </c>
      <c r="J289" s="157">
        <f t="shared" si="8"/>
        <v>560462.8448275862</v>
      </c>
      <c r="K289" s="151">
        <f>+Opex_VE[[#This Row],[Arriendo]]+Opex_VE[[#This Row],[Servicios publicos]]+Opex_VE[[#This Row],[Nomina]]</f>
        <v>224185.13793103449</v>
      </c>
      <c r="L289" s="152">
        <f>+VLOOKUP(Opex_VE[[#This Row],[Fecha]],Opex!$B:$Y,OPEX_SALES!L$1,1)</f>
        <v>56896.551724137928</v>
      </c>
      <c r="M289" s="153">
        <f>+SUM(Opex_VE[[#This Row],[Internet]:[Electricidad]])</f>
        <v>27288.586206896551</v>
      </c>
      <c r="N289" s="152">
        <f>+VLOOKUP(Opex_VE[[#This Row],[Fecha]],Opex!$B:$Y,OPEX_SALES!N$1,1)</f>
        <v>3620.6896551724139</v>
      </c>
      <c r="O289" s="152">
        <f>+VLOOKUP(Opex_VE[[#This Row],[Fecha]],Opex!$B:$Y,OPEX_SALES!O$1,1)</f>
        <v>8528.2413793103442</v>
      </c>
      <c r="P289" s="152">
        <f>+VLOOKUP(Opex_VE[[#This Row],[Fecha]],Opex!$B:$Y,OPEX_SALES!P$1,1)</f>
        <v>4137.9310344827591</v>
      </c>
      <c r="Q289" s="152">
        <f>+VLOOKUP(Opex_VE[[#This Row],[Fecha]],Opex!$B:$Y,OPEX_SALES!Q$1,1)</f>
        <v>11001.724137931034</v>
      </c>
      <c r="R289" s="153">
        <f>+SUM(Opex_VE[[#This Row],[Cajero]:[Domiciliario]])</f>
        <v>140000</v>
      </c>
      <c r="S289" s="152">
        <v>70000</v>
      </c>
      <c r="T289" s="152">
        <v>70000</v>
      </c>
      <c r="U289" s="152">
        <v>0</v>
      </c>
      <c r="V289"/>
    </row>
    <row r="290" spans="1:22" x14ac:dyDescent="0.2">
      <c r="A290" s="149">
        <v>46353</v>
      </c>
      <c r="B290" s="3">
        <f t="shared" si="9"/>
        <v>40</v>
      </c>
      <c r="C290" s="3" t="str">
        <f>+TEXT(Opex_VE[[#This Row],[Fecha]],"ddd")</f>
        <v>vie</v>
      </c>
      <c r="E290" s="14" t="s">
        <v>217</v>
      </c>
      <c r="F290" s="168">
        <f>IFERROR(VLOOKUP(Opex_VE[[#This Row],[Fecha]],Historia!A:B,2,0),_xlfn.XLOOKUP(Opex_VE[[#This Row],[dia]],Forecast!I:I,Forecast!J:J))</f>
        <v>184566.66666666666</v>
      </c>
      <c r="G290" s="168">
        <f>IFERROR(VLOOKUP(Opex_VE[[#This Row],[Fecha]],Historia!A:C,3,0),_xlfn.XLOOKUP(Opex_VE[[#This Row],[dia]],Forecast!I:I,Forecast!K:K))</f>
        <v>73826.666666666672</v>
      </c>
      <c r="H290" s="182">
        <f>+Opex_VE[[#This Row],[MG]]-Opex_VE[[#This Row],[Opex]]</f>
        <v>-150358.47126436781</v>
      </c>
      <c r="I290" s="168" t="str">
        <f>IFERROR(VLOOKUP(Opex_VE[[#This Row],[Fecha]],Historia!A:D,4,0),"Forecast")</f>
        <v>Forecast</v>
      </c>
      <c r="J290" s="157">
        <f t="shared" si="8"/>
        <v>560462.8448275862</v>
      </c>
      <c r="K290" s="151">
        <f>+Opex_VE[[#This Row],[Arriendo]]+Opex_VE[[#This Row],[Servicios publicos]]+Opex_VE[[#This Row],[Nomina]]</f>
        <v>224185.13793103449</v>
      </c>
      <c r="L290" s="152">
        <f>+VLOOKUP(Opex_VE[[#This Row],[Fecha]],Opex!$B:$Y,OPEX_SALES!L$1,1)</f>
        <v>56896.551724137928</v>
      </c>
      <c r="M290" s="153">
        <f>+SUM(Opex_VE[[#This Row],[Internet]:[Electricidad]])</f>
        <v>27288.586206896551</v>
      </c>
      <c r="N290" s="152">
        <f>+VLOOKUP(Opex_VE[[#This Row],[Fecha]],Opex!$B:$Y,OPEX_SALES!N$1,1)</f>
        <v>3620.6896551724139</v>
      </c>
      <c r="O290" s="152">
        <f>+VLOOKUP(Opex_VE[[#This Row],[Fecha]],Opex!$B:$Y,OPEX_SALES!O$1,1)</f>
        <v>8528.2413793103442</v>
      </c>
      <c r="P290" s="152">
        <f>+VLOOKUP(Opex_VE[[#This Row],[Fecha]],Opex!$B:$Y,OPEX_SALES!P$1,1)</f>
        <v>4137.9310344827591</v>
      </c>
      <c r="Q290" s="152">
        <f>+VLOOKUP(Opex_VE[[#This Row],[Fecha]],Opex!$B:$Y,OPEX_SALES!Q$1,1)</f>
        <v>11001.724137931034</v>
      </c>
      <c r="R290" s="153">
        <f>+SUM(Opex_VE[[#This Row],[Cajero]:[Domiciliario]])</f>
        <v>140000</v>
      </c>
      <c r="S290" s="152">
        <v>70000</v>
      </c>
      <c r="T290" s="152">
        <v>70000</v>
      </c>
      <c r="U290" s="152">
        <v>0</v>
      </c>
      <c r="V290"/>
    </row>
    <row r="291" spans="1:22" x14ac:dyDescent="0.2">
      <c r="A291" s="149">
        <v>46354</v>
      </c>
      <c r="B291" s="3">
        <f t="shared" si="9"/>
        <v>40</v>
      </c>
      <c r="C291" s="3" t="str">
        <f>+TEXT(Opex_VE[[#This Row],[Fecha]],"ddd")</f>
        <v>sáb</v>
      </c>
      <c r="E291" s="14" t="s">
        <v>113</v>
      </c>
      <c r="F291" s="168">
        <f>IFERROR(VLOOKUP(Opex_VE[[#This Row],[Fecha]],Historia!A:B,2,0),_xlfn.XLOOKUP(Opex_VE[[#This Row],[dia]],Forecast!I:I,Forecast!J:J))</f>
        <v>398333.33333333331</v>
      </c>
      <c r="G291" s="168">
        <f>IFERROR(VLOOKUP(Opex_VE[[#This Row],[Fecha]],Historia!A:C,3,0),_xlfn.XLOOKUP(Opex_VE[[#This Row],[dia]],Forecast!I:I,Forecast!K:K))</f>
        <v>159333.33333333334</v>
      </c>
      <c r="H291" s="182">
        <f>+Opex_VE[[#This Row],[MG]]-Opex_VE[[#This Row],[Opex]]</f>
        <v>-64851.80459770115</v>
      </c>
      <c r="I291" s="169" t="str">
        <f>IFERROR(VLOOKUP(Opex_VE[[#This Row],[Fecha]],Historia!A:D,4,0),"Forecast")</f>
        <v>Forecast</v>
      </c>
      <c r="J291" s="157">
        <f t="shared" si="8"/>
        <v>560462.8448275862</v>
      </c>
      <c r="K291" s="151">
        <f>+Opex_VE[[#This Row],[Arriendo]]+Opex_VE[[#This Row],[Servicios publicos]]+Opex_VE[[#This Row],[Nomina]]</f>
        <v>224185.13793103449</v>
      </c>
      <c r="L291" s="152">
        <f>+VLOOKUP(Opex_VE[[#This Row],[Fecha]],Opex!$B:$Y,OPEX_SALES!L$1,1)</f>
        <v>56896.551724137928</v>
      </c>
      <c r="M291" s="153">
        <f>+SUM(Opex_VE[[#This Row],[Internet]:[Electricidad]])</f>
        <v>27288.586206896551</v>
      </c>
      <c r="N291" s="152">
        <f>+VLOOKUP(Opex_VE[[#This Row],[Fecha]],Opex!$B:$Y,OPEX_SALES!N$1,1)</f>
        <v>3620.6896551724139</v>
      </c>
      <c r="O291" s="152">
        <f>+VLOOKUP(Opex_VE[[#This Row],[Fecha]],Opex!$B:$Y,OPEX_SALES!O$1,1)</f>
        <v>8528.2413793103442</v>
      </c>
      <c r="P291" s="152">
        <f>+VLOOKUP(Opex_VE[[#This Row],[Fecha]],Opex!$B:$Y,OPEX_SALES!P$1,1)</f>
        <v>4137.9310344827591</v>
      </c>
      <c r="Q291" s="152">
        <f>+VLOOKUP(Opex_VE[[#This Row],[Fecha]],Opex!$B:$Y,OPEX_SALES!Q$1,1)</f>
        <v>11001.724137931034</v>
      </c>
      <c r="R291" s="153">
        <f>+SUM(Opex_VE[[#This Row],[Cajero]:[Domiciliario]])</f>
        <v>140000</v>
      </c>
      <c r="S291" s="152">
        <v>70000</v>
      </c>
      <c r="T291" s="152">
        <v>70000</v>
      </c>
      <c r="U291" s="152">
        <v>0</v>
      </c>
      <c r="V291"/>
    </row>
    <row r="292" spans="1:22" x14ac:dyDescent="0.2">
      <c r="A292" s="149">
        <v>46355</v>
      </c>
      <c r="B292" s="3">
        <f t="shared" si="9"/>
        <v>40</v>
      </c>
      <c r="C292" s="3" t="str">
        <f>+TEXT(Opex_VE[[#This Row],[Fecha]],"ddd")</f>
        <v>dom</v>
      </c>
      <c r="E292" s="14" t="s">
        <v>145</v>
      </c>
      <c r="F292" s="168">
        <f>IFERROR(VLOOKUP(Opex_VE[[#This Row],[Fecha]],Historia!A:B,2,0),_xlfn.XLOOKUP(Opex_VE[[#This Row],[dia]],Forecast!I:I,Forecast!J:J))</f>
        <v>168750</v>
      </c>
      <c r="G292" s="168">
        <f>IFERROR(VLOOKUP(Opex_VE[[#This Row],[Fecha]],Historia!A:C,3,0),_xlfn.XLOOKUP(Opex_VE[[#This Row],[dia]],Forecast!I:I,Forecast!K:K))</f>
        <v>67500</v>
      </c>
      <c r="H292" s="182">
        <f>+Opex_VE[[#This Row],[MG]]-Opex_VE[[#This Row],[Opex]]</f>
        <v>-156685.13793103449</v>
      </c>
      <c r="I292" s="168" t="str">
        <f>IFERROR(VLOOKUP(Opex_VE[[#This Row],[Fecha]],Historia!A:D,4,0),"Forecast")</f>
        <v>Forecast</v>
      </c>
      <c r="J292" s="157">
        <f t="shared" si="8"/>
        <v>560462.8448275862</v>
      </c>
      <c r="K292" s="151">
        <f>+Opex_VE[[#This Row],[Arriendo]]+Opex_VE[[#This Row],[Servicios publicos]]+Opex_VE[[#This Row],[Nomina]]</f>
        <v>224185.13793103449</v>
      </c>
      <c r="L292" s="152">
        <f>+VLOOKUP(Opex_VE[[#This Row],[Fecha]],Opex!$B:$Y,OPEX_SALES!L$1,1)</f>
        <v>56896.551724137928</v>
      </c>
      <c r="M292" s="153">
        <f>+SUM(Opex_VE[[#This Row],[Internet]:[Electricidad]])</f>
        <v>27288.586206896551</v>
      </c>
      <c r="N292" s="152">
        <f>+VLOOKUP(Opex_VE[[#This Row],[Fecha]],Opex!$B:$Y,OPEX_SALES!N$1,1)</f>
        <v>3620.6896551724139</v>
      </c>
      <c r="O292" s="152">
        <f>+VLOOKUP(Opex_VE[[#This Row],[Fecha]],Opex!$B:$Y,OPEX_SALES!O$1,1)</f>
        <v>8528.2413793103442</v>
      </c>
      <c r="P292" s="152">
        <f>+VLOOKUP(Opex_VE[[#This Row],[Fecha]],Opex!$B:$Y,OPEX_SALES!P$1,1)</f>
        <v>4137.9310344827591</v>
      </c>
      <c r="Q292" s="152">
        <f>+VLOOKUP(Opex_VE[[#This Row],[Fecha]],Opex!$B:$Y,OPEX_SALES!Q$1,1)</f>
        <v>11001.724137931034</v>
      </c>
      <c r="R292" s="153">
        <f>+SUM(Opex_VE[[#This Row],[Cajero]:[Domiciliario]])</f>
        <v>140000</v>
      </c>
      <c r="S292" s="152">
        <v>70000</v>
      </c>
      <c r="T292" s="152">
        <v>70000</v>
      </c>
      <c r="U292" s="152">
        <v>0</v>
      </c>
      <c r="V292"/>
    </row>
    <row r="293" spans="1:22" x14ac:dyDescent="0.2">
      <c r="A293" s="149">
        <v>46356</v>
      </c>
      <c r="B293" s="3">
        <f t="shared" si="9"/>
        <v>41</v>
      </c>
      <c r="C293" s="3" t="str">
        <f>+TEXT(Opex_VE[[#This Row],[Fecha]],"ddd")</f>
        <v>lun</v>
      </c>
      <c r="E293" s="14" t="s">
        <v>112</v>
      </c>
      <c r="F293" s="168">
        <f>IFERROR(VLOOKUP(Opex_VE[[#This Row],[Fecha]],Historia!A:B,2,0),_xlfn.XLOOKUP(Opex_VE[[#This Row],[dia]],Forecast!I:I,Forecast!J:J))</f>
        <v>164375</v>
      </c>
      <c r="G293" s="168">
        <f>IFERROR(VLOOKUP(Opex_VE[[#This Row],[Fecha]],Historia!A:C,3,0),_xlfn.XLOOKUP(Opex_VE[[#This Row],[dia]],Forecast!I:I,Forecast!K:K))</f>
        <v>65750</v>
      </c>
      <c r="H293" s="182">
        <f>+Opex_VE[[#This Row],[MG]]-Opex_VE[[#This Row],[Opex]]</f>
        <v>-158435.13793103449</v>
      </c>
      <c r="I293" s="168" t="str">
        <f>IFERROR(VLOOKUP(Opex_VE[[#This Row],[Fecha]],Historia!A:D,4,0),"Forecast")</f>
        <v>Forecast</v>
      </c>
      <c r="J293" s="157">
        <f t="shared" si="8"/>
        <v>560462.8448275862</v>
      </c>
      <c r="K293" s="151">
        <f>+Opex_VE[[#This Row],[Arriendo]]+Opex_VE[[#This Row],[Servicios publicos]]+Opex_VE[[#This Row],[Nomina]]</f>
        <v>224185.13793103449</v>
      </c>
      <c r="L293" s="152">
        <f>+VLOOKUP(Opex_VE[[#This Row],[Fecha]],Opex!$B:$Y,OPEX_SALES!L$1,1)</f>
        <v>56896.551724137928</v>
      </c>
      <c r="M293" s="153">
        <f>+SUM(Opex_VE[[#This Row],[Internet]:[Electricidad]])</f>
        <v>27288.586206896551</v>
      </c>
      <c r="N293" s="152">
        <f>+VLOOKUP(Opex_VE[[#This Row],[Fecha]],Opex!$B:$Y,OPEX_SALES!N$1,1)</f>
        <v>3620.6896551724139</v>
      </c>
      <c r="O293" s="152">
        <f>+VLOOKUP(Opex_VE[[#This Row],[Fecha]],Opex!$B:$Y,OPEX_SALES!O$1,1)</f>
        <v>8528.2413793103442</v>
      </c>
      <c r="P293" s="152">
        <f>+VLOOKUP(Opex_VE[[#This Row],[Fecha]],Opex!$B:$Y,OPEX_SALES!P$1,1)</f>
        <v>4137.9310344827591</v>
      </c>
      <c r="Q293" s="152">
        <f>+VLOOKUP(Opex_VE[[#This Row],[Fecha]],Opex!$B:$Y,OPEX_SALES!Q$1,1)</f>
        <v>11001.724137931034</v>
      </c>
      <c r="R293" s="153">
        <f>+SUM(Opex_VE[[#This Row],[Cajero]:[Domiciliario]])</f>
        <v>140000</v>
      </c>
      <c r="S293" s="152">
        <v>70000</v>
      </c>
      <c r="T293" s="152">
        <v>70000</v>
      </c>
      <c r="U293" s="152">
        <v>0</v>
      </c>
      <c r="V293"/>
    </row>
    <row r="294" spans="1:22" x14ac:dyDescent="0.2">
      <c r="A294" s="149">
        <v>46357</v>
      </c>
      <c r="B294" s="3">
        <f t="shared" si="9"/>
        <v>41</v>
      </c>
      <c r="C294" s="3" t="str">
        <f>+TEXT(Opex_VE[[#This Row],[Fecha]],"ddd")</f>
        <v>mar</v>
      </c>
      <c r="E294" s="14" t="s">
        <v>112</v>
      </c>
      <c r="F294" s="168">
        <f>IFERROR(VLOOKUP(Opex_VE[[#This Row],[Fecha]],Historia!A:B,2,0),_xlfn.XLOOKUP(Opex_VE[[#This Row],[dia]],Forecast!I:I,Forecast!J:J))</f>
        <v>199625</v>
      </c>
      <c r="G294" s="168">
        <f>IFERROR(VLOOKUP(Opex_VE[[#This Row],[Fecha]],Historia!A:C,3,0),_xlfn.XLOOKUP(Opex_VE[[#This Row],[dia]],Forecast!I:I,Forecast!K:K))</f>
        <v>79850</v>
      </c>
      <c r="H294" s="182">
        <f>+Opex_VE[[#This Row],[MG]]-Opex_VE[[#This Row],[Opex]]</f>
        <v>-144335.13793103449</v>
      </c>
      <c r="I294" s="168" t="str">
        <f>IFERROR(VLOOKUP(Opex_VE[[#This Row],[Fecha]],Historia!A:D,4,0),"Forecast")</f>
        <v>Forecast</v>
      </c>
      <c r="J294" s="157">
        <f t="shared" si="8"/>
        <v>560462.8448275862</v>
      </c>
      <c r="K294" s="151">
        <f>+Opex_VE[[#This Row],[Arriendo]]+Opex_VE[[#This Row],[Servicios publicos]]+Opex_VE[[#This Row],[Nomina]]</f>
        <v>224185.13793103449</v>
      </c>
      <c r="L294" s="152">
        <f>+VLOOKUP(Opex_VE[[#This Row],[Fecha]],Opex!$B:$Y,OPEX_SALES!L$1,1)</f>
        <v>56896.551724137928</v>
      </c>
      <c r="M294" s="153">
        <f>+SUM(Opex_VE[[#This Row],[Internet]:[Electricidad]])</f>
        <v>27288.586206896551</v>
      </c>
      <c r="N294" s="152">
        <f>+VLOOKUP(Opex_VE[[#This Row],[Fecha]],Opex!$B:$Y,OPEX_SALES!N$1,1)</f>
        <v>3620.6896551724139</v>
      </c>
      <c r="O294" s="152">
        <f>+VLOOKUP(Opex_VE[[#This Row],[Fecha]],Opex!$B:$Y,OPEX_SALES!O$1,1)</f>
        <v>8528.2413793103442</v>
      </c>
      <c r="P294" s="152">
        <f>+VLOOKUP(Opex_VE[[#This Row],[Fecha]],Opex!$B:$Y,OPEX_SALES!P$1,1)</f>
        <v>4137.9310344827591</v>
      </c>
      <c r="Q294" s="152">
        <f>+VLOOKUP(Opex_VE[[#This Row],[Fecha]],Opex!$B:$Y,OPEX_SALES!Q$1,1)</f>
        <v>11001.724137931034</v>
      </c>
      <c r="R294" s="153">
        <f>+SUM(Opex_VE[[#This Row],[Cajero]:[Domiciliario]])</f>
        <v>140000</v>
      </c>
      <c r="S294" s="152">
        <v>70000</v>
      </c>
      <c r="T294" s="152">
        <v>70000</v>
      </c>
      <c r="U294" s="152">
        <v>0</v>
      </c>
      <c r="V294"/>
    </row>
    <row r="295" spans="1:22" x14ac:dyDescent="0.2">
      <c r="A295" s="149">
        <v>46358</v>
      </c>
      <c r="B295" s="3">
        <f t="shared" si="9"/>
        <v>41</v>
      </c>
      <c r="C295" s="3" t="str">
        <f>+TEXT(Opex_VE[[#This Row],[Fecha]],"ddd")</f>
        <v>mié</v>
      </c>
      <c r="E295" s="14" t="s">
        <v>112</v>
      </c>
      <c r="F295" s="168">
        <f>IFERROR(VLOOKUP(Opex_VE[[#This Row],[Fecha]],Historia!A:B,2,0),_xlfn.XLOOKUP(Opex_VE[[#This Row],[dia]],Forecast!I:I,Forecast!J:J))</f>
        <v>339250</v>
      </c>
      <c r="G295" s="168">
        <f>IFERROR(VLOOKUP(Opex_VE[[#This Row],[Fecha]],Historia!A:C,3,0),_xlfn.XLOOKUP(Opex_VE[[#This Row],[dia]],Forecast!I:I,Forecast!K:K))</f>
        <v>135700</v>
      </c>
      <c r="H295" s="182">
        <f>+Opex_VE[[#This Row],[MG]]-Opex_VE[[#This Row],[Opex]]</f>
        <v>-88485.137931034493</v>
      </c>
      <c r="I295" s="168" t="str">
        <f>IFERROR(VLOOKUP(Opex_VE[[#This Row],[Fecha]],Historia!A:D,4,0),"Forecast")</f>
        <v>Forecast</v>
      </c>
      <c r="J295" s="157">
        <f t="shared" si="8"/>
        <v>560462.8448275862</v>
      </c>
      <c r="K295" s="151">
        <f>+Opex_VE[[#This Row],[Arriendo]]+Opex_VE[[#This Row],[Servicios publicos]]+Opex_VE[[#This Row],[Nomina]]</f>
        <v>224185.13793103449</v>
      </c>
      <c r="L295" s="152">
        <f>+VLOOKUP(Opex_VE[[#This Row],[Fecha]],Opex!$B:$Y,OPEX_SALES!L$1,1)</f>
        <v>56896.551724137928</v>
      </c>
      <c r="M295" s="153">
        <f>+SUM(Opex_VE[[#This Row],[Internet]:[Electricidad]])</f>
        <v>27288.586206896551</v>
      </c>
      <c r="N295" s="152">
        <f>+VLOOKUP(Opex_VE[[#This Row],[Fecha]],Opex!$B:$Y,OPEX_SALES!N$1,1)</f>
        <v>3620.6896551724139</v>
      </c>
      <c r="O295" s="152">
        <f>+VLOOKUP(Opex_VE[[#This Row],[Fecha]],Opex!$B:$Y,OPEX_SALES!O$1,1)</f>
        <v>8528.2413793103442</v>
      </c>
      <c r="P295" s="152">
        <f>+VLOOKUP(Opex_VE[[#This Row],[Fecha]],Opex!$B:$Y,OPEX_SALES!P$1,1)</f>
        <v>4137.9310344827591</v>
      </c>
      <c r="Q295" s="152">
        <f>+VLOOKUP(Opex_VE[[#This Row],[Fecha]],Opex!$B:$Y,OPEX_SALES!Q$1,1)</f>
        <v>11001.724137931034</v>
      </c>
      <c r="R295" s="153">
        <f>+SUM(Opex_VE[[#This Row],[Cajero]:[Domiciliario]])</f>
        <v>140000</v>
      </c>
      <c r="S295" s="152">
        <v>70000</v>
      </c>
      <c r="T295" s="152">
        <v>70000</v>
      </c>
      <c r="U295" s="152">
        <v>0</v>
      </c>
      <c r="V295"/>
    </row>
    <row r="296" spans="1:22" x14ac:dyDescent="0.2">
      <c r="A296" s="149">
        <v>46359</v>
      </c>
      <c r="B296" s="3">
        <f t="shared" si="9"/>
        <v>41</v>
      </c>
      <c r="C296" s="3" t="str">
        <f>+TEXT(Opex_VE[[#This Row],[Fecha]],"ddd")</f>
        <v>jue</v>
      </c>
      <c r="E296" s="14" t="s">
        <v>112</v>
      </c>
      <c r="F296" s="168">
        <f>IFERROR(VLOOKUP(Opex_VE[[#This Row],[Fecha]],Historia!A:B,2,0),_xlfn.XLOOKUP(Opex_VE[[#This Row],[dia]],Forecast!I:I,Forecast!J:J))</f>
        <v>274975</v>
      </c>
      <c r="G296" s="168">
        <f>IFERROR(VLOOKUP(Opex_VE[[#This Row],[Fecha]],Historia!A:C,3,0),_xlfn.XLOOKUP(Opex_VE[[#This Row],[dia]],Forecast!I:I,Forecast!K:K))</f>
        <v>109990</v>
      </c>
      <c r="H296" s="182">
        <f>+Opex_VE[[#This Row],[MG]]-Opex_VE[[#This Row],[Opex]]</f>
        <v>-114195.13793103449</v>
      </c>
      <c r="I296" s="168" t="str">
        <f>IFERROR(VLOOKUP(Opex_VE[[#This Row],[Fecha]],Historia!A:D,4,0),"Forecast")</f>
        <v>Forecast</v>
      </c>
      <c r="J296" s="157">
        <f t="shared" si="8"/>
        <v>560462.8448275862</v>
      </c>
      <c r="K296" s="151">
        <f>+Opex_VE[[#This Row],[Arriendo]]+Opex_VE[[#This Row],[Servicios publicos]]+Opex_VE[[#This Row],[Nomina]]</f>
        <v>224185.13793103449</v>
      </c>
      <c r="L296" s="152">
        <f>+VLOOKUP(Opex_VE[[#This Row],[Fecha]],Opex!$B:$Y,OPEX_SALES!L$1,1)</f>
        <v>56896.551724137928</v>
      </c>
      <c r="M296" s="153">
        <f>+SUM(Opex_VE[[#This Row],[Internet]:[Electricidad]])</f>
        <v>27288.586206896551</v>
      </c>
      <c r="N296" s="152">
        <f>+VLOOKUP(Opex_VE[[#This Row],[Fecha]],Opex!$B:$Y,OPEX_SALES!N$1,1)</f>
        <v>3620.6896551724139</v>
      </c>
      <c r="O296" s="152">
        <f>+VLOOKUP(Opex_VE[[#This Row],[Fecha]],Opex!$B:$Y,OPEX_SALES!O$1,1)</f>
        <v>8528.2413793103442</v>
      </c>
      <c r="P296" s="152">
        <f>+VLOOKUP(Opex_VE[[#This Row],[Fecha]],Opex!$B:$Y,OPEX_SALES!P$1,1)</f>
        <v>4137.9310344827591</v>
      </c>
      <c r="Q296" s="152">
        <f>+VLOOKUP(Opex_VE[[#This Row],[Fecha]],Opex!$B:$Y,OPEX_SALES!Q$1,1)</f>
        <v>11001.724137931034</v>
      </c>
      <c r="R296" s="153">
        <f>+SUM(Opex_VE[[#This Row],[Cajero]:[Domiciliario]])</f>
        <v>140000</v>
      </c>
      <c r="S296" s="152">
        <v>70000</v>
      </c>
      <c r="T296" s="152">
        <v>70000</v>
      </c>
      <c r="U296" s="152">
        <v>0</v>
      </c>
      <c r="V296"/>
    </row>
    <row r="297" spans="1:22" x14ac:dyDescent="0.2">
      <c r="A297" s="149">
        <v>46360</v>
      </c>
      <c r="B297" s="3">
        <f t="shared" si="9"/>
        <v>41</v>
      </c>
      <c r="C297" s="3" t="str">
        <f>+TEXT(Opex_VE[[#This Row],[Fecha]],"ddd")</f>
        <v>vie</v>
      </c>
      <c r="E297" s="14" t="s">
        <v>217</v>
      </c>
      <c r="F297" s="168">
        <f>IFERROR(VLOOKUP(Opex_VE[[#This Row],[Fecha]],Historia!A:B,2,0),_xlfn.XLOOKUP(Opex_VE[[#This Row],[dia]],Forecast!I:I,Forecast!J:J))</f>
        <v>184566.66666666666</v>
      </c>
      <c r="G297" s="168">
        <f>IFERROR(VLOOKUP(Opex_VE[[#This Row],[Fecha]],Historia!A:C,3,0),_xlfn.XLOOKUP(Opex_VE[[#This Row],[dia]],Forecast!I:I,Forecast!K:K))</f>
        <v>73826.666666666672</v>
      </c>
      <c r="H297" s="182">
        <f>+Opex_VE[[#This Row],[MG]]-Opex_VE[[#This Row],[Opex]]</f>
        <v>-150358.47126436781</v>
      </c>
      <c r="I297" s="168" t="str">
        <f>IFERROR(VLOOKUP(Opex_VE[[#This Row],[Fecha]],Historia!A:D,4,0),"Forecast")</f>
        <v>Forecast</v>
      </c>
      <c r="J297" s="157">
        <f t="shared" si="8"/>
        <v>560462.8448275862</v>
      </c>
      <c r="K297" s="151">
        <f>+Opex_VE[[#This Row],[Arriendo]]+Opex_VE[[#This Row],[Servicios publicos]]+Opex_VE[[#This Row],[Nomina]]</f>
        <v>224185.13793103449</v>
      </c>
      <c r="L297" s="152">
        <f>+VLOOKUP(Opex_VE[[#This Row],[Fecha]],Opex!$B:$Y,OPEX_SALES!L$1,1)</f>
        <v>56896.551724137928</v>
      </c>
      <c r="M297" s="153">
        <f>+SUM(Opex_VE[[#This Row],[Internet]:[Electricidad]])</f>
        <v>27288.586206896551</v>
      </c>
      <c r="N297" s="152">
        <f>+VLOOKUP(Opex_VE[[#This Row],[Fecha]],Opex!$B:$Y,OPEX_SALES!N$1,1)</f>
        <v>3620.6896551724139</v>
      </c>
      <c r="O297" s="152">
        <f>+VLOOKUP(Opex_VE[[#This Row],[Fecha]],Opex!$B:$Y,OPEX_SALES!O$1,1)</f>
        <v>8528.2413793103442</v>
      </c>
      <c r="P297" s="152">
        <f>+VLOOKUP(Opex_VE[[#This Row],[Fecha]],Opex!$B:$Y,OPEX_SALES!P$1,1)</f>
        <v>4137.9310344827591</v>
      </c>
      <c r="Q297" s="152">
        <f>+VLOOKUP(Opex_VE[[#This Row],[Fecha]],Opex!$B:$Y,OPEX_SALES!Q$1,1)</f>
        <v>11001.724137931034</v>
      </c>
      <c r="R297" s="153">
        <f>+SUM(Opex_VE[[#This Row],[Cajero]:[Domiciliario]])</f>
        <v>140000</v>
      </c>
      <c r="S297" s="152">
        <v>70000</v>
      </c>
      <c r="T297" s="152">
        <v>70000</v>
      </c>
      <c r="U297" s="152">
        <v>0</v>
      </c>
      <c r="V297"/>
    </row>
    <row r="298" spans="1:22" x14ac:dyDescent="0.2">
      <c r="A298" s="149">
        <v>46361</v>
      </c>
      <c r="B298" s="3">
        <f t="shared" si="9"/>
        <v>41</v>
      </c>
      <c r="C298" s="3" t="str">
        <f>+TEXT(Opex_VE[[#This Row],[Fecha]],"ddd")</f>
        <v>sáb</v>
      </c>
      <c r="E298" s="14" t="s">
        <v>113</v>
      </c>
      <c r="F298" s="168">
        <f>IFERROR(VLOOKUP(Opex_VE[[#This Row],[Fecha]],Historia!A:B,2,0),_xlfn.XLOOKUP(Opex_VE[[#This Row],[dia]],Forecast!I:I,Forecast!J:J))</f>
        <v>398333.33333333331</v>
      </c>
      <c r="G298" s="168">
        <f>IFERROR(VLOOKUP(Opex_VE[[#This Row],[Fecha]],Historia!A:C,3,0),_xlfn.XLOOKUP(Opex_VE[[#This Row],[dia]],Forecast!I:I,Forecast!K:K))</f>
        <v>159333.33333333334</v>
      </c>
      <c r="H298" s="182">
        <f>+Opex_VE[[#This Row],[MG]]-Opex_VE[[#This Row],[Opex]]</f>
        <v>-64851.80459770115</v>
      </c>
      <c r="I298" s="169" t="str">
        <f>IFERROR(VLOOKUP(Opex_VE[[#This Row],[Fecha]],Historia!A:D,4,0),"Forecast")</f>
        <v>Forecast</v>
      </c>
      <c r="J298" s="157">
        <f t="shared" si="8"/>
        <v>560462.8448275862</v>
      </c>
      <c r="K298" s="151">
        <f>+Opex_VE[[#This Row],[Arriendo]]+Opex_VE[[#This Row],[Servicios publicos]]+Opex_VE[[#This Row],[Nomina]]</f>
        <v>224185.13793103449</v>
      </c>
      <c r="L298" s="152">
        <f>+VLOOKUP(Opex_VE[[#This Row],[Fecha]],Opex!$B:$Y,OPEX_SALES!L$1,1)</f>
        <v>56896.551724137928</v>
      </c>
      <c r="M298" s="153">
        <f>+SUM(Opex_VE[[#This Row],[Internet]:[Electricidad]])</f>
        <v>27288.586206896551</v>
      </c>
      <c r="N298" s="152">
        <f>+VLOOKUP(Opex_VE[[#This Row],[Fecha]],Opex!$B:$Y,OPEX_SALES!N$1,1)</f>
        <v>3620.6896551724139</v>
      </c>
      <c r="O298" s="152">
        <f>+VLOOKUP(Opex_VE[[#This Row],[Fecha]],Opex!$B:$Y,OPEX_SALES!O$1,1)</f>
        <v>8528.2413793103442</v>
      </c>
      <c r="P298" s="152">
        <f>+VLOOKUP(Opex_VE[[#This Row],[Fecha]],Opex!$B:$Y,OPEX_SALES!P$1,1)</f>
        <v>4137.9310344827591</v>
      </c>
      <c r="Q298" s="152">
        <f>+VLOOKUP(Opex_VE[[#This Row],[Fecha]],Opex!$B:$Y,OPEX_SALES!Q$1,1)</f>
        <v>11001.724137931034</v>
      </c>
      <c r="R298" s="153">
        <f>+SUM(Opex_VE[[#This Row],[Cajero]:[Domiciliario]])</f>
        <v>140000</v>
      </c>
      <c r="S298" s="152">
        <v>70000</v>
      </c>
      <c r="T298" s="152">
        <v>70000</v>
      </c>
      <c r="U298" s="152">
        <v>0</v>
      </c>
      <c r="V298"/>
    </row>
    <row r="299" spans="1:22" x14ac:dyDescent="0.2">
      <c r="A299" s="149">
        <v>46362</v>
      </c>
      <c r="B299" s="3">
        <f t="shared" si="9"/>
        <v>41</v>
      </c>
      <c r="C299" s="3" t="str">
        <f>+TEXT(Opex_VE[[#This Row],[Fecha]],"ddd")</f>
        <v>dom</v>
      </c>
      <c r="E299" s="14" t="s">
        <v>145</v>
      </c>
      <c r="F299" s="168">
        <f>IFERROR(VLOOKUP(Opex_VE[[#This Row],[Fecha]],Historia!A:B,2,0),_xlfn.XLOOKUP(Opex_VE[[#This Row],[dia]],Forecast!I:I,Forecast!J:J))</f>
        <v>168750</v>
      </c>
      <c r="G299" s="168">
        <f>IFERROR(VLOOKUP(Opex_VE[[#This Row],[Fecha]],Historia!A:C,3,0),_xlfn.XLOOKUP(Opex_VE[[#This Row],[dia]],Forecast!I:I,Forecast!K:K))</f>
        <v>67500</v>
      </c>
      <c r="H299" s="182">
        <f>+Opex_VE[[#This Row],[MG]]-Opex_VE[[#This Row],[Opex]]</f>
        <v>-156685.13793103449</v>
      </c>
      <c r="I299" s="168" t="str">
        <f>IFERROR(VLOOKUP(Opex_VE[[#This Row],[Fecha]],Historia!A:D,4,0),"Forecast")</f>
        <v>Forecast</v>
      </c>
      <c r="J299" s="157">
        <f t="shared" si="8"/>
        <v>560462.8448275862</v>
      </c>
      <c r="K299" s="151">
        <f>+Opex_VE[[#This Row],[Arriendo]]+Opex_VE[[#This Row],[Servicios publicos]]+Opex_VE[[#This Row],[Nomina]]</f>
        <v>224185.13793103449</v>
      </c>
      <c r="L299" s="152">
        <f>+VLOOKUP(Opex_VE[[#This Row],[Fecha]],Opex!$B:$Y,OPEX_SALES!L$1,1)</f>
        <v>56896.551724137928</v>
      </c>
      <c r="M299" s="153">
        <f>+SUM(Opex_VE[[#This Row],[Internet]:[Electricidad]])</f>
        <v>27288.586206896551</v>
      </c>
      <c r="N299" s="152">
        <f>+VLOOKUP(Opex_VE[[#This Row],[Fecha]],Opex!$B:$Y,OPEX_SALES!N$1,1)</f>
        <v>3620.6896551724139</v>
      </c>
      <c r="O299" s="152">
        <f>+VLOOKUP(Opex_VE[[#This Row],[Fecha]],Opex!$B:$Y,OPEX_SALES!O$1,1)</f>
        <v>8528.2413793103442</v>
      </c>
      <c r="P299" s="152">
        <f>+VLOOKUP(Opex_VE[[#This Row],[Fecha]],Opex!$B:$Y,OPEX_SALES!P$1,1)</f>
        <v>4137.9310344827591</v>
      </c>
      <c r="Q299" s="152">
        <f>+VLOOKUP(Opex_VE[[#This Row],[Fecha]],Opex!$B:$Y,OPEX_SALES!Q$1,1)</f>
        <v>11001.724137931034</v>
      </c>
      <c r="R299" s="153">
        <f>+SUM(Opex_VE[[#This Row],[Cajero]:[Domiciliario]])</f>
        <v>140000</v>
      </c>
      <c r="S299" s="152">
        <v>70000</v>
      </c>
      <c r="T299" s="152">
        <v>70000</v>
      </c>
      <c r="U299" s="152">
        <v>0</v>
      </c>
      <c r="V299"/>
    </row>
    <row r="300" spans="1:22" x14ac:dyDescent="0.2">
      <c r="A300" s="149">
        <v>46363</v>
      </c>
      <c r="B300" s="3">
        <f t="shared" si="9"/>
        <v>42</v>
      </c>
      <c r="C300" s="3" t="str">
        <f>+TEXT(Opex_VE[[#This Row],[Fecha]],"ddd")</f>
        <v>lun</v>
      </c>
      <c r="E300" s="14" t="s">
        <v>112</v>
      </c>
      <c r="F300" s="168">
        <f>IFERROR(VLOOKUP(Opex_VE[[#This Row],[Fecha]],Historia!A:B,2,0),_xlfn.XLOOKUP(Opex_VE[[#This Row],[dia]],Forecast!I:I,Forecast!J:J))</f>
        <v>164375</v>
      </c>
      <c r="G300" s="168">
        <f>IFERROR(VLOOKUP(Opex_VE[[#This Row],[Fecha]],Historia!A:C,3,0),_xlfn.XLOOKUP(Opex_VE[[#This Row],[dia]],Forecast!I:I,Forecast!K:K))</f>
        <v>65750</v>
      </c>
      <c r="H300" s="182">
        <f>+Opex_VE[[#This Row],[MG]]-Opex_VE[[#This Row],[Opex]]</f>
        <v>-158435.13793103449</v>
      </c>
      <c r="I300" s="168" t="str">
        <f>IFERROR(VLOOKUP(Opex_VE[[#This Row],[Fecha]],Historia!A:D,4,0),"Forecast")</f>
        <v>Forecast</v>
      </c>
      <c r="J300" s="157">
        <f t="shared" si="8"/>
        <v>560462.8448275862</v>
      </c>
      <c r="K300" s="151">
        <f>+Opex_VE[[#This Row],[Arriendo]]+Opex_VE[[#This Row],[Servicios publicos]]+Opex_VE[[#This Row],[Nomina]]</f>
        <v>224185.13793103449</v>
      </c>
      <c r="L300" s="152">
        <f>+VLOOKUP(Opex_VE[[#This Row],[Fecha]],Opex!$B:$Y,OPEX_SALES!L$1,1)</f>
        <v>56896.551724137928</v>
      </c>
      <c r="M300" s="153">
        <f>+SUM(Opex_VE[[#This Row],[Internet]:[Electricidad]])</f>
        <v>27288.586206896551</v>
      </c>
      <c r="N300" s="152">
        <f>+VLOOKUP(Opex_VE[[#This Row],[Fecha]],Opex!$B:$Y,OPEX_SALES!N$1,1)</f>
        <v>3620.6896551724139</v>
      </c>
      <c r="O300" s="152">
        <f>+VLOOKUP(Opex_VE[[#This Row],[Fecha]],Opex!$B:$Y,OPEX_SALES!O$1,1)</f>
        <v>8528.2413793103442</v>
      </c>
      <c r="P300" s="152">
        <f>+VLOOKUP(Opex_VE[[#This Row],[Fecha]],Opex!$B:$Y,OPEX_SALES!P$1,1)</f>
        <v>4137.9310344827591</v>
      </c>
      <c r="Q300" s="152">
        <f>+VLOOKUP(Opex_VE[[#This Row],[Fecha]],Opex!$B:$Y,OPEX_SALES!Q$1,1)</f>
        <v>11001.724137931034</v>
      </c>
      <c r="R300" s="153">
        <f>+SUM(Opex_VE[[#This Row],[Cajero]:[Domiciliario]])</f>
        <v>140000</v>
      </c>
      <c r="S300" s="152">
        <v>70000</v>
      </c>
      <c r="T300" s="152">
        <v>70000</v>
      </c>
      <c r="U300" s="152">
        <v>0</v>
      </c>
      <c r="V300"/>
    </row>
    <row r="301" spans="1:22" x14ac:dyDescent="0.2">
      <c r="A301" s="149">
        <v>46364</v>
      </c>
      <c r="B301" s="3">
        <f t="shared" si="9"/>
        <v>42</v>
      </c>
      <c r="C301" s="3" t="str">
        <f>+TEXT(Opex_VE[[#This Row],[Fecha]],"ddd")</f>
        <v>mar</v>
      </c>
      <c r="E301" s="14" t="s">
        <v>112</v>
      </c>
      <c r="F301" s="168">
        <f>IFERROR(VLOOKUP(Opex_VE[[#This Row],[Fecha]],Historia!A:B,2,0),_xlfn.XLOOKUP(Opex_VE[[#This Row],[dia]],Forecast!I:I,Forecast!J:J))</f>
        <v>199625</v>
      </c>
      <c r="G301" s="168">
        <f>IFERROR(VLOOKUP(Opex_VE[[#This Row],[Fecha]],Historia!A:C,3,0),_xlfn.XLOOKUP(Opex_VE[[#This Row],[dia]],Forecast!I:I,Forecast!K:K))</f>
        <v>79850</v>
      </c>
      <c r="H301" s="182">
        <f>+Opex_VE[[#This Row],[MG]]-Opex_VE[[#This Row],[Opex]]</f>
        <v>-144335.13793103449</v>
      </c>
      <c r="I301" s="168" t="str">
        <f>IFERROR(VLOOKUP(Opex_VE[[#This Row],[Fecha]],Historia!A:D,4,0),"Forecast")</f>
        <v>Forecast</v>
      </c>
      <c r="J301" s="157">
        <f t="shared" si="8"/>
        <v>560462.8448275862</v>
      </c>
      <c r="K301" s="151">
        <f>+Opex_VE[[#This Row],[Arriendo]]+Opex_VE[[#This Row],[Servicios publicos]]+Opex_VE[[#This Row],[Nomina]]</f>
        <v>224185.13793103449</v>
      </c>
      <c r="L301" s="152">
        <f>+VLOOKUP(Opex_VE[[#This Row],[Fecha]],Opex!$B:$Y,OPEX_SALES!L$1,1)</f>
        <v>56896.551724137928</v>
      </c>
      <c r="M301" s="153">
        <f>+SUM(Opex_VE[[#This Row],[Internet]:[Electricidad]])</f>
        <v>27288.586206896551</v>
      </c>
      <c r="N301" s="152">
        <f>+VLOOKUP(Opex_VE[[#This Row],[Fecha]],Opex!$B:$Y,OPEX_SALES!N$1,1)</f>
        <v>3620.6896551724139</v>
      </c>
      <c r="O301" s="152">
        <f>+VLOOKUP(Opex_VE[[#This Row],[Fecha]],Opex!$B:$Y,OPEX_SALES!O$1,1)</f>
        <v>8528.2413793103442</v>
      </c>
      <c r="P301" s="152">
        <f>+VLOOKUP(Opex_VE[[#This Row],[Fecha]],Opex!$B:$Y,OPEX_SALES!P$1,1)</f>
        <v>4137.9310344827591</v>
      </c>
      <c r="Q301" s="152">
        <f>+VLOOKUP(Opex_VE[[#This Row],[Fecha]],Opex!$B:$Y,OPEX_SALES!Q$1,1)</f>
        <v>11001.724137931034</v>
      </c>
      <c r="R301" s="153">
        <f>+SUM(Opex_VE[[#This Row],[Cajero]:[Domiciliario]])</f>
        <v>140000</v>
      </c>
      <c r="S301" s="152">
        <v>70000</v>
      </c>
      <c r="T301" s="152">
        <v>70000</v>
      </c>
      <c r="U301" s="152">
        <v>0</v>
      </c>
      <c r="V301"/>
    </row>
    <row r="302" spans="1:22" x14ac:dyDescent="0.2">
      <c r="A302" s="149">
        <v>46365</v>
      </c>
      <c r="B302" s="3">
        <f t="shared" si="9"/>
        <v>42</v>
      </c>
      <c r="C302" s="3" t="str">
        <f>+TEXT(Opex_VE[[#This Row],[Fecha]],"ddd")</f>
        <v>mié</v>
      </c>
      <c r="E302" s="14" t="s">
        <v>112</v>
      </c>
      <c r="F302" s="168">
        <f>IFERROR(VLOOKUP(Opex_VE[[#This Row],[Fecha]],Historia!A:B,2,0),_xlfn.XLOOKUP(Opex_VE[[#This Row],[dia]],Forecast!I:I,Forecast!J:J))</f>
        <v>339250</v>
      </c>
      <c r="G302" s="168">
        <f>IFERROR(VLOOKUP(Opex_VE[[#This Row],[Fecha]],Historia!A:C,3,0),_xlfn.XLOOKUP(Opex_VE[[#This Row],[dia]],Forecast!I:I,Forecast!K:K))</f>
        <v>135700</v>
      </c>
      <c r="H302" s="182">
        <f>+Opex_VE[[#This Row],[MG]]-Opex_VE[[#This Row],[Opex]]</f>
        <v>-88485.137931034493</v>
      </c>
      <c r="I302" s="168" t="str">
        <f>IFERROR(VLOOKUP(Opex_VE[[#This Row],[Fecha]],Historia!A:D,4,0),"Forecast")</f>
        <v>Forecast</v>
      </c>
      <c r="J302" s="157">
        <f t="shared" si="8"/>
        <v>560462.8448275862</v>
      </c>
      <c r="K302" s="151">
        <f>+Opex_VE[[#This Row],[Arriendo]]+Opex_VE[[#This Row],[Servicios publicos]]+Opex_VE[[#This Row],[Nomina]]</f>
        <v>224185.13793103449</v>
      </c>
      <c r="L302" s="152">
        <f>+VLOOKUP(Opex_VE[[#This Row],[Fecha]],Opex!$B:$Y,OPEX_SALES!L$1,1)</f>
        <v>56896.551724137928</v>
      </c>
      <c r="M302" s="153">
        <f>+SUM(Opex_VE[[#This Row],[Internet]:[Electricidad]])</f>
        <v>27288.586206896551</v>
      </c>
      <c r="N302" s="152">
        <f>+VLOOKUP(Opex_VE[[#This Row],[Fecha]],Opex!$B:$Y,OPEX_SALES!N$1,1)</f>
        <v>3620.6896551724139</v>
      </c>
      <c r="O302" s="152">
        <f>+VLOOKUP(Opex_VE[[#This Row],[Fecha]],Opex!$B:$Y,OPEX_SALES!O$1,1)</f>
        <v>8528.2413793103442</v>
      </c>
      <c r="P302" s="152">
        <f>+VLOOKUP(Opex_VE[[#This Row],[Fecha]],Opex!$B:$Y,OPEX_SALES!P$1,1)</f>
        <v>4137.9310344827591</v>
      </c>
      <c r="Q302" s="152">
        <f>+VLOOKUP(Opex_VE[[#This Row],[Fecha]],Opex!$B:$Y,OPEX_SALES!Q$1,1)</f>
        <v>11001.724137931034</v>
      </c>
      <c r="R302" s="153">
        <f>+SUM(Opex_VE[[#This Row],[Cajero]:[Domiciliario]])</f>
        <v>140000</v>
      </c>
      <c r="S302" s="152">
        <v>70000</v>
      </c>
      <c r="T302" s="152">
        <v>70000</v>
      </c>
      <c r="U302" s="152">
        <v>0</v>
      </c>
      <c r="V302"/>
    </row>
    <row r="303" spans="1:22" x14ac:dyDescent="0.2">
      <c r="A303" s="149">
        <v>46366</v>
      </c>
      <c r="B303" s="3">
        <f t="shared" si="9"/>
        <v>42</v>
      </c>
      <c r="C303" s="3" t="str">
        <f>+TEXT(Opex_VE[[#This Row],[Fecha]],"ddd")</f>
        <v>jue</v>
      </c>
      <c r="E303" s="14" t="s">
        <v>112</v>
      </c>
      <c r="F303" s="168">
        <f>IFERROR(VLOOKUP(Opex_VE[[#This Row],[Fecha]],Historia!A:B,2,0),_xlfn.XLOOKUP(Opex_VE[[#This Row],[dia]],Forecast!I:I,Forecast!J:J))</f>
        <v>274975</v>
      </c>
      <c r="G303" s="168">
        <f>IFERROR(VLOOKUP(Opex_VE[[#This Row],[Fecha]],Historia!A:C,3,0),_xlfn.XLOOKUP(Opex_VE[[#This Row],[dia]],Forecast!I:I,Forecast!K:K))</f>
        <v>109990</v>
      </c>
      <c r="H303" s="182">
        <f>+Opex_VE[[#This Row],[MG]]-Opex_VE[[#This Row],[Opex]]</f>
        <v>-114195.13793103449</v>
      </c>
      <c r="I303" s="168" t="str">
        <f>IFERROR(VLOOKUP(Opex_VE[[#This Row],[Fecha]],Historia!A:D,4,0),"Forecast")</f>
        <v>Forecast</v>
      </c>
      <c r="J303" s="157">
        <f t="shared" si="8"/>
        <v>560462.8448275862</v>
      </c>
      <c r="K303" s="151">
        <f>+Opex_VE[[#This Row],[Arriendo]]+Opex_VE[[#This Row],[Servicios publicos]]+Opex_VE[[#This Row],[Nomina]]</f>
        <v>224185.13793103449</v>
      </c>
      <c r="L303" s="152">
        <f>+VLOOKUP(Opex_VE[[#This Row],[Fecha]],Opex!$B:$Y,OPEX_SALES!L$1,1)</f>
        <v>56896.551724137928</v>
      </c>
      <c r="M303" s="153">
        <f>+SUM(Opex_VE[[#This Row],[Internet]:[Electricidad]])</f>
        <v>27288.586206896551</v>
      </c>
      <c r="N303" s="152">
        <f>+VLOOKUP(Opex_VE[[#This Row],[Fecha]],Opex!$B:$Y,OPEX_SALES!N$1,1)</f>
        <v>3620.6896551724139</v>
      </c>
      <c r="O303" s="152">
        <f>+VLOOKUP(Opex_VE[[#This Row],[Fecha]],Opex!$B:$Y,OPEX_SALES!O$1,1)</f>
        <v>8528.2413793103442</v>
      </c>
      <c r="P303" s="152">
        <f>+VLOOKUP(Opex_VE[[#This Row],[Fecha]],Opex!$B:$Y,OPEX_SALES!P$1,1)</f>
        <v>4137.9310344827591</v>
      </c>
      <c r="Q303" s="152">
        <f>+VLOOKUP(Opex_VE[[#This Row],[Fecha]],Opex!$B:$Y,OPEX_SALES!Q$1,1)</f>
        <v>11001.724137931034</v>
      </c>
      <c r="R303" s="153">
        <f>+SUM(Opex_VE[[#This Row],[Cajero]:[Domiciliario]])</f>
        <v>140000</v>
      </c>
      <c r="S303" s="152">
        <v>70000</v>
      </c>
      <c r="T303" s="152">
        <v>70000</v>
      </c>
      <c r="U303" s="152">
        <v>0</v>
      </c>
      <c r="V303"/>
    </row>
    <row r="304" spans="1:22" x14ac:dyDescent="0.2">
      <c r="A304" s="149">
        <v>46367</v>
      </c>
      <c r="B304" s="3">
        <f t="shared" si="9"/>
        <v>42</v>
      </c>
      <c r="C304" s="3" t="str">
        <f>+TEXT(Opex_VE[[#This Row],[Fecha]],"ddd")</f>
        <v>vie</v>
      </c>
      <c r="E304" s="14" t="s">
        <v>217</v>
      </c>
      <c r="F304" s="168">
        <f>IFERROR(VLOOKUP(Opex_VE[[#This Row],[Fecha]],Historia!A:B,2,0),_xlfn.XLOOKUP(Opex_VE[[#This Row],[dia]],Forecast!I:I,Forecast!J:J))</f>
        <v>184566.66666666666</v>
      </c>
      <c r="G304" s="168">
        <f>IFERROR(VLOOKUP(Opex_VE[[#This Row],[Fecha]],Historia!A:C,3,0),_xlfn.XLOOKUP(Opex_VE[[#This Row],[dia]],Forecast!I:I,Forecast!K:K))</f>
        <v>73826.666666666672</v>
      </c>
      <c r="H304" s="182">
        <f>+Opex_VE[[#This Row],[MG]]-Opex_VE[[#This Row],[Opex]]</f>
        <v>-150358.47126436781</v>
      </c>
      <c r="I304" s="168" t="str">
        <f>IFERROR(VLOOKUP(Opex_VE[[#This Row],[Fecha]],Historia!A:D,4,0),"Forecast")</f>
        <v>Forecast</v>
      </c>
      <c r="J304" s="157">
        <f t="shared" si="8"/>
        <v>560462.8448275862</v>
      </c>
      <c r="K304" s="151">
        <f>+Opex_VE[[#This Row],[Arriendo]]+Opex_VE[[#This Row],[Servicios publicos]]+Opex_VE[[#This Row],[Nomina]]</f>
        <v>224185.13793103449</v>
      </c>
      <c r="L304" s="152">
        <f>+VLOOKUP(Opex_VE[[#This Row],[Fecha]],Opex!$B:$Y,OPEX_SALES!L$1,1)</f>
        <v>56896.551724137928</v>
      </c>
      <c r="M304" s="153">
        <f>+SUM(Opex_VE[[#This Row],[Internet]:[Electricidad]])</f>
        <v>27288.586206896551</v>
      </c>
      <c r="N304" s="152">
        <f>+VLOOKUP(Opex_VE[[#This Row],[Fecha]],Opex!$B:$Y,OPEX_SALES!N$1,1)</f>
        <v>3620.6896551724139</v>
      </c>
      <c r="O304" s="152">
        <f>+VLOOKUP(Opex_VE[[#This Row],[Fecha]],Opex!$B:$Y,OPEX_SALES!O$1,1)</f>
        <v>8528.2413793103442</v>
      </c>
      <c r="P304" s="152">
        <f>+VLOOKUP(Opex_VE[[#This Row],[Fecha]],Opex!$B:$Y,OPEX_SALES!P$1,1)</f>
        <v>4137.9310344827591</v>
      </c>
      <c r="Q304" s="152">
        <f>+VLOOKUP(Opex_VE[[#This Row],[Fecha]],Opex!$B:$Y,OPEX_SALES!Q$1,1)</f>
        <v>11001.724137931034</v>
      </c>
      <c r="R304" s="153">
        <f>+SUM(Opex_VE[[#This Row],[Cajero]:[Domiciliario]])</f>
        <v>140000</v>
      </c>
      <c r="S304" s="152">
        <v>70000</v>
      </c>
      <c r="T304" s="152">
        <v>70000</v>
      </c>
      <c r="U304" s="152">
        <v>0</v>
      </c>
      <c r="V304"/>
    </row>
    <row r="305" spans="1:22" x14ac:dyDescent="0.2">
      <c r="A305" s="149">
        <v>46368</v>
      </c>
      <c r="B305" s="3">
        <f t="shared" si="9"/>
        <v>42</v>
      </c>
      <c r="C305" s="3" t="str">
        <f>+TEXT(Opex_VE[[#This Row],[Fecha]],"ddd")</f>
        <v>sáb</v>
      </c>
      <c r="E305" s="14" t="s">
        <v>113</v>
      </c>
      <c r="F305" s="168">
        <f>IFERROR(VLOOKUP(Opex_VE[[#This Row],[Fecha]],Historia!A:B,2,0),_xlfn.XLOOKUP(Opex_VE[[#This Row],[dia]],Forecast!I:I,Forecast!J:J))</f>
        <v>398333.33333333331</v>
      </c>
      <c r="G305" s="168">
        <f>IFERROR(VLOOKUP(Opex_VE[[#This Row],[Fecha]],Historia!A:C,3,0),_xlfn.XLOOKUP(Opex_VE[[#This Row],[dia]],Forecast!I:I,Forecast!K:K))</f>
        <v>159333.33333333334</v>
      </c>
      <c r="H305" s="182">
        <f>+Opex_VE[[#This Row],[MG]]-Opex_VE[[#This Row],[Opex]]</f>
        <v>-64851.80459770115</v>
      </c>
      <c r="I305" s="169" t="str">
        <f>IFERROR(VLOOKUP(Opex_VE[[#This Row],[Fecha]],Historia!A:D,4,0),"Forecast")</f>
        <v>Forecast</v>
      </c>
      <c r="J305" s="157">
        <f t="shared" si="8"/>
        <v>560462.8448275862</v>
      </c>
      <c r="K305" s="151">
        <f>+Opex_VE[[#This Row],[Arriendo]]+Opex_VE[[#This Row],[Servicios publicos]]+Opex_VE[[#This Row],[Nomina]]</f>
        <v>224185.13793103449</v>
      </c>
      <c r="L305" s="152">
        <f>+VLOOKUP(Opex_VE[[#This Row],[Fecha]],Opex!$B:$Y,OPEX_SALES!L$1,1)</f>
        <v>56896.551724137928</v>
      </c>
      <c r="M305" s="153">
        <f>+SUM(Opex_VE[[#This Row],[Internet]:[Electricidad]])</f>
        <v>27288.586206896551</v>
      </c>
      <c r="N305" s="152">
        <f>+VLOOKUP(Opex_VE[[#This Row],[Fecha]],Opex!$B:$Y,OPEX_SALES!N$1,1)</f>
        <v>3620.6896551724139</v>
      </c>
      <c r="O305" s="152">
        <f>+VLOOKUP(Opex_VE[[#This Row],[Fecha]],Opex!$B:$Y,OPEX_SALES!O$1,1)</f>
        <v>8528.2413793103442</v>
      </c>
      <c r="P305" s="152">
        <f>+VLOOKUP(Opex_VE[[#This Row],[Fecha]],Opex!$B:$Y,OPEX_SALES!P$1,1)</f>
        <v>4137.9310344827591</v>
      </c>
      <c r="Q305" s="152">
        <f>+VLOOKUP(Opex_VE[[#This Row],[Fecha]],Opex!$B:$Y,OPEX_SALES!Q$1,1)</f>
        <v>11001.724137931034</v>
      </c>
      <c r="R305" s="153">
        <f>+SUM(Opex_VE[[#This Row],[Cajero]:[Domiciliario]])</f>
        <v>140000</v>
      </c>
      <c r="S305" s="152">
        <v>70000</v>
      </c>
      <c r="T305" s="152">
        <v>70000</v>
      </c>
      <c r="U305" s="152">
        <v>0</v>
      </c>
      <c r="V305"/>
    </row>
    <row r="306" spans="1:22" x14ac:dyDescent="0.2">
      <c r="A306" s="149">
        <v>46369</v>
      </c>
      <c r="B306" s="3">
        <f t="shared" si="9"/>
        <v>42</v>
      </c>
      <c r="C306" s="3" t="str">
        <f>+TEXT(Opex_VE[[#This Row],[Fecha]],"ddd")</f>
        <v>dom</v>
      </c>
      <c r="E306" s="14" t="s">
        <v>145</v>
      </c>
      <c r="F306" s="168">
        <f>IFERROR(VLOOKUP(Opex_VE[[#This Row],[Fecha]],Historia!A:B,2,0),_xlfn.XLOOKUP(Opex_VE[[#This Row],[dia]],Forecast!I:I,Forecast!J:J))</f>
        <v>168750</v>
      </c>
      <c r="G306" s="168">
        <f>IFERROR(VLOOKUP(Opex_VE[[#This Row],[Fecha]],Historia!A:C,3,0),_xlfn.XLOOKUP(Opex_VE[[#This Row],[dia]],Forecast!I:I,Forecast!K:K))</f>
        <v>67500</v>
      </c>
      <c r="H306" s="182">
        <f>+Opex_VE[[#This Row],[MG]]-Opex_VE[[#This Row],[Opex]]</f>
        <v>-156685.13793103449</v>
      </c>
      <c r="I306" s="168" t="str">
        <f>IFERROR(VLOOKUP(Opex_VE[[#This Row],[Fecha]],Historia!A:D,4,0),"Forecast")</f>
        <v>Forecast</v>
      </c>
      <c r="J306" s="157">
        <f t="shared" si="8"/>
        <v>560462.8448275862</v>
      </c>
      <c r="K306" s="151">
        <f>+Opex_VE[[#This Row],[Arriendo]]+Opex_VE[[#This Row],[Servicios publicos]]+Opex_VE[[#This Row],[Nomina]]</f>
        <v>224185.13793103449</v>
      </c>
      <c r="L306" s="152">
        <f>+VLOOKUP(Opex_VE[[#This Row],[Fecha]],Opex!$B:$Y,OPEX_SALES!L$1,1)</f>
        <v>56896.551724137928</v>
      </c>
      <c r="M306" s="153">
        <f>+SUM(Opex_VE[[#This Row],[Internet]:[Electricidad]])</f>
        <v>27288.586206896551</v>
      </c>
      <c r="N306" s="152">
        <f>+VLOOKUP(Opex_VE[[#This Row],[Fecha]],Opex!$B:$Y,OPEX_SALES!N$1,1)</f>
        <v>3620.6896551724139</v>
      </c>
      <c r="O306" s="152">
        <f>+VLOOKUP(Opex_VE[[#This Row],[Fecha]],Opex!$B:$Y,OPEX_SALES!O$1,1)</f>
        <v>8528.2413793103442</v>
      </c>
      <c r="P306" s="152">
        <f>+VLOOKUP(Opex_VE[[#This Row],[Fecha]],Opex!$B:$Y,OPEX_SALES!P$1,1)</f>
        <v>4137.9310344827591</v>
      </c>
      <c r="Q306" s="152">
        <f>+VLOOKUP(Opex_VE[[#This Row],[Fecha]],Opex!$B:$Y,OPEX_SALES!Q$1,1)</f>
        <v>11001.724137931034</v>
      </c>
      <c r="R306" s="153">
        <f>+SUM(Opex_VE[[#This Row],[Cajero]:[Domiciliario]])</f>
        <v>140000</v>
      </c>
      <c r="S306" s="152">
        <v>70000</v>
      </c>
      <c r="T306" s="152">
        <v>70000</v>
      </c>
      <c r="U306" s="152">
        <v>0</v>
      </c>
      <c r="V306"/>
    </row>
    <row r="307" spans="1:22" x14ac:dyDescent="0.2">
      <c r="A307" s="149">
        <v>46370</v>
      </c>
      <c r="B307" s="3">
        <f t="shared" si="9"/>
        <v>43</v>
      </c>
      <c r="C307" s="3" t="str">
        <f>+TEXT(Opex_VE[[#This Row],[Fecha]],"ddd")</f>
        <v>lun</v>
      </c>
      <c r="E307" s="14" t="s">
        <v>112</v>
      </c>
      <c r="F307" s="168">
        <f>IFERROR(VLOOKUP(Opex_VE[[#This Row],[Fecha]],Historia!A:B,2,0),_xlfn.XLOOKUP(Opex_VE[[#This Row],[dia]],Forecast!I:I,Forecast!J:J))</f>
        <v>164375</v>
      </c>
      <c r="G307" s="168">
        <f>IFERROR(VLOOKUP(Opex_VE[[#This Row],[Fecha]],Historia!A:C,3,0),_xlfn.XLOOKUP(Opex_VE[[#This Row],[dia]],Forecast!I:I,Forecast!K:K))</f>
        <v>65750</v>
      </c>
      <c r="H307" s="182">
        <f>+Opex_VE[[#This Row],[MG]]-Opex_VE[[#This Row],[Opex]]</f>
        <v>-158435.13793103449</v>
      </c>
      <c r="I307" s="168" t="str">
        <f>IFERROR(VLOOKUP(Opex_VE[[#This Row],[Fecha]],Historia!A:D,4,0),"Forecast")</f>
        <v>Forecast</v>
      </c>
      <c r="J307" s="157">
        <f t="shared" si="8"/>
        <v>560462.8448275862</v>
      </c>
      <c r="K307" s="151">
        <f>+Opex_VE[[#This Row],[Arriendo]]+Opex_VE[[#This Row],[Servicios publicos]]+Opex_VE[[#This Row],[Nomina]]</f>
        <v>224185.13793103449</v>
      </c>
      <c r="L307" s="152">
        <f>+VLOOKUP(Opex_VE[[#This Row],[Fecha]],Opex!$B:$Y,OPEX_SALES!L$1,1)</f>
        <v>56896.551724137928</v>
      </c>
      <c r="M307" s="153">
        <f>+SUM(Opex_VE[[#This Row],[Internet]:[Electricidad]])</f>
        <v>27288.586206896551</v>
      </c>
      <c r="N307" s="152">
        <f>+VLOOKUP(Opex_VE[[#This Row],[Fecha]],Opex!$B:$Y,OPEX_SALES!N$1,1)</f>
        <v>3620.6896551724139</v>
      </c>
      <c r="O307" s="152">
        <f>+VLOOKUP(Opex_VE[[#This Row],[Fecha]],Opex!$B:$Y,OPEX_SALES!O$1,1)</f>
        <v>8528.2413793103442</v>
      </c>
      <c r="P307" s="152">
        <f>+VLOOKUP(Opex_VE[[#This Row],[Fecha]],Opex!$B:$Y,OPEX_SALES!P$1,1)</f>
        <v>4137.9310344827591</v>
      </c>
      <c r="Q307" s="152">
        <f>+VLOOKUP(Opex_VE[[#This Row],[Fecha]],Opex!$B:$Y,OPEX_SALES!Q$1,1)</f>
        <v>11001.724137931034</v>
      </c>
      <c r="R307" s="153">
        <f>+SUM(Opex_VE[[#This Row],[Cajero]:[Domiciliario]])</f>
        <v>140000</v>
      </c>
      <c r="S307" s="152">
        <v>70000</v>
      </c>
      <c r="T307" s="152">
        <v>70000</v>
      </c>
      <c r="U307" s="152">
        <v>0</v>
      </c>
      <c r="V307"/>
    </row>
    <row r="308" spans="1:22" x14ac:dyDescent="0.2">
      <c r="A308" s="149">
        <v>46371</v>
      </c>
      <c r="B308" s="3">
        <f t="shared" si="9"/>
        <v>43</v>
      </c>
      <c r="C308" s="3" t="str">
        <f>+TEXT(Opex_VE[[#This Row],[Fecha]],"ddd")</f>
        <v>mar</v>
      </c>
      <c r="E308" s="14" t="s">
        <v>112</v>
      </c>
      <c r="F308" s="168">
        <f>IFERROR(VLOOKUP(Opex_VE[[#This Row],[Fecha]],Historia!A:B,2,0),_xlfn.XLOOKUP(Opex_VE[[#This Row],[dia]],Forecast!I:I,Forecast!J:J))</f>
        <v>199625</v>
      </c>
      <c r="G308" s="168">
        <f>IFERROR(VLOOKUP(Opex_VE[[#This Row],[Fecha]],Historia!A:C,3,0),_xlfn.XLOOKUP(Opex_VE[[#This Row],[dia]],Forecast!I:I,Forecast!K:K))</f>
        <v>79850</v>
      </c>
      <c r="H308" s="182">
        <f>+Opex_VE[[#This Row],[MG]]-Opex_VE[[#This Row],[Opex]]</f>
        <v>-141528.96666666667</v>
      </c>
      <c r="I308" s="168" t="str">
        <f>IFERROR(VLOOKUP(Opex_VE[[#This Row],[Fecha]],Historia!A:D,4,0),"Forecast")</f>
        <v>Forecast</v>
      </c>
      <c r="J308" s="157">
        <f t="shared" si="8"/>
        <v>553447.41666666663</v>
      </c>
      <c r="K308" s="151">
        <f>+Opex_VE[[#This Row],[Arriendo]]+Opex_VE[[#This Row],[Servicios publicos]]+Opex_VE[[#This Row],[Nomina]]</f>
        <v>221378.96666666667</v>
      </c>
      <c r="L308" s="152">
        <f>+VLOOKUP(Opex_VE[[#This Row],[Fecha]],Opex!$B:$Y,OPEX_SALES!L$1,1)</f>
        <v>55000</v>
      </c>
      <c r="M308" s="153">
        <f>+SUM(Opex_VE[[#This Row],[Internet]:[Electricidad]])</f>
        <v>26378.966666666667</v>
      </c>
      <c r="N308" s="152">
        <f>+VLOOKUP(Opex_VE[[#This Row],[Fecha]],Opex!$B:$Y,OPEX_SALES!N$1,1)</f>
        <v>3500</v>
      </c>
      <c r="O308" s="152">
        <f>+VLOOKUP(Opex_VE[[#This Row],[Fecha]],Opex!$B:$Y,OPEX_SALES!O$1,1)</f>
        <v>8243.9666666666672</v>
      </c>
      <c r="P308" s="152">
        <f>+VLOOKUP(Opex_VE[[#This Row],[Fecha]],Opex!$B:$Y,OPEX_SALES!P$1,1)</f>
        <v>4000</v>
      </c>
      <c r="Q308" s="152">
        <f>+VLOOKUP(Opex_VE[[#This Row],[Fecha]],Opex!$B:$Y,OPEX_SALES!Q$1,1)</f>
        <v>10635</v>
      </c>
      <c r="R308" s="153">
        <f>+SUM(Opex_VE[[#This Row],[Cajero]:[Domiciliario]])</f>
        <v>140000</v>
      </c>
      <c r="S308" s="152">
        <v>70000</v>
      </c>
      <c r="T308" s="152">
        <v>70000</v>
      </c>
      <c r="U308" s="152">
        <v>0</v>
      </c>
      <c r="V308"/>
    </row>
    <row r="309" spans="1:22" x14ac:dyDescent="0.2">
      <c r="A309" s="149">
        <v>46372</v>
      </c>
      <c r="B309" s="3">
        <f t="shared" si="9"/>
        <v>43</v>
      </c>
      <c r="C309" s="3" t="str">
        <f>+TEXT(Opex_VE[[#This Row],[Fecha]],"ddd")</f>
        <v>mié</v>
      </c>
      <c r="E309" s="14" t="s">
        <v>112</v>
      </c>
      <c r="F309" s="168">
        <f>IFERROR(VLOOKUP(Opex_VE[[#This Row],[Fecha]],Historia!A:B,2,0),_xlfn.XLOOKUP(Opex_VE[[#This Row],[dia]],Forecast!I:I,Forecast!J:J))</f>
        <v>339250</v>
      </c>
      <c r="G309" s="168">
        <f>IFERROR(VLOOKUP(Opex_VE[[#This Row],[Fecha]],Historia!A:C,3,0),_xlfn.XLOOKUP(Opex_VE[[#This Row],[dia]],Forecast!I:I,Forecast!K:K))</f>
        <v>135700</v>
      </c>
      <c r="H309" s="182">
        <f>+Opex_VE[[#This Row],[MG]]-Opex_VE[[#This Row],[Opex]]</f>
        <v>-85678.966666666674</v>
      </c>
      <c r="I309" s="168" t="str">
        <f>IFERROR(VLOOKUP(Opex_VE[[#This Row],[Fecha]],Historia!A:D,4,0),"Forecast")</f>
        <v>Forecast</v>
      </c>
      <c r="J309" s="157">
        <f t="shared" si="8"/>
        <v>553447.41666666663</v>
      </c>
      <c r="K309" s="151">
        <f>+Opex_VE[[#This Row],[Arriendo]]+Opex_VE[[#This Row],[Servicios publicos]]+Opex_VE[[#This Row],[Nomina]]</f>
        <v>221378.96666666667</v>
      </c>
      <c r="L309" s="152">
        <f>+VLOOKUP(Opex_VE[[#This Row],[Fecha]],Opex!$B:$Y,OPEX_SALES!L$1,1)</f>
        <v>55000</v>
      </c>
      <c r="M309" s="153">
        <f>+SUM(Opex_VE[[#This Row],[Internet]:[Electricidad]])</f>
        <v>26378.966666666667</v>
      </c>
      <c r="N309" s="152">
        <f>+VLOOKUP(Opex_VE[[#This Row],[Fecha]],Opex!$B:$Y,OPEX_SALES!N$1,1)</f>
        <v>3500</v>
      </c>
      <c r="O309" s="152">
        <f>+VLOOKUP(Opex_VE[[#This Row],[Fecha]],Opex!$B:$Y,OPEX_SALES!O$1,1)</f>
        <v>8243.9666666666672</v>
      </c>
      <c r="P309" s="152">
        <f>+VLOOKUP(Opex_VE[[#This Row],[Fecha]],Opex!$B:$Y,OPEX_SALES!P$1,1)</f>
        <v>4000</v>
      </c>
      <c r="Q309" s="152">
        <f>+VLOOKUP(Opex_VE[[#This Row],[Fecha]],Opex!$B:$Y,OPEX_SALES!Q$1,1)</f>
        <v>10635</v>
      </c>
      <c r="R309" s="153">
        <f>+SUM(Opex_VE[[#This Row],[Cajero]:[Domiciliario]])</f>
        <v>140000</v>
      </c>
      <c r="S309" s="152">
        <v>70000</v>
      </c>
      <c r="T309" s="152">
        <v>70000</v>
      </c>
      <c r="U309" s="152">
        <v>0</v>
      </c>
      <c r="V309"/>
    </row>
    <row r="310" spans="1:22" x14ac:dyDescent="0.2">
      <c r="A310" s="149">
        <v>46373</v>
      </c>
      <c r="B310" s="3">
        <f t="shared" si="9"/>
        <v>43</v>
      </c>
      <c r="C310" s="3" t="str">
        <f>+TEXT(Opex_VE[[#This Row],[Fecha]],"ddd")</f>
        <v>jue</v>
      </c>
      <c r="E310" s="14" t="s">
        <v>112</v>
      </c>
      <c r="F310" s="168">
        <f>IFERROR(VLOOKUP(Opex_VE[[#This Row],[Fecha]],Historia!A:B,2,0),_xlfn.XLOOKUP(Opex_VE[[#This Row],[dia]],Forecast!I:I,Forecast!J:J))</f>
        <v>274975</v>
      </c>
      <c r="G310" s="168">
        <f>IFERROR(VLOOKUP(Opex_VE[[#This Row],[Fecha]],Historia!A:C,3,0),_xlfn.XLOOKUP(Opex_VE[[#This Row],[dia]],Forecast!I:I,Forecast!K:K))</f>
        <v>109990</v>
      </c>
      <c r="H310" s="182">
        <f>+Opex_VE[[#This Row],[MG]]-Opex_VE[[#This Row],[Opex]]</f>
        <v>-111388.96666666667</v>
      </c>
      <c r="I310" s="168" t="str">
        <f>IFERROR(VLOOKUP(Opex_VE[[#This Row],[Fecha]],Historia!A:D,4,0),"Forecast")</f>
        <v>Forecast</v>
      </c>
      <c r="J310" s="157">
        <f t="shared" si="8"/>
        <v>553447.41666666663</v>
      </c>
      <c r="K310" s="151">
        <f>+Opex_VE[[#This Row],[Arriendo]]+Opex_VE[[#This Row],[Servicios publicos]]+Opex_VE[[#This Row],[Nomina]]</f>
        <v>221378.96666666667</v>
      </c>
      <c r="L310" s="152">
        <f>+VLOOKUP(Opex_VE[[#This Row],[Fecha]],Opex!$B:$Y,OPEX_SALES!L$1,1)</f>
        <v>55000</v>
      </c>
      <c r="M310" s="153">
        <f>+SUM(Opex_VE[[#This Row],[Internet]:[Electricidad]])</f>
        <v>26378.966666666667</v>
      </c>
      <c r="N310" s="152">
        <f>+VLOOKUP(Opex_VE[[#This Row],[Fecha]],Opex!$B:$Y,OPEX_SALES!N$1,1)</f>
        <v>3500</v>
      </c>
      <c r="O310" s="152">
        <f>+VLOOKUP(Opex_VE[[#This Row],[Fecha]],Opex!$B:$Y,OPEX_SALES!O$1,1)</f>
        <v>8243.9666666666672</v>
      </c>
      <c r="P310" s="152">
        <f>+VLOOKUP(Opex_VE[[#This Row],[Fecha]],Opex!$B:$Y,OPEX_SALES!P$1,1)</f>
        <v>4000</v>
      </c>
      <c r="Q310" s="152">
        <f>+VLOOKUP(Opex_VE[[#This Row],[Fecha]],Opex!$B:$Y,OPEX_SALES!Q$1,1)</f>
        <v>10635</v>
      </c>
      <c r="R310" s="153">
        <f>+SUM(Opex_VE[[#This Row],[Cajero]:[Domiciliario]])</f>
        <v>140000</v>
      </c>
      <c r="S310" s="152">
        <v>70000</v>
      </c>
      <c r="T310" s="152">
        <v>70000</v>
      </c>
      <c r="U310" s="152">
        <v>0</v>
      </c>
      <c r="V310"/>
    </row>
    <row r="311" spans="1:22" x14ac:dyDescent="0.2">
      <c r="A311" s="149">
        <v>46374</v>
      </c>
      <c r="B311" s="3">
        <f t="shared" si="9"/>
        <v>43</v>
      </c>
      <c r="C311" s="3" t="str">
        <f>+TEXT(Opex_VE[[#This Row],[Fecha]],"ddd")</f>
        <v>vie</v>
      </c>
      <c r="E311" s="14" t="s">
        <v>217</v>
      </c>
      <c r="F311" s="168">
        <f>IFERROR(VLOOKUP(Opex_VE[[#This Row],[Fecha]],Historia!A:B,2,0),_xlfn.XLOOKUP(Opex_VE[[#This Row],[dia]],Forecast!I:I,Forecast!J:J))</f>
        <v>184566.66666666666</v>
      </c>
      <c r="G311" s="168">
        <f>IFERROR(VLOOKUP(Opex_VE[[#This Row],[Fecha]],Historia!A:C,3,0),_xlfn.XLOOKUP(Opex_VE[[#This Row],[dia]],Forecast!I:I,Forecast!K:K))</f>
        <v>73826.666666666672</v>
      </c>
      <c r="H311" s="182">
        <f>+Opex_VE[[#This Row],[MG]]-Opex_VE[[#This Row],[Opex]]</f>
        <v>-147552.29999999999</v>
      </c>
      <c r="I311" s="168" t="str">
        <f>IFERROR(VLOOKUP(Opex_VE[[#This Row],[Fecha]],Historia!A:D,4,0),"Forecast")</f>
        <v>Forecast</v>
      </c>
      <c r="J311" s="157">
        <f t="shared" si="8"/>
        <v>553447.41666666663</v>
      </c>
      <c r="K311" s="151">
        <f>+Opex_VE[[#This Row],[Arriendo]]+Opex_VE[[#This Row],[Servicios publicos]]+Opex_VE[[#This Row],[Nomina]]</f>
        <v>221378.96666666667</v>
      </c>
      <c r="L311" s="152">
        <f>+VLOOKUP(Opex_VE[[#This Row],[Fecha]],Opex!$B:$Y,OPEX_SALES!L$1,1)</f>
        <v>55000</v>
      </c>
      <c r="M311" s="153">
        <f>+SUM(Opex_VE[[#This Row],[Internet]:[Electricidad]])</f>
        <v>26378.966666666667</v>
      </c>
      <c r="N311" s="152">
        <f>+VLOOKUP(Opex_VE[[#This Row],[Fecha]],Opex!$B:$Y,OPEX_SALES!N$1,1)</f>
        <v>3500</v>
      </c>
      <c r="O311" s="152">
        <f>+VLOOKUP(Opex_VE[[#This Row],[Fecha]],Opex!$B:$Y,OPEX_SALES!O$1,1)</f>
        <v>8243.9666666666672</v>
      </c>
      <c r="P311" s="152">
        <f>+VLOOKUP(Opex_VE[[#This Row],[Fecha]],Opex!$B:$Y,OPEX_SALES!P$1,1)</f>
        <v>4000</v>
      </c>
      <c r="Q311" s="152">
        <f>+VLOOKUP(Opex_VE[[#This Row],[Fecha]],Opex!$B:$Y,OPEX_SALES!Q$1,1)</f>
        <v>10635</v>
      </c>
      <c r="R311" s="153">
        <f>+SUM(Opex_VE[[#This Row],[Cajero]:[Domiciliario]])</f>
        <v>140000</v>
      </c>
      <c r="S311" s="152">
        <v>70000</v>
      </c>
      <c r="T311" s="152">
        <v>70000</v>
      </c>
      <c r="U311" s="152">
        <v>0</v>
      </c>
      <c r="V311"/>
    </row>
    <row r="312" spans="1:22" x14ac:dyDescent="0.2">
      <c r="A312" s="149">
        <v>46375</v>
      </c>
      <c r="B312" s="3">
        <f t="shared" si="9"/>
        <v>43</v>
      </c>
      <c r="C312" s="3" t="str">
        <f>+TEXT(Opex_VE[[#This Row],[Fecha]],"ddd")</f>
        <v>sáb</v>
      </c>
      <c r="E312" s="14" t="s">
        <v>113</v>
      </c>
      <c r="F312" s="168">
        <f>IFERROR(VLOOKUP(Opex_VE[[#This Row],[Fecha]],Historia!A:B,2,0),_xlfn.XLOOKUP(Opex_VE[[#This Row],[dia]],Forecast!I:I,Forecast!J:J))</f>
        <v>398333.33333333331</v>
      </c>
      <c r="G312" s="168">
        <f>IFERROR(VLOOKUP(Opex_VE[[#This Row],[Fecha]],Historia!A:C,3,0),_xlfn.XLOOKUP(Opex_VE[[#This Row],[dia]],Forecast!I:I,Forecast!K:K))</f>
        <v>159333.33333333334</v>
      </c>
      <c r="H312" s="182">
        <f>+Opex_VE[[#This Row],[MG]]-Opex_VE[[#This Row],[Opex]]</f>
        <v>-62045.633333333331</v>
      </c>
      <c r="I312" s="169" t="str">
        <f>IFERROR(VLOOKUP(Opex_VE[[#This Row],[Fecha]],Historia!A:D,4,0),"Forecast")</f>
        <v>Forecast</v>
      </c>
      <c r="J312" s="157">
        <f t="shared" si="8"/>
        <v>553447.41666666663</v>
      </c>
      <c r="K312" s="151">
        <f>+Opex_VE[[#This Row],[Arriendo]]+Opex_VE[[#This Row],[Servicios publicos]]+Opex_VE[[#This Row],[Nomina]]</f>
        <v>221378.96666666667</v>
      </c>
      <c r="L312" s="152">
        <f>+VLOOKUP(Opex_VE[[#This Row],[Fecha]],Opex!$B:$Y,OPEX_SALES!L$1,1)</f>
        <v>55000</v>
      </c>
      <c r="M312" s="153">
        <f>+SUM(Opex_VE[[#This Row],[Internet]:[Electricidad]])</f>
        <v>26378.966666666667</v>
      </c>
      <c r="N312" s="152">
        <f>+VLOOKUP(Opex_VE[[#This Row],[Fecha]],Opex!$B:$Y,OPEX_SALES!N$1,1)</f>
        <v>3500</v>
      </c>
      <c r="O312" s="152">
        <f>+VLOOKUP(Opex_VE[[#This Row],[Fecha]],Opex!$B:$Y,OPEX_SALES!O$1,1)</f>
        <v>8243.9666666666672</v>
      </c>
      <c r="P312" s="152">
        <f>+VLOOKUP(Opex_VE[[#This Row],[Fecha]],Opex!$B:$Y,OPEX_SALES!P$1,1)</f>
        <v>4000</v>
      </c>
      <c r="Q312" s="152">
        <f>+VLOOKUP(Opex_VE[[#This Row],[Fecha]],Opex!$B:$Y,OPEX_SALES!Q$1,1)</f>
        <v>10635</v>
      </c>
      <c r="R312" s="153">
        <f>+SUM(Opex_VE[[#This Row],[Cajero]:[Domiciliario]])</f>
        <v>140000</v>
      </c>
      <c r="S312" s="152">
        <v>70000</v>
      </c>
      <c r="T312" s="152">
        <v>70000</v>
      </c>
      <c r="U312" s="152">
        <v>0</v>
      </c>
      <c r="V312"/>
    </row>
    <row r="313" spans="1:22" x14ac:dyDescent="0.2">
      <c r="A313" s="149">
        <v>46376</v>
      </c>
      <c r="B313" s="3">
        <f t="shared" si="9"/>
        <v>43</v>
      </c>
      <c r="C313" s="3" t="str">
        <f>+TEXT(Opex_VE[[#This Row],[Fecha]],"ddd")</f>
        <v>dom</v>
      </c>
      <c r="E313" s="14" t="s">
        <v>145</v>
      </c>
      <c r="F313" s="168">
        <f>IFERROR(VLOOKUP(Opex_VE[[#This Row],[Fecha]],Historia!A:B,2,0),_xlfn.XLOOKUP(Opex_VE[[#This Row],[dia]],Forecast!I:I,Forecast!J:J))</f>
        <v>168750</v>
      </c>
      <c r="G313" s="168">
        <f>IFERROR(VLOOKUP(Opex_VE[[#This Row],[Fecha]],Historia!A:C,3,0),_xlfn.XLOOKUP(Opex_VE[[#This Row],[dia]],Forecast!I:I,Forecast!K:K))</f>
        <v>67500</v>
      </c>
      <c r="H313" s="182">
        <f>+Opex_VE[[#This Row],[MG]]-Opex_VE[[#This Row],[Opex]]</f>
        <v>-153878.96666666667</v>
      </c>
      <c r="I313" s="168" t="str">
        <f>IFERROR(VLOOKUP(Opex_VE[[#This Row],[Fecha]],Historia!A:D,4,0),"Forecast")</f>
        <v>Forecast</v>
      </c>
      <c r="J313" s="157">
        <f t="shared" si="8"/>
        <v>553447.41666666663</v>
      </c>
      <c r="K313" s="151">
        <f>+Opex_VE[[#This Row],[Arriendo]]+Opex_VE[[#This Row],[Servicios publicos]]+Opex_VE[[#This Row],[Nomina]]</f>
        <v>221378.96666666667</v>
      </c>
      <c r="L313" s="152">
        <f>+VLOOKUP(Opex_VE[[#This Row],[Fecha]],Opex!$B:$Y,OPEX_SALES!L$1,1)</f>
        <v>55000</v>
      </c>
      <c r="M313" s="153">
        <f>+SUM(Opex_VE[[#This Row],[Internet]:[Electricidad]])</f>
        <v>26378.966666666667</v>
      </c>
      <c r="N313" s="152">
        <f>+VLOOKUP(Opex_VE[[#This Row],[Fecha]],Opex!$B:$Y,OPEX_SALES!N$1,1)</f>
        <v>3500</v>
      </c>
      <c r="O313" s="152">
        <f>+VLOOKUP(Opex_VE[[#This Row],[Fecha]],Opex!$B:$Y,OPEX_SALES!O$1,1)</f>
        <v>8243.9666666666672</v>
      </c>
      <c r="P313" s="152">
        <f>+VLOOKUP(Opex_VE[[#This Row],[Fecha]],Opex!$B:$Y,OPEX_SALES!P$1,1)</f>
        <v>4000</v>
      </c>
      <c r="Q313" s="152">
        <f>+VLOOKUP(Opex_VE[[#This Row],[Fecha]],Opex!$B:$Y,OPEX_SALES!Q$1,1)</f>
        <v>10635</v>
      </c>
      <c r="R313" s="153">
        <f>+SUM(Opex_VE[[#This Row],[Cajero]:[Domiciliario]])</f>
        <v>140000</v>
      </c>
      <c r="S313" s="152">
        <v>70000</v>
      </c>
      <c r="T313" s="152">
        <v>70000</v>
      </c>
      <c r="U313" s="152">
        <v>0</v>
      </c>
      <c r="V313"/>
    </row>
    <row r="314" spans="1:22" x14ac:dyDescent="0.2">
      <c r="A314" s="149">
        <v>46377</v>
      </c>
      <c r="B314" s="3">
        <f t="shared" si="9"/>
        <v>44</v>
      </c>
      <c r="C314" s="3" t="str">
        <f>+TEXT(Opex_VE[[#This Row],[Fecha]],"ddd")</f>
        <v>lun</v>
      </c>
      <c r="E314" s="14" t="s">
        <v>112</v>
      </c>
      <c r="F314" s="168">
        <f>IFERROR(VLOOKUP(Opex_VE[[#This Row],[Fecha]],Historia!A:B,2,0),_xlfn.XLOOKUP(Opex_VE[[#This Row],[dia]],Forecast!I:I,Forecast!J:J))</f>
        <v>164375</v>
      </c>
      <c r="G314" s="168">
        <f>IFERROR(VLOOKUP(Opex_VE[[#This Row],[Fecha]],Historia!A:C,3,0),_xlfn.XLOOKUP(Opex_VE[[#This Row],[dia]],Forecast!I:I,Forecast!K:K))</f>
        <v>65750</v>
      </c>
      <c r="H314" s="182">
        <f>+Opex_VE[[#This Row],[MG]]-Opex_VE[[#This Row],[Opex]]</f>
        <v>-155628.96666666667</v>
      </c>
      <c r="I314" s="168" t="str">
        <f>IFERROR(VLOOKUP(Opex_VE[[#This Row],[Fecha]],Historia!A:D,4,0),"Forecast")</f>
        <v>Forecast</v>
      </c>
      <c r="J314" s="157">
        <f t="shared" si="8"/>
        <v>553447.41666666663</v>
      </c>
      <c r="K314" s="151">
        <f>+Opex_VE[[#This Row],[Arriendo]]+Opex_VE[[#This Row],[Servicios publicos]]+Opex_VE[[#This Row],[Nomina]]</f>
        <v>221378.96666666667</v>
      </c>
      <c r="L314" s="152">
        <f>+VLOOKUP(Opex_VE[[#This Row],[Fecha]],Opex!$B:$Y,OPEX_SALES!L$1,1)</f>
        <v>55000</v>
      </c>
      <c r="M314" s="153">
        <f>+SUM(Opex_VE[[#This Row],[Internet]:[Electricidad]])</f>
        <v>26378.966666666667</v>
      </c>
      <c r="N314" s="152">
        <f>+VLOOKUP(Opex_VE[[#This Row],[Fecha]],Opex!$B:$Y,OPEX_SALES!N$1,1)</f>
        <v>3500</v>
      </c>
      <c r="O314" s="152">
        <f>+VLOOKUP(Opex_VE[[#This Row],[Fecha]],Opex!$B:$Y,OPEX_SALES!O$1,1)</f>
        <v>8243.9666666666672</v>
      </c>
      <c r="P314" s="152">
        <f>+VLOOKUP(Opex_VE[[#This Row],[Fecha]],Opex!$B:$Y,OPEX_SALES!P$1,1)</f>
        <v>4000</v>
      </c>
      <c r="Q314" s="152">
        <f>+VLOOKUP(Opex_VE[[#This Row],[Fecha]],Opex!$B:$Y,OPEX_SALES!Q$1,1)</f>
        <v>10635</v>
      </c>
      <c r="R314" s="153">
        <f>+SUM(Opex_VE[[#This Row],[Cajero]:[Domiciliario]])</f>
        <v>140000</v>
      </c>
      <c r="S314" s="152">
        <v>70000</v>
      </c>
      <c r="T314" s="152">
        <v>70000</v>
      </c>
      <c r="U314" s="152">
        <v>0</v>
      </c>
      <c r="V314"/>
    </row>
    <row r="315" spans="1:22" x14ac:dyDescent="0.2">
      <c r="A315" s="149">
        <v>46378</v>
      </c>
      <c r="B315" s="3">
        <f t="shared" si="9"/>
        <v>44</v>
      </c>
      <c r="C315" s="3" t="str">
        <f>+TEXT(Opex_VE[[#This Row],[Fecha]],"ddd")</f>
        <v>mar</v>
      </c>
      <c r="E315" s="14" t="s">
        <v>112</v>
      </c>
      <c r="F315" s="168">
        <f>IFERROR(VLOOKUP(Opex_VE[[#This Row],[Fecha]],Historia!A:B,2,0),_xlfn.XLOOKUP(Opex_VE[[#This Row],[dia]],Forecast!I:I,Forecast!J:J))</f>
        <v>199625</v>
      </c>
      <c r="G315" s="168">
        <f>IFERROR(VLOOKUP(Opex_VE[[#This Row],[Fecha]],Historia!A:C,3,0),_xlfn.XLOOKUP(Opex_VE[[#This Row],[dia]],Forecast!I:I,Forecast!K:K))</f>
        <v>79850</v>
      </c>
      <c r="H315" s="182">
        <f>+Opex_VE[[#This Row],[MG]]-Opex_VE[[#This Row],[Opex]]</f>
        <v>-141528.96666666667</v>
      </c>
      <c r="I315" s="168" t="str">
        <f>IFERROR(VLOOKUP(Opex_VE[[#This Row],[Fecha]],Historia!A:D,4,0),"Forecast")</f>
        <v>Forecast</v>
      </c>
      <c r="J315" s="157">
        <f t="shared" si="8"/>
        <v>553447.41666666663</v>
      </c>
      <c r="K315" s="151">
        <f>+Opex_VE[[#This Row],[Arriendo]]+Opex_VE[[#This Row],[Servicios publicos]]+Opex_VE[[#This Row],[Nomina]]</f>
        <v>221378.96666666667</v>
      </c>
      <c r="L315" s="152">
        <f>+VLOOKUP(Opex_VE[[#This Row],[Fecha]],Opex!$B:$Y,OPEX_SALES!L$1,1)</f>
        <v>55000</v>
      </c>
      <c r="M315" s="153">
        <f>+SUM(Opex_VE[[#This Row],[Internet]:[Electricidad]])</f>
        <v>26378.966666666667</v>
      </c>
      <c r="N315" s="152">
        <f>+VLOOKUP(Opex_VE[[#This Row],[Fecha]],Opex!$B:$Y,OPEX_SALES!N$1,1)</f>
        <v>3500</v>
      </c>
      <c r="O315" s="152">
        <f>+VLOOKUP(Opex_VE[[#This Row],[Fecha]],Opex!$B:$Y,OPEX_SALES!O$1,1)</f>
        <v>8243.9666666666672</v>
      </c>
      <c r="P315" s="152">
        <f>+VLOOKUP(Opex_VE[[#This Row],[Fecha]],Opex!$B:$Y,OPEX_SALES!P$1,1)</f>
        <v>4000</v>
      </c>
      <c r="Q315" s="152">
        <f>+VLOOKUP(Opex_VE[[#This Row],[Fecha]],Opex!$B:$Y,OPEX_SALES!Q$1,1)</f>
        <v>10635</v>
      </c>
      <c r="R315" s="153">
        <f>+SUM(Opex_VE[[#This Row],[Cajero]:[Domiciliario]])</f>
        <v>140000</v>
      </c>
      <c r="S315" s="152">
        <v>70000</v>
      </c>
      <c r="T315" s="152">
        <v>70000</v>
      </c>
      <c r="U315" s="152">
        <v>0</v>
      </c>
      <c r="V315"/>
    </row>
    <row r="316" spans="1:22" x14ac:dyDescent="0.2">
      <c r="A316" s="149">
        <v>46379</v>
      </c>
      <c r="B316" s="3">
        <f t="shared" si="9"/>
        <v>44</v>
      </c>
      <c r="C316" s="3" t="str">
        <f>+TEXT(Opex_VE[[#This Row],[Fecha]],"ddd")</f>
        <v>mié</v>
      </c>
      <c r="E316" s="14" t="s">
        <v>112</v>
      </c>
      <c r="F316" s="168">
        <f>IFERROR(VLOOKUP(Opex_VE[[#This Row],[Fecha]],Historia!A:B,2,0),_xlfn.XLOOKUP(Opex_VE[[#This Row],[dia]],Forecast!I:I,Forecast!J:J))</f>
        <v>339250</v>
      </c>
      <c r="G316" s="168">
        <f>IFERROR(VLOOKUP(Opex_VE[[#This Row],[Fecha]],Historia!A:C,3,0),_xlfn.XLOOKUP(Opex_VE[[#This Row],[dia]],Forecast!I:I,Forecast!K:K))</f>
        <v>135700</v>
      </c>
      <c r="H316" s="182">
        <f>+Opex_VE[[#This Row],[MG]]-Opex_VE[[#This Row],[Opex]]</f>
        <v>-85678.966666666674</v>
      </c>
      <c r="I316" s="168" t="str">
        <f>IFERROR(VLOOKUP(Opex_VE[[#This Row],[Fecha]],Historia!A:D,4,0),"Forecast")</f>
        <v>Forecast</v>
      </c>
      <c r="J316" s="157">
        <f t="shared" si="8"/>
        <v>553447.41666666663</v>
      </c>
      <c r="K316" s="151">
        <f>+Opex_VE[[#This Row],[Arriendo]]+Opex_VE[[#This Row],[Servicios publicos]]+Opex_VE[[#This Row],[Nomina]]</f>
        <v>221378.96666666667</v>
      </c>
      <c r="L316" s="152">
        <f>+VLOOKUP(Opex_VE[[#This Row],[Fecha]],Opex!$B:$Y,OPEX_SALES!L$1,1)</f>
        <v>55000</v>
      </c>
      <c r="M316" s="153">
        <f>+SUM(Opex_VE[[#This Row],[Internet]:[Electricidad]])</f>
        <v>26378.966666666667</v>
      </c>
      <c r="N316" s="152">
        <f>+VLOOKUP(Opex_VE[[#This Row],[Fecha]],Opex!$B:$Y,OPEX_SALES!N$1,1)</f>
        <v>3500</v>
      </c>
      <c r="O316" s="152">
        <f>+VLOOKUP(Opex_VE[[#This Row],[Fecha]],Opex!$B:$Y,OPEX_SALES!O$1,1)</f>
        <v>8243.9666666666672</v>
      </c>
      <c r="P316" s="152">
        <f>+VLOOKUP(Opex_VE[[#This Row],[Fecha]],Opex!$B:$Y,OPEX_SALES!P$1,1)</f>
        <v>4000</v>
      </c>
      <c r="Q316" s="152">
        <f>+VLOOKUP(Opex_VE[[#This Row],[Fecha]],Opex!$B:$Y,OPEX_SALES!Q$1,1)</f>
        <v>10635</v>
      </c>
      <c r="R316" s="153">
        <f>+SUM(Opex_VE[[#This Row],[Cajero]:[Domiciliario]])</f>
        <v>140000</v>
      </c>
      <c r="S316" s="152">
        <v>70000</v>
      </c>
      <c r="T316" s="152">
        <v>70000</v>
      </c>
      <c r="U316" s="152">
        <v>0</v>
      </c>
      <c r="V316"/>
    </row>
    <row r="317" spans="1:22" x14ac:dyDescent="0.2">
      <c r="A317" s="149">
        <v>46380</v>
      </c>
      <c r="B317" s="3">
        <f t="shared" si="9"/>
        <v>44</v>
      </c>
      <c r="C317" s="3" t="str">
        <f>+TEXT(Opex_VE[[#This Row],[Fecha]],"ddd")</f>
        <v>jue</v>
      </c>
      <c r="E317" s="14" t="s">
        <v>112</v>
      </c>
      <c r="F317" s="168">
        <f>IFERROR(VLOOKUP(Opex_VE[[#This Row],[Fecha]],Historia!A:B,2,0),_xlfn.XLOOKUP(Opex_VE[[#This Row],[dia]],Forecast!I:I,Forecast!J:J))</f>
        <v>274975</v>
      </c>
      <c r="G317" s="168">
        <f>IFERROR(VLOOKUP(Opex_VE[[#This Row],[Fecha]],Historia!A:C,3,0),_xlfn.XLOOKUP(Opex_VE[[#This Row],[dia]],Forecast!I:I,Forecast!K:K))</f>
        <v>109990</v>
      </c>
      <c r="H317" s="182">
        <f>+Opex_VE[[#This Row],[MG]]-Opex_VE[[#This Row],[Opex]]</f>
        <v>-111388.96666666667</v>
      </c>
      <c r="I317" s="168" t="str">
        <f>IFERROR(VLOOKUP(Opex_VE[[#This Row],[Fecha]],Historia!A:D,4,0),"Forecast")</f>
        <v>Forecast</v>
      </c>
      <c r="J317" s="157">
        <f t="shared" si="8"/>
        <v>553447.41666666663</v>
      </c>
      <c r="K317" s="151">
        <f>+Opex_VE[[#This Row],[Arriendo]]+Opex_VE[[#This Row],[Servicios publicos]]+Opex_VE[[#This Row],[Nomina]]</f>
        <v>221378.96666666667</v>
      </c>
      <c r="L317" s="152">
        <f>+VLOOKUP(Opex_VE[[#This Row],[Fecha]],Opex!$B:$Y,OPEX_SALES!L$1,1)</f>
        <v>55000</v>
      </c>
      <c r="M317" s="153">
        <f>+SUM(Opex_VE[[#This Row],[Internet]:[Electricidad]])</f>
        <v>26378.966666666667</v>
      </c>
      <c r="N317" s="152">
        <f>+VLOOKUP(Opex_VE[[#This Row],[Fecha]],Opex!$B:$Y,OPEX_SALES!N$1,1)</f>
        <v>3500</v>
      </c>
      <c r="O317" s="152">
        <f>+VLOOKUP(Opex_VE[[#This Row],[Fecha]],Opex!$B:$Y,OPEX_SALES!O$1,1)</f>
        <v>8243.9666666666672</v>
      </c>
      <c r="P317" s="152">
        <f>+VLOOKUP(Opex_VE[[#This Row],[Fecha]],Opex!$B:$Y,OPEX_SALES!P$1,1)</f>
        <v>4000</v>
      </c>
      <c r="Q317" s="152">
        <f>+VLOOKUP(Opex_VE[[#This Row],[Fecha]],Opex!$B:$Y,OPEX_SALES!Q$1,1)</f>
        <v>10635</v>
      </c>
      <c r="R317" s="153">
        <f>+SUM(Opex_VE[[#This Row],[Cajero]:[Domiciliario]])</f>
        <v>140000</v>
      </c>
      <c r="S317" s="152">
        <v>70000</v>
      </c>
      <c r="T317" s="152">
        <v>70000</v>
      </c>
      <c r="U317" s="152">
        <v>0</v>
      </c>
      <c r="V317"/>
    </row>
    <row r="318" spans="1:22" x14ac:dyDescent="0.2">
      <c r="A318" s="149">
        <v>46381</v>
      </c>
      <c r="B318" s="3">
        <f t="shared" si="9"/>
        <v>44</v>
      </c>
      <c r="C318" s="3" t="str">
        <f>+TEXT(Opex_VE[[#This Row],[Fecha]],"ddd")</f>
        <v>vie</v>
      </c>
      <c r="E318" s="14" t="s">
        <v>217</v>
      </c>
      <c r="F318" s="168">
        <f>IFERROR(VLOOKUP(Opex_VE[[#This Row],[Fecha]],Historia!A:B,2,0),_xlfn.XLOOKUP(Opex_VE[[#This Row],[dia]],Forecast!I:I,Forecast!J:J))</f>
        <v>184566.66666666666</v>
      </c>
      <c r="G318" s="168">
        <f>IFERROR(VLOOKUP(Opex_VE[[#This Row],[Fecha]],Historia!A:C,3,0),_xlfn.XLOOKUP(Opex_VE[[#This Row],[dia]],Forecast!I:I,Forecast!K:K))</f>
        <v>73826.666666666672</v>
      </c>
      <c r="H318" s="182">
        <f>+Opex_VE[[#This Row],[MG]]-Opex_VE[[#This Row],[Opex]]</f>
        <v>-147552.29999999999</v>
      </c>
      <c r="I318" s="168" t="str">
        <f>IFERROR(VLOOKUP(Opex_VE[[#This Row],[Fecha]],Historia!A:D,4,0),"Forecast")</f>
        <v>Forecast</v>
      </c>
      <c r="J318" s="157">
        <f t="shared" si="8"/>
        <v>553447.41666666663</v>
      </c>
      <c r="K318" s="151">
        <f>+Opex_VE[[#This Row],[Arriendo]]+Opex_VE[[#This Row],[Servicios publicos]]+Opex_VE[[#This Row],[Nomina]]</f>
        <v>221378.96666666667</v>
      </c>
      <c r="L318" s="152">
        <f>+VLOOKUP(Opex_VE[[#This Row],[Fecha]],Opex!$B:$Y,OPEX_SALES!L$1,1)</f>
        <v>55000</v>
      </c>
      <c r="M318" s="153">
        <f>+SUM(Opex_VE[[#This Row],[Internet]:[Electricidad]])</f>
        <v>26378.966666666667</v>
      </c>
      <c r="N318" s="152">
        <f>+VLOOKUP(Opex_VE[[#This Row],[Fecha]],Opex!$B:$Y,OPEX_SALES!N$1,1)</f>
        <v>3500</v>
      </c>
      <c r="O318" s="152">
        <f>+VLOOKUP(Opex_VE[[#This Row],[Fecha]],Opex!$B:$Y,OPEX_SALES!O$1,1)</f>
        <v>8243.9666666666672</v>
      </c>
      <c r="P318" s="152">
        <f>+VLOOKUP(Opex_VE[[#This Row],[Fecha]],Opex!$B:$Y,OPEX_SALES!P$1,1)</f>
        <v>4000</v>
      </c>
      <c r="Q318" s="152">
        <f>+VLOOKUP(Opex_VE[[#This Row],[Fecha]],Opex!$B:$Y,OPEX_SALES!Q$1,1)</f>
        <v>10635</v>
      </c>
      <c r="R318" s="153">
        <f>+SUM(Opex_VE[[#This Row],[Cajero]:[Domiciliario]])</f>
        <v>140000</v>
      </c>
      <c r="S318" s="152">
        <v>70000</v>
      </c>
      <c r="T318" s="152">
        <v>70000</v>
      </c>
      <c r="U318" s="152">
        <v>0</v>
      </c>
      <c r="V318"/>
    </row>
    <row r="319" spans="1:22" x14ac:dyDescent="0.2">
      <c r="A319" s="149">
        <v>46382</v>
      </c>
      <c r="B319" s="3">
        <f t="shared" si="9"/>
        <v>44</v>
      </c>
      <c r="C319" s="3" t="str">
        <f>+TEXT(Opex_VE[[#This Row],[Fecha]],"ddd")</f>
        <v>sáb</v>
      </c>
      <c r="E319" s="14" t="s">
        <v>113</v>
      </c>
      <c r="F319" s="168">
        <f>IFERROR(VLOOKUP(Opex_VE[[#This Row],[Fecha]],Historia!A:B,2,0),_xlfn.XLOOKUP(Opex_VE[[#This Row],[dia]],Forecast!I:I,Forecast!J:J))</f>
        <v>398333.33333333331</v>
      </c>
      <c r="G319" s="168">
        <f>IFERROR(VLOOKUP(Opex_VE[[#This Row],[Fecha]],Historia!A:C,3,0),_xlfn.XLOOKUP(Opex_VE[[#This Row],[dia]],Forecast!I:I,Forecast!K:K))</f>
        <v>159333.33333333334</v>
      </c>
      <c r="H319" s="182">
        <f>+Opex_VE[[#This Row],[MG]]-Opex_VE[[#This Row],[Opex]]</f>
        <v>-62045.633333333331</v>
      </c>
      <c r="I319" s="169" t="str">
        <f>IFERROR(VLOOKUP(Opex_VE[[#This Row],[Fecha]],Historia!A:D,4,0),"Forecast")</f>
        <v>Forecast</v>
      </c>
      <c r="J319" s="157">
        <f t="shared" si="8"/>
        <v>553447.41666666663</v>
      </c>
      <c r="K319" s="151">
        <f>+Opex_VE[[#This Row],[Arriendo]]+Opex_VE[[#This Row],[Servicios publicos]]+Opex_VE[[#This Row],[Nomina]]</f>
        <v>221378.96666666667</v>
      </c>
      <c r="L319" s="152">
        <f>+VLOOKUP(Opex_VE[[#This Row],[Fecha]],Opex!$B:$Y,OPEX_SALES!L$1,1)</f>
        <v>55000</v>
      </c>
      <c r="M319" s="153">
        <f>+SUM(Opex_VE[[#This Row],[Internet]:[Electricidad]])</f>
        <v>26378.966666666667</v>
      </c>
      <c r="N319" s="152">
        <f>+VLOOKUP(Opex_VE[[#This Row],[Fecha]],Opex!$B:$Y,OPEX_SALES!N$1,1)</f>
        <v>3500</v>
      </c>
      <c r="O319" s="152">
        <f>+VLOOKUP(Opex_VE[[#This Row],[Fecha]],Opex!$B:$Y,OPEX_SALES!O$1,1)</f>
        <v>8243.9666666666672</v>
      </c>
      <c r="P319" s="152">
        <f>+VLOOKUP(Opex_VE[[#This Row],[Fecha]],Opex!$B:$Y,OPEX_SALES!P$1,1)</f>
        <v>4000</v>
      </c>
      <c r="Q319" s="152">
        <f>+VLOOKUP(Opex_VE[[#This Row],[Fecha]],Opex!$B:$Y,OPEX_SALES!Q$1,1)</f>
        <v>10635</v>
      </c>
      <c r="R319" s="153">
        <f>+SUM(Opex_VE[[#This Row],[Cajero]:[Domiciliario]])</f>
        <v>140000</v>
      </c>
      <c r="S319" s="152">
        <v>70000</v>
      </c>
      <c r="T319" s="152">
        <v>70000</v>
      </c>
      <c r="U319" s="152">
        <v>0</v>
      </c>
      <c r="V319"/>
    </row>
    <row r="320" spans="1:22" x14ac:dyDescent="0.2">
      <c r="A320" s="149">
        <v>46383</v>
      </c>
      <c r="B320" s="3">
        <f t="shared" si="9"/>
        <v>44</v>
      </c>
      <c r="C320" s="3" t="str">
        <f>+TEXT(Opex_VE[[#This Row],[Fecha]],"ddd")</f>
        <v>dom</v>
      </c>
      <c r="E320" s="14" t="s">
        <v>145</v>
      </c>
      <c r="F320" s="168">
        <f>IFERROR(VLOOKUP(Opex_VE[[#This Row],[Fecha]],Historia!A:B,2,0),_xlfn.XLOOKUP(Opex_VE[[#This Row],[dia]],Forecast!I:I,Forecast!J:J))</f>
        <v>168750</v>
      </c>
      <c r="G320" s="168">
        <f>IFERROR(VLOOKUP(Opex_VE[[#This Row],[Fecha]],Historia!A:C,3,0),_xlfn.XLOOKUP(Opex_VE[[#This Row],[dia]],Forecast!I:I,Forecast!K:K))</f>
        <v>67500</v>
      </c>
      <c r="H320" s="182">
        <f>+Opex_VE[[#This Row],[MG]]-Opex_VE[[#This Row],[Opex]]</f>
        <v>-153878.96666666667</v>
      </c>
      <c r="I320" s="168" t="str">
        <f>IFERROR(VLOOKUP(Opex_VE[[#This Row],[Fecha]],Historia!A:D,4,0),"Forecast")</f>
        <v>Forecast</v>
      </c>
      <c r="J320" s="157">
        <f t="shared" si="8"/>
        <v>553447.41666666663</v>
      </c>
      <c r="K320" s="151">
        <f>+Opex_VE[[#This Row],[Arriendo]]+Opex_VE[[#This Row],[Servicios publicos]]+Opex_VE[[#This Row],[Nomina]]</f>
        <v>221378.96666666667</v>
      </c>
      <c r="L320" s="152">
        <f>+VLOOKUP(Opex_VE[[#This Row],[Fecha]],Opex!$B:$Y,OPEX_SALES!L$1,1)</f>
        <v>55000</v>
      </c>
      <c r="M320" s="153">
        <f>+SUM(Opex_VE[[#This Row],[Internet]:[Electricidad]])</f>
        <v>26378.966666666667</v>
      </c>
      <c r="N320" s="152">
        <f>+VLOOKUP(Opex_VE[[#This Row],[Fecha]],Opex!$B:$Y,OPEX_SALES!N$1,1)</f>
        <v>3500</v>
      </c>
      <c r="O320" s="152">
        <f>+VLOOKUP(Opex_VE[[#This Row],[Fecha]],Opex!$B:$Y,OPEX_SALES!O$1,1)</f>
        <v>8243.9666666666672</v>
      </c>
      <c r="P320" s="152">
        <f>+VLOOKUP(Opex_VE[[#This Row],[Fecha]],Opex!$B:$Y,OPEX_SALES!P$1,1)</f>
        <v>4000</v>
      </c>
      <c r="Q320" s="152">
        <f>+VLOOKUP(Opex_VE[[#This Row],[Fecha]],Opex!$B:$Y,OPEX_SALES!Q$1,1)</f>
        <v>10635</v>
      </c>
      <c r="R320" s="153">
        <f>+SUM(Opex_VE[[#This Row],[Cajero]:[Domiciliario]])</f>
        <v>140000</v>
      </c>
      <c r="S320" s="152">
        <v>70000</v>
      </c>
      <c r="T320" s="152">
        <v>70000</v>
      </c>
      <c r="U320" s="152">
        <v>0</v>
      </c>
      <c r="V320"/>
    </row>
    <row r="321" spans="1:22" x14ac:dyDescent="0.2">
      <c r="A321" s="149">
        <v>46384</v>
      </c>
      <c r="B321" s="3">
        <f t="shared" si="9"/>
        <v>45</v>
      </c>
      <c r="C321" s="3" t="str">
        <f>+TEXT(Opex_VE[[#This Row],[Fecha]],"ddd")</f>
        <v>lun</v>
      </c>
      <c r="E321" s="14" t="s">
        <v>112</v>
      </c>
      <c r="F321" s="168">
        <f>IFERROR(VLOOKUP(Opex_VE[[#This Row],[Fecha]],Historia!A:B,2,0),_xlfn.XLOOKUP(Opex_VE[[#This Row],[dia]],Forecast!I:I,Forecast!J:J))</f>
        <v>164375</v>
      </c>
      <c r="G321" s="168">
        <f>IFERROR(VLOOKUP(Opex_VE[[#This Row],[Fecha]],Historia!A:C,3,0),_xlfn.XLOOKUP(Opex_VE[[#This Row],[dia]],Forecast!I:I,Forecast!K:K))</f>
        <v>65750</v>
      </c>
      <c r="H321" s="182">
        <f>+Opex_VE[[#This Row],[MG]]-Opex_VE[[#This Row],[Opex]]</f>
        <v>-155628.96666666667</v>
      </c>
      <c r="I321" s="168" t="str">
        <f>IFERROR(VLOOKUP(Opex_VE[[#This Row],[Fecha]],Historia!A:D,4,0),"Forecast")</f>
        <v>Forecast</v>
      </c>
      <c r="J321" s="157">
        <f t="shared" si="8"/>
        <v>553447.41666666663</v>
      </c>
      <c r="K321" s="151">
        <f>+Opex_VE[[#This Row],[Arriendo]]+Opex_VE[[#This Row],[Servicios publicos]]+Opex_VE[[#This Row],[Nomina]]</f>
        <v>221378.96666666667</v>
      </c>
      <c r="L321" s="152">
        <f>+VLOOKUP(Opex_VE[[#This Row],[Fecha]],Opex!$B:$Y,OPEX_SALES!L$1,1)</f>
        <v>55000</v>
      </c>
      <c r="M321" s="153">
        <f>+SUM(Opex_VE[[#This Row],[Internet]:[Electricidad]])</f>
        <v>26378.966666666667</v>
      </c>
      <c r="N321" s="152">
        <f>+VLOOKUP(Opex_VE[[#This Row],[Fecha]],Opex!$B:$Y,OPEX_SALES!N$1,1)</f>
        <v>3500</v>
      </c>
      <c r="O321" s="152">
        <f>+VLOOKUP(Opex_VE[[#This Row],[Fecha]],Opex!$B:$Y,OPEX_SALES!O$1,1)</f>
        <v>8243.9666666666672</v>
      </c>
      <c r="P321" s="152">
        <f>+VLOOKUP(Opex_VE[[#This Row],[Fecha]],Opex!$B:$Y,OPEX_SALES!P$1,1)</f>
        <v>4000</v>
      </c>
      <c r="Q321" s="152">
        <f>+VLOOKUP(Opex_VE[[#This Row],[Fecha]],Opex!$B:$Y,OPEX_SALES!Q$1,1)</f>
        <v>10635</v>
      </c>
      <c r="R321" s="153">
        <f>+SUM(Opex_VE[[#This Row],[Cajero]:[Domiciliario]])</f>
        <v>140000</v>
      </c>
      <c r="S321" s="152">
        <v>70000</v>
      </c>
      <c r="T321" s="152">
        <v>70000</v>
      </c>
      <c r="U321" s="152">
        <v>0</v>
      </c>
      <c r="V321"/>
    </row>
    <row r="322" spans="1:22" x14ac:dyDescent="0.2">
      <c r="A322" s="149">
        <v>46385</v>
      </c>
      <c r="B322" s="3">
        <f t="shared" si="9"/>
        <v>45</v>
      </c>
      <c r="C322" s="3" t="str">
        <f>+TEXT(Opex_VE[[#This Row],[Fecha]],"ddd")</f>
        <v>mar</v>
      </c>
      <c r="E322" s="14" t="s">
        <v>112</v>
      </c>
      <c r="F322" s="168">
        <f>IFERROR(VLOOKUP(Opex_VE[[#This Row],[Fecha]],Historia!A:B,2,0),_xlfn.XLOOKUP(Opex_VE[[#This Row],[dia]],Forecast!I:I,Forecast!J:J))</f>
        <v>199625</v>
      </c>
      <c r="G322" s="168">
        <f>IFERROR(VLOOKUP(Opex_VE[[#This Row],[Fecha]],Historia!A:C,3,0),_xlfn.XLOOKUP(Opex_VE[[#This Row],[dia]],Forecast!I:I,Forecast!K:K))</f>
        <v>79850</v>
      </c>
      <c r="H322" s="182">
        <f>+Opex_VE[[#This Row],[MG]]-Opex_VE[[#This Row],[Opex]]</f>
        <v>-141528.96666666667</v>
      </c>
      <c r="I322" s="168" t="str">
        <f>IFERROR(VLOOKUP(Opex_VE[[#This Row],[Fecha]],Historia!A:D,4,0),"Forecast")</f>
        <v>Forecast</v>
      </c>
      <c r="J322" s="157">
        <f t="shared" si="8"/>
        <v>553447.41666666663</v>
      </c>
      <c r="K322" s="151">
        <f>+Opex_VE[[#This Row],[Arriendo]]+Opex_VE[[#This Row],[Servicios publicos]]+Opex_VE[[#This Row],[Nomina]]</f>
        <v>221378.96666666667</v>
      </c>
      <c r="L322" s="152">
        <f>+VLOOKUP(Opex_VE[[#This Row],[Fecha]],Opex!$B:$Y,OPEX_SALES!L$1,1)</f>
        <v>55000</v>
      </c>
      <c r="M322" s="153">
        <f>+SUM(Opex_VE[[#This Row],[Internet]:[Electricidad]])</f>
        <v>26378.966666666667</v>
      </c>
      <c r="N322" s="152">
        <f>+VLOOKUP(Opex_VE[[#This Row],[Fecha]],Opex!$B:$Y,OPEX_SALES!N$1,1)</f>
        <v>3500</v>
      </c>
      <c r="O322" s="152">
        <f>+VLOOKUP(Opex_VE[[#This Row],[Fecha]],Opex!$B:$Y,OPEX_SALES!O$1,1)</f>
        <v>8243.9666666666672</v>
      </c>
      <c r="P322" s="152">
        <f>+VLOOKUP(Opex_VE[[#This Row],[Fecha]],Opex!$B:$Y,OPEX_SALES!P$1,1)</f>
        <v>4000</v>
      </c>
      <c r="Q322" s="152">
        <f>+VLOOKUP(Opex_VE[[#This Row],[Fecha]],Opex!$B:$Y,OPEX_SALES!Q$1,1)</f>
        <v>10635</v>
      </c>
      <c r="R322" s="153">
        <f>+SUM(Opex_VE[[#This Row],[Cajero]:[Domiciliario]])</f>
        <v>140000</v>
      </c>
      <c r="S322" s="152">
        <v>70000</v>
      </c>
      <c r="T322" s="152">
        <v>70000</v>
      </c>
      <c r="U322" s="152">
        <v>0</v>
      </c>
      <c r="V322"/>
    </row>
    <row r="323" spans="1:22" x14ac:dyDescent="0.2">
      <c r="A323" s="149">
        <v>46386</v>
      </c>
      <c r="B323" s="3">
        <f t="shared" si="9"/>
        <v>45</v>
      </c>
      <c r="C323" s="3" t="str">
        <f>+TEXT(Opex_VE[[#This Row],[Fecha]],"ddd")</f>
        <v>mié</v>
      </c>
      <c r="E323" s="14" t="s">
        <v>112</v>
      </c>
      <c r="F323" s="168">
        <f>IFERROR(VLOOKUP(Opex_VE[[#This Row],[Fecha]],Historia!A:B,2,0),_xlfn.XLOOKUP(Opex_VE[[#This Row],[dia]],Forecast!I:I,Forecast!J:J))</f>
        <v>339250</v>
      </c>
      <c r="G323" s="168">
        <f>IFERROR(VLOOKUP(Opex_VE[[#This Row],[Fecha]],Historia!A:C,3,0),_xlfn.XLOOKUP(Opex_VE[[#This Row],[dia]],Forecast!I:I,Forecast!K:K))</f>
        <v>135700</v>
      </c>
      <c r="H323" s="182">
        <f>+Opex_VE[[#This Row],[MG]]-Opex_VE[[#This Row],[Opex]]</f>
        <v>-85678.966666666674</v>
      </c>
      <c r="I323" s="168" t="str">
        <f>IFERROR(VLOOKUP(Opex_VE[[#This Row],[Fecha]],Historia!A:D,4,0),"Forecast")</f>
        <v>Forecast</v>
      </c>
      <c r="J323" s="157">
        <f t="shared" si="8"/>
        <v>553447.41666666663</v>
      </c>
      <c r="K323" s="151">
        <f>+Opex_VE[[#This Row],[Arriendo]]+Opex_VE[[#This Row],[Servicios publicos]]+Opex_VE[[#This Row],[Nomina]]</f>
        <v>221378.96666666667</v>
      </c>
      <c r="L323" s="152">
        <f>+VLOOKUP(Opex_VE[[#This Row],[Fecha]],Opex!$B:$Y,OPEX_SALES!L$1,1)</f>
        <v>55000</v>
      </c>
      <c r="M323" s="153">
        <f>+SUM(Opex_VE[[#This Row],[Internet]:[Electricidad]])</f>
        <v>26378.966666666667</v>
      </c>
      <c r="N323" s="152">
        <f>+VLOOKUP(Opex_VE[[#This Row],[Fecha]],Opex!$B:$Y,OPEX_SALES!N$1,1)</f>
        <v>3500</v>
      </c>
      <c r="O323" s="152">
        <f>+VLOOKUP(Opex_VE[[#This Row],[Fecha]],Opex!$B:$Y,OPEX_SALES!O$1,1)</f>
        <v>8243.9666666666672</v>
      </c>
      <c r="P323" s="152">
        <f>+VLOOKUP(Opex_VE[[#This Row],[Fecha]],Opex!$B:$Y,OPEX_SALES!P$1,1)</f>
        <v>4000</v>
      </c>
      <c r="Q323" s="152">
        <f>+VLOOKUP(Opex_VE[[#This Row],[Fecha]],Opex!$B:$Y,OPEX_SALES!Q$1,1)</f>
        <v>10635</v>
      </c>
      <c r="R323" s="153">
        <f>+SUM(Opex_VE[[#This Row],[Cajero]:[Domiciliario]])</f>
        <v>140000</v>
      </c>
      <c r="S323" s="152">
        <v>70000</v>
      </c>
      <c r="T323" s="152">
        <v>70000</v>
      </c>
      <c r="U323" s="152">
        <v>0</v>
      </c>
      <c r="V323"/>
    </row>
    <row r="324" spans="1:22" x14ac:dyDescent="0.2">
      <c r="A324" s="149">
        <v>46387</v>
      </c>
      <c r="B324" s="3">
        <f t="shared" si="9"/>
        <v>45</v>
      </c>
      <c r="C324" s="3" t="str">
        <f>+TEXT(Opex_VE[[#This Row],[Fecha]],"ddd")</f>
        <v>jue</v>
      </c>
      <c r="E324" s="14" t="s">
        <v>112</v>
      </c>
      <c r="F324" s="168">
        <f>IFERROR(VLOOKUP(Opex_VE[[#This Row],[Fecha]],Historia!A:B,2,0),_xlfn.XLOOKUP(Opex_VE[[#This Row],[dia]],Forecast!I:I,Forecast!J:J))</f>
        <v>274975</v>
      </c>
      <c r="G324" s="168">
        <f>IFERROR(VLOOKUP(Opex_VE[[#This Row],[Fecha]],Historia!A:C,3,0),_xlfn.XLOOKUP(Opex_VE[[#This Row],[dia]],Forecast!I:I,Forecast!K:K))</f>
        <v>109990</v>
      </c>
      <c r="H324" s="182">
        <f>+Opex_VE[[#This Row],[MG]]-Opex_VE[[#This Row],[Opex]]</f>
        <v>-111388.96666666667</v>
      </c>
      <c r="I324" s="168" t="str">
        <f>IFERROR(VLOOKUP(Opex_VE[[#This Row],[Fecha]],Historia!A:D,4,0),"Forecast")</f>
        <v>Forecast</v>
      </c>
      <c r="J324" s="157">
        <f t="shared" si="8"/>
        <v>553447.41666666663</v>
      </c>
      <c r="K324" s="151">
        <f>+Opex_VE[[#This Row],[Arriendo]]+Opex_VE[[#This Row],[Servicios publicos]]+Opex_VE[[#This Row],[Nomina]]</f>
        <v>221378.96666666667</v>
      </c>
      <c r="L324" s="152">
        <f>+VLOOKUP(Opex_VE[[#This Row],[Fecha]],Opex!$B:$Y,OPEX_SALES!L$1,1)</f>
        <v>55000</v>
      </c>
      <c r="M324" s="153">
        <f>+SUM(Opex_VE[[#This Row],[Internet]:[Electricidad]])</f>
        <v>26378.966666666667</v>
      </c>
      <c r="N324" s="152">
        <f>+VLOOKUP(Opex_VE[[#This Row],[Fecha]],Opex!$B:$Y,OPEX_SALES!N$1,1)</f>
        <v>3500</v>
      </c>
      <c r="O324" s="152">
        <f>+VLOOKUP(Opex_VE[[#This Row],[Fecha]],Opex!$B:$Y,OPEX_SALES!O$1,1)</f>
        <v>8243.9666666666672</v>
      </c>
      <c r="P324" s="152">
        <f>+VLOOKUP(Opex_VE[[#This Row],[Fecha]],Opex!$B:$Y,OPEX_SALES!P$1,1)</f>
        <v>4000</v>
      </c>
      <c r="Q324" s="152">
        <f>+VLOOKUP(Opex_VE[[#This Row],[Fecha]],Opex!$B:$Y,OPEX_SALES!Q$1,1)</f>
        <v>10635</v>
      </c>
      <c r="R324" s="153">
        <f>+SUM(Opex_VE[[#This Row],[Cajero]:[Domiciliario]])</f>
        <v>140000</v>
      </c>
      <c r="S324" s="152">
        <v>70000</v>
      </c>
      <c r="T324" s="152">
        <v>70000</v>
      </c>
      <c r="U324" s="152">
        <v>0</v>
      </c>
      <c r="V324"/>
    </row>
    <row r="325" spans="1:22" x14ac:dyDescent="0.2">
      <c r="A325" s="149">
        <v>46388</v>
      </c>
      <c r="B325" s="3">
        <f t="shared" si="9"/>
        <v>45</v>
      </c>
      <c r="C325" s="3" t="str">
        <f>+TEXT(Opex_VE[[#This Row],[Fecha]],"ddd")</f>
        <v>vie</v>
      </c>
      <c r="E325" s="14" t="s">
        <v>217</v>
      </c>
      <c r="F325" s="168">
        <f>IFERROR(VLOOKUP(Opex_VE[[#This Row],[Fecha]],Historia!A:B,2,0),_xlfn.XLOOKUP(Opex_VE[[#This Row],[dia]],Forecast!I:I,Forecast!J:J))</f>
        <v>184566.66666666666</v>
      </c>
      <c r="G325" s="168">
        <f>IFERROR(VLOOKUP(Opex_VE[[#This Row],[Fecha]],Historia!A:C,3,0),_xlfn.XLOOKUP(Opex_VE[[#This Row],[dia]],Forecast!I:I,Forecast!K:K))</f>
        <v>73826.666666666672</v>
      </c>
      <c r="H325" s="182">
        <f>+Opex_VE[[#This Row],[MG]]-Opex_VE[[#This Row],[Opex]]</f>
        <v>-147552.29999999999</v>
      </c>
      <c r="I325" s="168" t="str">
        <f>IFERROR(VLOOKUP(Opex_VE[[#This Row],[Fecha]],Historia!A:D,4,0),"Forecast")</f>
        <v>Forecast</v>
      </c>
      <c r="J325" s="157">
        <f t="shared" si="8"/>
        <v>553447.41666666663</v>
      </c>
      <c r="K325" s="151">
        <f>+Opex_VE[[#This Row],[Arriendo]]+Opex_VE[[#This Row],[Servicios publicos]]+Opex_VE[[#This Row],[Nomina]]</f>
        <v>221378.96666666667</v>
      </c>
      <c r="L325" s="152">
        <f>+VLOOKUP(Opex_VE[[#This Row],[Fecha]],Opex!$B:$Y,OPEX_SALES!L$1,1)</f>
        <v>55000</v>
      </c>
      <c r="M325" s="153">
        <f>+SUM(Opex_VE[[#This Row],[Internet]:[Electricidad]])</f>
        <v>26378.966666666667</v>
      </c>
      <c r="N325" s="152">
        <f>+VLOOKUP(Opex_VE[[#This Row],[Fecha]],Opex!$B:$Y,OPEX_SALES!N$1,1)</f>
        <v>3500</v>
      </c>
      <c r="O325" s="152">
        <f>+VLOOKUP(Opex_VE[[#This Row],[Fecha]],Opex!$B:$Y,OPEX_SALES!O$1,1)</f>
        <v>8243.9666666666672</v>
      </c>
      <c r="P325" s="152">
        <f>+VLOOKUP(Opex_VE[[#This Row],[Fecha]],Opex!$B:$Y,OPEX_SALES!P$1,1)</f>
        <v>4000</v>
      </c>
      <c r="Q325" s="152">
        <f>+VLOOKUP(Opex_VE[[#This Row],[Fecha]],Opex!$B:$Y,OPEX_SALES!Q$1,1)</f>
        <v>10635</v>
      </c>
      <c r="R325" s="153">
        <f>+SUM(Opex_VE[[#This Row],[Cajero]:[Domiciliario]])</f>
        <v>140000</v>
      </c>
      <c r="S325" s="152">
        <v>70000</v>
      </c>
      <c r="T325" s="152">
        <v>70000</v>
      </c>
      <c r="U325" s="152">
        <v>0</v>
      </c>
      <c r="V325"/>
    </row>
    <row r="326" spans="1:22" x14ac:dyDescent="0.2">
      <c r="A326" s="149">
        <v>46389</v>
      </c>
      <c r="B326" s="3">
        <f t="shared" si="9"/>
        <v>45</v>
      </c>
      <c r="C326" s="3" t="str">
        <f>+TEXT(Opex_VE[[#This Row],[Fecha]],"ddd")</f>
        <v>sáb</v>
      </c>
      <c r="E326" s="14" t="s">
        <v>113</v>
      </c>
      <c r="F326" s="168">
        <f>IFERROR(VLOOKUP(Opex_VE[[#This Row],[Fecha]],Historia!A:B,2,0),_xlfn.XLOOKUP(Opex_VE[[#This Row],[dia]],Forecast!I:I,Forecast!J:J))</f>
        <v>398333.33333333331</v>
      </c>
      <c r="G326" s="168">
        <f>IFERROR(VLOOKUP(Opex_VE[[#This Row],[Fecha]],Historia!A:C,3,0),_xlfn.XLOOKUP(Opex_VE[[#This Row],[dia]],Forecast!I:I,Forecast!K:K))</f>
        <v>159333.33333333334</v>
      </c>
      <c r="H326" s="182">
        <f>+Opex_VE[[#This Row],[MG]]-Opex_VE[[#This Row],[Opex]]</f>
        <v>-62045.633333333331</v>
      </c>
      <c r="I326" s="168" t="str">
        <f>IFERROR(VLOOKUP(Opex_VE[[#This Row],[Fecha]],Historia!A:D,4,0),"Forecast")</f>
        <v>Forecast</v>
      </c>
      <c r="J326" s="157">
        <f t="shared" si="8"/>
        <v>553447.41666666663</v>
      </c>
      <c r="K326" s="151">
        <f>+Opex_VE[[#This Row],[Arriendo]]+Opex_VE[[#This Row],[Servicios publicos]]+Opex_VE[[#This Row],[Nomina]]</f>
        <v>221378.96666666667</v>
      </c>
      <c r="L326" s="152">
        <f>+VLOOKUP(Opex_VE[[#This Row],[Fecha]],Opex!$B:$Y,OPEX_SALES!L$1,1)</f>
        <v>55000</v>
      </c>
      <c r="M326" s="153">
        <f>+SUM(Opex_VE[[#This Row],[Internet]:[Electricidad]])</f>
        <v>26378.966666666667</v>
      </c>
      <c r="N326" s="152">
        <f>+VLOOKUP(Opex_VE[[#This Row],[Fecha]],Opex!$B:$Y,OPEX_SALES!N$1,1)</f>
        <v>3500</v>
      </c>
      <c r="O326" s="152">
        <f>+VLOOKUP(Opex_VE[[#This Row],[Fecha]],Opex!$B:$Y,OPEX_SALES!O$1,1)</f>
        <v>8243.9666666666672</v>
      </c>
      <c r="P326" s="152">
        <f>+VLOOKUP(Opex_VE[[#This Row],[Fecha]],Opex!$B:$Y,OPEX_SALES!P$1,1)</f>
        <v>4000</v>
      </c>
      <c r="Q326" s="152">
        <f>+VLOOKUP(Opex_VE[[#This Row],[Fecha]],Opex!$B:$Y,OPEX_SALES!Q$1,1)</f>
        <v>10635</v>
      </c>
      <c r="R326" s="153">
        <f>+SUM(Opex_VE[[#This Row],[Cajero]:[Domiciliario]])</f>
        <v>140000</v>
      </c>
      <c r="S326" s="152">
        <v>70000</v>
      </c>
      <c r="T326" s="152">
        <v>70000</v>
      </c>
      <c r="U326" s="152">
        <v>0</v>
      </c>
      <c r="V326"/>
    </row>
    <row r="327" spans="1:22" x14ac:dyDescent="0.2">
      <c r="A327" s="149">
        <v>46390</v>
      </c>
      <c r="B327" s="3">
        <f t="shared" si="9"/>
        <v>45</v>
      </c>
      <c r="C327" s="3" t="str">
        <f>+TEXT(Opex_VE[[#This Row],[Fecha]],"ddd")</f>
        <v>dom</v>
      </c>
      <c r="E327" s="14" t="s">
        <v>145</v>
      </c>
      <c r="F327" s="168">
        <f>IFERROR(VLOOKUP(Opex_VE[[#This Row],[Fecha]],Historia!A:B,2,0),_xlfn.XLOOKUP(Opex_VE[[#This Row],[dia]],Forecast!I:I,Forecast!J:J))</f>
        <v>168750</v>
      </c>
      <c r="G327" s="168">
        <f>IFERROR(VLOOKUP(Opex_VE[[#This Row],[Fecha]],Historia!A:C,3,0),_xlfn.XLOOKUP(Opex_VE[[#This Row],[dia]],Forecast!I:I,Forecast!K:K))</f>
        <v>67500</v>
      </c>
      <c r="H327" s="182">
        <f>+Opex_VE[[#This Row],[MG]]-Opex_VE[[#This Row],[Opex]]</f>
        <v>-153878.96666666667</v>
      </c>
      <c r="I327" s="168" t="str">
        <f>IFERROR(VLOOKUP(Opex_VE[[#This Row],[Fecha]],Historia!A:D,4,0),"Forecast")</f>
        <v>Forecast</v>
      </c>
      <c r="J327" s="157">
        <f t="shared" si="8"/>
        <v>553447.41666666663</v>
      </c>
      <c r="K327" s="151">
        <f>+Opex_VE[[#This Row],[Arriendo]]+Opex_VE[[#This Row],[Servicios publicos]]+Opex_VE[[#This Row],[Nomina]]</f>
        <v>221378.96666666667</v>
      </c>
      <c r="L327" s="152">
        <f>+VLOOKUP(Opex_VE[[#This Row],[Fecha]],Opex!$B:$Y,OPEX_SALES!L$1,1)</f>
        <v>55000</v>
      </c>
      <c r="M327" s="153">
        <f>+SUM(Opex_VE[[#This Row],[Internet]:[Electricidad]])</f>
        <v>26378.966666666667</v>
      </c>
      <c r="N327" s="152">
        <f>+VLOOKUP(Opex_VE[[#This Row],[Fecha]],Opex!$B:$Y,OPEX_SALES!N$1,1)</f>
        <v>3500</v>
      </c>
      <c r="O327" s="152">
        <f>+VLOOKUP(Opex_VE[[#This Row],[Fecha]],Opex!$B:$Y,OPEX_SALES!O$1,1)</f>
        <v>8243.9666666666672</v>
      </c>
      <c r="P327" s="152">
        <f>+VLOOKUP(Opex_VE[[#This Row],[Fecha]],Opex!$B:$Y,OPEX_SALES!P$1,1)</f>
        <v>4000</v>
      </c>
      <c r="Q327" s="152">
        <f>+VLOOKUP(Opex_VE[[#This Row],[Fecha]],Opex!$B:$Y,OPEX_SALES!Q$1,1)</f>
        <v>10635</v>
      </c>
      <c r="R327" s="153">
        <f>+SUM(Opex_VE[[#This Row],[Cajero]:[Domiciliario]])</f>
        <v>140000</v>
      </c>
      <c r="S327" s="152">
        <v>70000</v>
      </c>
      <c r="T327" s="152">
        <v>70000</v>
      </c>
      <c r="U327" s="152">
        <v>0</v>
      </c>
      <c r="V327"/>
    </row>
    <row r="328" spans="1:22" x14ac:dyDescent="0.2">
      <c r="A328" s="149">
        <v>46391</v>
      </c>
      <c r="B328" s="3">
        <f t="shared" si="9"/>
        <v>46</v>
      </c>
      <c r="C328" s="3" t="str">
        <f>+TEXT(Opex_VE[[#This Row],[Fecha]],"ddd")</f>
        <v>lun</v>
      </c>
      <c r="E328" s="14" t="s">
        <v>112</v>
      </c>
      <c r="F328" s="168">
        <f>IFERROR(VLOOKUP(Opex_VE[[#This Row],[Fecha]],Historia!A:B,2,0),_xlfn.XLOOKUP(Opex_VE[[#This Row],[dia]],Forecast!I:I,Forecast!J:J))</f>
        <v>164375</v>
      </c>
      <c r="G328" s="168">
        <f>IFERROR(VLOOKUP(Opex_VE[[#This Row],[Fecha]],Historia!A:C,3,0),_xlfn.XLOOKUP(Opex_VE[[#This Row],[dia]],Forecast!I:I,Forecast!K:K))</f>
        <v>65750</v>
      </c>
      <c r="H328" s="182">
        <f>+Opex_VE[[#This Row],[MG]]-Opex_VE[[#This Row],[Opex]]</f>
        <v>-155628.96666666667</v>
      </c>
      <c r="I328" s="168" t="str">
        <f>IFERROR(VLOOKUP(Opex_VE[[#This Row],[Fecha]],Historia!A:D,4,0),"Forecast")</f>
        <v>Forecast</v>
      </c>
      <c r="J328" s="157">
        <f t="shared" si="8"/>
        <v>553447.41666666663</v>
      </c>
      <c r="K328" s="151">
        <f>+Opex_VE[[#This Row],[Arriendo]]+Opex_VE[[#This Row],[Servicios publicos]]+Opex_VE[[#This Row],[Nomina]]</f>
        <v>221378.96666666667</v>
      </c>
      <c r="L328" s="152">
        <f>+VLOOKUP(Opex_VE[[#This Row],[Fecha]],Opex!$B:$Y,OPEX_SALES!L$1,1)</f>
        <v>55000</v>
      </c>
      <c r="M328" s="153">
        <f>+SUM(Opex_VE[[#This Row],[Internet]:[Electricidad]])</f>
        <v>26378.966666666667</v>
      </c>
      <c r="N328" s="152">
        <f>+VLOOKUP(Opex_VE[[#This Row],[Fecha]],Opex!$B:$Y,OPEX_SALES!N$1,1)</f>
        <v>3500</v>
      </c>
      <c r="O328" s="152">
        <f>+VLOOKUP(Opex_VE[[#This Row],[Fecha]],Opex!$B:$Y,OPEX_SALES!O$1,1)</f>
        <v>8243.9666666666672</v>
      </c>
      <c r="P328" s="152">
        <f>+VLOOKUP(Opex_VE[[#This Row],[Fecha]],Opex!$B:$Y,OPEX_SALES!P$1,1)</f>
        <v>4000</v>
      </c>
      <c r="Q328" s="152">
        <f>+VLOOKUP(Opex_VE[[#This Row],[Fecha]],Opex!$B:$Y,OPEX_SALES!Q$1,1)</f>
        <v>10635</v>
      </c>
      <c r="R328" s="153">
        <f>+SUM(Opex_VE[[#This Row],[Cajero]:[Domiciliario]])</f>
        <v>140000</v>
      </c>
      <c r="S328" s="152">
        <v>70000</v>
      </c>
      <c r="T328" s="152">
        <v>70000</v>
      </c>
      <c r="U328" s="152">
        <v>0</v>
      </c>
      <c r="V328"/>
    </row>
    <row r="329" spans="1:22" x14ac:dyDescent="0.2">
      <c r="A329" s="149">
        <v>46392</v>
      </c>
      <c r="B329" s="3">
        <f t="shared" si="9"/>
        <v>46</v>
      </c>
      <c r="C329" s="3" t="str">
        <f>+TEXT(Opex_VE[[#This Row],[Fecha]],"ddd")</f>
        <v>mar</v>
      </c>
      <c r="E329" s="14" t="s">
        <v>112</v>
      </c>
      <c r="F329" s="168">
        <f>IFERROR(VLOOKUP(Opex_VE[[#This Row],[Fecha]],Historia!A:B,2,0),_xlfn.XLOOKUP(Opex_VE[[#This Row],[dia]],Forecast!I:I,Forecast!J:J))</f>
        <v>199625</v>
      </c>
      <c r="G329" s="168">
        <f>IFERROR(VLOOKUP(Opex_VE[[#This Row],[Fecha]],Historia!A:C,3,0),_xlfn.XLOOKUP(Opex_VE[[#This Row],[dia]],Forecast!I:I,Forecast!K:K))</f>
        <v>79850</v>
      </c>
      <c r="H329" s="182">
        <f>+Opex_VE[[#This Row],[MG]]-Opex_VE[[#This Row],[Opex]]</f>
        <v>-141528.96666666667</v>
      </c>
      <c r="I329" s="168" t="str">
        <f>IFERROR(VLOOKUP(Opex_VE[[#This Row],[Fecha]],Historia!A:D,4,0),"Forecast")</f>
        <v>Forecast</v>
      </c>
      <c r="J329" s="157">
        <f t="shared" si="8"/>
        <v>553447.41666666663</v>
      </c>
      <c r="K329" s="151">
        <f>+Opex_VE[[#This Row],[Arriendo]]+Opex_VE[[#This Row],[Servicios publicos]]+Opex_VE[[#This Row],[Nomina]]</f>
        <v>221378.96666666667</v>
      </c>
      <c r="L329" s="152">
        <f>+VLOOKUP(Opex_VE[[#This Row],[Fecha]],Opex!$B:$Y,OPEX_SALES!L$1,1)</f>
        <v>55000</v>
      </c>
      <c r="M329" s="153">
        <f>+SUM(Opex_VE[[#This Row],[Internet]:[Electricidad]])</f>
        <v>26378.966666666667</v>
      </c>
      <c r="N329" s="152">
        <f>+VLOOKUP(Opex_VE[[#This Row],[Fecha]],Opex!$B:$Y,OPEX_SALES!N$1,1)</f>
        <v>3500</v>
      </c>
      <c r="O329" s="152">
        <f>+VLOOKUP(Opex_VE[[#This Row],[Fecha]],Opex!$B:$Y,OPEX_SALES!O$1,1)</f>
        <v>8243.9666666666672</v>
      </c>
      <c r="P329" s="152">
        <f>+VLOOKUP(Opex_VE[[#This Row],[Fecha]],Opex!$B:$Y,OPEX_SALES!P$1,1)</f>
        <v>4000</v>
      </c>
      <c r="Q329" s="152">
        <f>+VLOOKUP(Opex_VE[[#This Row],[Fecha]],Opex!$B:$Y,OPEX_SALES!Q$1,1)</f>
        <v>10635</v>
      </c>
      <c r="R329" s="153">
        <f>+SUM(Opex_VE[[#This Row],[Cajero]:[Domiciliario]])</f>
        <v>140000</v>
      </c>
      <c r="S329" s="152">
        <v>70000</v>
      </c>
      <c r="T329" s="152">
        <v>70000</v>
      </c>
      <c r="U329" s="152">
        <v>0</v>
      </c>
      <c r="V329"/>
    </row>
    <row r="330" spans="1:22" x14ac:dyDescent="0.2">
      <c r="A330" s="149">
        <v>46393</v>
      </c>
      <c r="B330" s="3">
        <f t="shared" si="9"/>
        <v>46</v>
      </c>
      <c r="C330" s="3" t="str">
        <f>+TEXT(Opex_VE[[#This Row],[Fecha]],"ddd")</f>
        <v>mié</v>
      </c>
      <c r="E330" s="14" t="s">
        <v>112</v>
      </c>
      <c r="F330" s="168">
        <f>IFERROR(VLOOKUP(Opex_VE[[#This Row],[Fecha]],Historia!A:B,2,0),_xlfn.XLOOKUP(Opex_VE[[#This Row],[dia]],Forecast!I:I,Forecast!J:J))</f>
        <v>339250</v>
      </c>
      <c r="G330" s="168">
        <f>IFERROR(VLOOKUP(Opex_VE[[#This Row],[Fecha]],Historia!A:C,3,0),_xlfn.XLOOKUP(Opex_VE[[#This Row],[dia]],Forecast!I:I,Forecast!K:K))</f>
        <v>135700</v>
      </c>
      <c r="H330" s="182">
        <f>+Opex_VE[[#This Row],[MG]]-Opex_VE[[#This Row],[Opex]]</f>
        <v>-85678.966666666674</v>
      </c>
      <c r="I330" s="168" t="str">
        <f>IFERROR(VLOOKUP(Opex_VE[[#This Row],[Fecha]],Historia!A:D,4,0),"Forecast")</f>
        <v>Forecast</v>
      </c>
      <c r="J330" s="157">
        <f t="shared" si="8"/>
        <v>553447.41666666663</v>
      </c>
      <c r="K330" s="151">
        <f>+Opex_VE[[#This Row],[Arriendo]]+Opex_VE[[#This Row],[Servicios publicos]]+Opex_VE[[#This Row],[Nomina]]</f>
        <v>221378.96666666667</v>
      </c>
      <c r="L330" s="152">
        <f>+VLOOKUP(Opex_VE[[#This Row],[Fecha]],Opex!$B:$Y,OPEX_SALES!L$1,1)</f>
        <v>55000</v>
      </c>
      <c r="M330" s="153">
        <f>+SUM(Opex_VE[[#This Row],[Internet]:[Electricidad]])</f>
        <v>26378.966666666667</v>
      </c>
      <c r="N330" s="152">
        <f>+VLOOKUP(Opex_VE[[#This Row],[Fecha]],Opex!$B:$Y,OPEX_SALES!N$1,1)</f>
        <v>3500</v>
      </c>
      <c r="O330" s="152">
        <f>+VLOOKUP(Opex_VE[[#This Row],[Fecha]],Opex!$B:$Y,OPEX_SALES!O$1,1)</f>
        <v>8243.9666666666672</v>
      </c>
      <c r="P330" s="152">
        <f>+VLOOKUP(Opex_VE[[#This Row],[Fecha]],Opex!$B:$Y,OPEX_SALES!P$1,1)</f>
        <v>4000</v>
      </c>
      <c r="Q330" s="152">
        <f>+VLOOKUP(Opex_VE[[#This Row],[Fecha]],Opex!$B:$Y,OPEX_SALES!Q$1,1)</f>
        <v>10635</v>
      </c>
      <c r="R330" s="153">
        <f>+SUM(Opex_VE[[#This Row],[Cajero]:[Domiciliario]])</f>
        <v>140000</v>
      </c>
      <c r="S330" s="152">
        <v>70000</v>
      </c>
      <c r="T330" s="152">
        <v>70000</v>
      </c>
      <c r="U330" s="152">
        <v>0</v>
      </c>
      <c r="V330"/>
    </row>
    <row r="331" spans="1:22" x14ac:dyDescent="0.2">
      <c r="A331" s="149">
        <v>46394</v>
      </c>
      <c r="B331" s="3">
        <f t="shared" si="9"/>
        <v>46</v>
      </c>
      <c r="C331" s="3" t="str">
        <f>+TEXT(Opex_VE[[#This Row],[Fecha]],"ddd")</f>
        <v>jue</v>
      </c>
      <c r="E331" s="14" t="s">
        <v>112</v>
      </c>
      <c r="F331" s="168">
        <f>IFERROR(VLOOKUP(Opex_VE[[#This Row],[Fecha]],Historia!A:B,2,0),_xlfn.XLOOKUP(Opex_VE[[#This Row],[dia]],Forecast!I:I,Forecast!J:J))</f>
        <v>274975</v>
      </c>
      <c r="G331" s="168">
        <f>IFERROR(VLOOKUP(Opex_VE[[#This Row],[Fecha]],Historia!A:C,3,0),_xlfn.XLOOKUP(Opex_VE[[#This Row],[dia]],Forecast!I:I,Forecast!K:K))</f>
        <v>109990</v>
      </c>
      <c r="H331" s="182">
        <f>+Opex_VE[[#This Row],[MG]]-Opex_VE[[#This Row],[Opex]]</f>
        <v>-111388.96666666667</v>
      </c>
      <c r="I331" s="168" t="str">
        <f>IFERROR(VLOOKUP(Opex_VE[[#This Row],[Fecha]],Historia!A:D,4,0),"Forecast")</f>
        <v>Forecast</v>
      </c>
      <c r="J331" s="157">
        <f t="shared" si="8"/>
        <v>553447.41666666663</v>
      </c>
      <c r="K331" s="151">
        <f>+Opex_VE[[#This Row],[Arriendo]]+Opex_VE[[#This Row],[Servicios publicos]]+Opex_VE[[#This Row],[Nomina]]</f>
        <v>221378.96666666667</v>
      </c>
      <c r="L331" s="152">
        <f>+VLOOKUP(Opex_VE[[#This Row],[Fecha]],Opex!$B:$Y,OPEX_SALES!L$1,1)</f>
        <v>55000</v>
      </c>
      <c r="M331" s="153">
        <f>+SUM(Opex_VE[[#This Row],[Internet]:[Electricidad]])</f>
        <v>26378.966666666667</v>
      </c>
      <c r="N331" s="152">
        <f>+VLOOKUP(Opex_VE[[#This Row],[Fecha]],Opex!$B:$Y,OPEX_SALES!N$1,1)</f>
        <v>3500</v>
      </c>
      <c r="O331" s="152">
        <f>+VLOOKUP(Opex_VE[[#This Row],[Fecha]],Opex!$B:$Y,OPEX_SALES!O$1,1)</f>
        <v>8243.9666666666672</v>
      </c>
      <c r="P331" s="152">
        <f>+VLOOKUP(Opex_VE[[#This Row],[Fecha]],Opex!$B:$Y,OPEX_SALES!P$1,1)</f>
        <v>4000</v>
      </c>
      <c r="Q331" s="152">
        <f>+VLOOKUP(Opex_VE[[#This Row],[Fecha]],Opex!$B:$Y,OPEX_SALES!Q$1,1)</f>
        <v>10635</v>
      </c>
      <c r="R331" s="153">
        <f>+SUM(Opex_VE[[#This Row],[Cajero]:[Domiciliario]])</f>
        <v>140000</v>
      </c>
      <c r="S331" s="152">
        <v>70000</v>
      </c>
      <c r="T331" s="152">
        <v>70000</v>
      </c>
      <c r="U331" s="152">
        <v>0</v>
      </c>
      <c r="V331"/>
    </row>
    <row r="332" spans="1:22" x14ac:dyDescent="0.2">
      <c r="A332" s="149">
        <v>46395</v>
      </c>
      <c r="B332" s="3">
        <f t="shared" si="9"/>
        <v>46</v>
      </c>
      <c r="C332" s="3" t="str">
        <f>+TEXT(Opex_VE[[#This Row],[Fecha]],"ddd")</f>
        <v>vie</v>
      </c>
      <c r="E332" s="14" t="s">
        <v>217</v>
      </c>
      <c r="F332" s="168">
        <f>IFERROR(VLOOKUP(Opex_VE[[#This Row],[Fecha]],Historia!A:B,2,0),_xlfn.XLOOKUP(Opex_VE[[#This Row],[dia]],Forecast!I:I,Forecast!J:J))</f>
        <v>184566.66666666666</v>
      </c>
      <c r="G332" s="168">
        <f>IFERROR(VLOOKUP(Opex_VE[[#This Row],[Fecha]],Historia!A:C,3,0),_xlfn.XLOOKUP(Opex_VE[[#This Row],[dia]],Forecast!I:I,Forecast!K:K))</f>
        <v>73826.666666666672</v>
      </c>
      <c r="H332" s="182">
        <f>+Opex_VE[[#This Row],[MG]]-Opex_VE[[#This Row],[Opex]]</f>
        <v>-147552.29999999999</v>
      </c>
      <c r="I332" s="168" t="str">
        <f>IFERROR(VLOOKUP(Opex_VE[[#This Row],[Fecha]],Historia!A:D,4,0),"Forecast")</f>
        <v>Forecast</v>
      </c>
      <c r="J332" s="157">
        <f t="shared" si="8"/>
        <v>553447.41666666663</v>
      </c>
      <c r="K332" s="151">
        <f>+Opex_VE[[#This Row],[Arriendo]]+Opex_VE[[#This Row],[Servicios publicos]]+Opex_VE[[#This Row],[Nomina]]</f>
        <v>221378.96666666667</v>
      </c>
      <c r="L332" s="152">
        <f>+VLOOKUP(Opex_VE[[#This Row],[Fecha]],Opex!$B:$Y,OPEX_SALES!L$1,1)</f>
        <v>55000</v>
      </c>
      <c r="M332" s="153">
        <f>+SUM(Opex_VE[[#This Row],[Internet]:[Electricidad]])</f>
        <v>26378.966666666667</v>
      </c>
      <c r="N332" s="152">
        <f>+VLOOKUP(Opex_VE[[#This Row],[Fecha]],Opex!$B:$Y,OPEX_SALES!N$1,1)</f>
        <v>3500</v>
      </c>
      <c r="O332" s="152">
        <f>+VLOOKUP(Opex_VE[[#This Row],[Fecha]],Opex!$B:$Y,OPEX_SALES!O$1,1)</f>
        <v>8243.9666666666672</v>
      </c>
      <c r="P332" s="152">
        <f>+VLOOKUP(Opex_VE[[#This Row],[Fecha]],Opex!$B:$Y,OPEX_SALES!P$1,1)</f>
        <v>4000</v>
      </c>
      <c r="Q332" s="152">
        <f>+VLOOKUP(Opex_VE[[#This Row],[Fecha]],Opex!$B:$Y,OPEX_SALES!Q$1,1)</f>
        <v>10635</v>
      </c>
      <c r="R332" s="153">
        <f>+SUM(Opex_VE[[#This Row],[Cajero]:[Domiciliario]])</f>
        <v>140000</v>
      </c>
      <c r="S332" s="152">
        <v>70000</v>
      </c>
      <c r="T332" s="152">
        <v>70000</v>
      </c>
      <c r="U332" s="152">
        <v>0</v>
      </c>
      <c r="V332"/>
    </row>
    <row r="333" spans="1:22" x14ac:dyDescent="0.2">
      <c r="A333" s="149">
        <v>46396</v>
      </c>
      <c r="B333" s="3">
        <f t="shared" si="9"/>
        <v>46</v>
      </c>
      <c r="C333" s="3" t="str">
        <f>+TEXT(Opex_VE[[#This Row],[Fecha]],"ddd")</f>
        <v>sáb</v>
      </c>
      <c r="E333" s="14" t="s">
        <v>113</v>
      </c>
      <c r="F333" s="168">
        <f>IFERROR(VLOOKUP(Opex_VE[[#This Row],[Fecha]],Historia!A:B,2,0),_xlfn.XLOOKUP(Opex_VE[[#This Row],[dia]],Forecast!I:I,Forecast!J:J))</f>
        <v>398333.33333333331</v>
      </c>
      <c r="G333" s="168">
        <f>IFERROR(VLOOKUP(Opex_VE[[#This Row],[Fecha]],Historia!A:C,3,0),_xlfn.XLOOKUP(Opex_VE[[#This Row],[dia]],Forecast!I:I,Forecast!K:K))</f>
        <v>159333.33333333334</v>
      </c>
      <c r="H333" s="182">
        <f>+Opex_VE[[#This Row],[MG]]-Opex_VE[[#This Row],[Opex]]</f>
        <v>-62045.633333333331</v>
      </c>
      <c r="I333" s="168" t="str">
        <f>IFERROR(VLOOKUP(Opex_VE[[#This Row],[Fecha]],Historia!A:D,4,0),"Forecast")</f>
        <v>Forecast</v>
      </c>
      <c r="J333" s="157">
        <f t="shared" ref="J333:J369" si="10">+K333/0.4</f>
        <v>553447.41666666663</v>
      </c>
      <c r="K333" s="151">
        <f>+Opex_VE[[#This Row],[Arriendo]]+Opex_VE[[#This Row],[Servicios publicos]]+Opex_VE[[#This Row],[Nomina]]</f>
        <v>221378.96666666667</v>
      </c>
      <c r="L333" s="152">
        <f>+VLOOKUP(Opex_VE[[#This Row],[Fecha]],Opex!$B:$Y,OPEX_SALES!L$1,1)</f>
        <v>55000</v>
      </c>
      <c r="M333" s="153">
        <f>+SUM(Opex_VE[[#This Row],[Internet]:[Electricidad]])</f>
        <v>26378.966666666667</v>
      </c>
      <c r="N333" s="152">
        <f>+VLOOKUP(Opex_VE[[#This Row],[Fecha]],Opex!$B:$Y,OPEX_SALES!N$1,1)</f>
        <v>3500</v>
      </c>
      <c r="O333" s="152">
        <f>+VLOOKUP(Opex_VE[[#This Row],[Fecha]],Opex!$B:$Y,OPEX_SALES!O$1,1)</f>
        <v>8243.9666666666672</v>
      </c>
      <c r="P333" s="152">
        <f>+VLOOKUP(Opex_VE[[#This Row],[Fecha]],Opex!$B:$Y,OPEX_SALES!P$1,1)</f>
        <v>4000</v>
      </c>
      <c r="Q333" s="152">
        <f>+VLOOKUP(Opex_VE[[#This Row],[Fecha]],Opex!$B:$Y,OPEX_SALES!Q$1,1)</f>
        <v>10635</v>
      </c>
      <c r="R333" s="153">
        <f>+SUM(Opex_VE[[#This Row],[Cajero]:[Domiciliario]])</f>
        <v>140000</v>
      </c>
      <c r="S333" s="152">
        <v>70000</v>
      </c>
      <c r="T333" s="152">
        <v>70000</v>
      </c>
      <c r="U333" s="152">
        <v>0</v>
      </c>
      <c r="V333"/>
    </row>
    <row r="334" spans="1:22" x14ac:dyDescent="0.2">
      <c r="A334" s="149">
        <v>46397</v>
      </c>
      <c r="B334" s="3">
        <f t="shared" si="9"/>
        <v>46</v>
      </c>
      <c r="C334" s="3" t="str">
        <f>+TEXT(Opex_VE[[#This Row],[Fecha]],"ddd")</f>
        <v>dom</v>
      </c>
      <c r="E334" s="14" t="s">
        <v>145</v>
      </c>
      <c r="F334" s="168">
        <f>IFERROR(VLOOKUP(Opex_VE[[#This Row],[Fecha]],Historia!A:B,2,0),_xlfn.XLOOKUP(Opex_VE[[#This Row],[dia]],Forecast!I:I,Forecast!J:J))</f>
        <v>168750</v>
      </c>
      <c r="G334" s="168">
        <f>IFERROR(VLOOKUP(Opex_VE[[#This Row],[Fecha]],Historia!A:C,3,0),_xlfn.XLOOKUP(Opex_VE[[#This Row],[dia]],Forecast!I:I,Forecast!K:K))</f>
        <v>67500</v>
      </c>
      <c r="H334" s="182">
        <f>+Opex_VE[[#This Row],[MG]]-Opex_VE[[#This Row],[Opex]]</f>
        <v>-153878.96666666667</v>
      </c>
      <c r="I334" s="168" t="str">
        <f>IFERROR(VLOOKUP(Opex_VE[[#This Row],[Fecha]],Historia!A:D,4,0),"Forecast")</f>
        <v>Forecast</v>
      </c>
      <c r="J334" s="157">
        <f t="shared" si="10"/>
        <v>553447.41666666663</v>
      </c>
      <c r="K334" s="151">
        <f>+Opex_VE[[#This Row],[Arriendo]]+Opex_VE[[#This Row],[Servicios publicos]]+Opex_VE[[#This Row],[Nomina]]</f>
        <v>221378.96666666667</v>
      </c>
      <c r="L334" s="152">
        <f>+VLOOKUP(Opex_VE[[#This Row],[Fecha]],Opex!$B:$Y,OPEX_SALES!L$1,1)</f>
        <v>55000</v>
      </c>
      <c r="M334" s="153">
        <f>+SUM(Opex_VE[[#This Row],[Internet]:[Electricidad]])</f>
        <v>26378.966666666667</v>
      </c>
      <c r="N334" s="152">
        <f>+VLOOKUP(Opex_VE[[#This Row],[Fecha]],Opex!$B:$Y,OPEX_SALES!N$1,1)</f>
        <v>3500</v>
      </c>
      <c r="O334" s="152">
        <f>+VLOOKUP(Opex_VE[[#This Row],[Fecha]],Opex!$B:$Y,OPEX_SALES!O$1,1)</f>
        <v>8243.9666666666672</v>
      </c>
      <c r="P334" s="152">
        <f>+VLOOKUP(Opex_VE[[#This Row],[Fecha]],Opex!$B:$Y,OPEX_SALES!P$1,1)</f>
        <v>4000</v>
      </c>
      <c r="Q334" s="152">
        <f>+VLOOKUP(Opex_VE[[#This Row],[Fecha]],Opex!$B:$Y,OPEX_SALES!Q$1,1)</f>
        <v>10635</v>
      </c>
      <c r="R334" s="153">
        <f>+SUM(Opex_VE[[#This Row],[Cajero]:[Domiciliario]])</f>
        <v>140000</v>
      </c>
      <c r="S334" s="152">
        <v>70000</v>
      </c>
      <c r="T334" s="152">
        <v>70000</v>
      </c>
      <c r="U334" s="152">
        <v>0</v>
      </c>
      <c r="V334"/>
    </row>
    <row r="335" spans="1:22" x14ac:dyDescent="0.2">
      <c r="A335" s="149">
        <v>46398</v>
      </c>
      <c r="B335" s="3">
        <f t="shared" si="9"/>
        <v>47</v>
      </c>
      <c r="C335" s="3" t="str">
        <f>+TEXT(Opex_VE[[#This Row],[Fecha]],"ddd")</f>
        <v>lun</v>
      </c>
      <c r="E335" s="14" t="s">
        <v>112</v>
      </c>
      <c r="F335" s="168">
        <f>IFERROR(VLOOKUP(Opex_VE[[#This Row],[Fecha]],Historia!A:B,2,0),_xlfn.XLOOKUP(Opex_VE[[#This Row],[dia]],Forecast!I:I,Forecast!J:J))</f>
        <v>164375</v>
      </c>
      <c r="G335" s="168">
        <f>IFERROR(VLOOKUP(Opex_VE[[#This Row],[Fecha]],Historia!A:C,3,0),_xlfn.XLOOKUP(Opex_VE[[#This Row],[dia]],Forecast!I:I,Forecast!K:K))</f>
        <v>65750</v>
      </c>
      <c r="H335" s="182">
        <f>+Opex_VE[[#This Row],[MG]]-Opex_VE[[#This Row],[Opex]]</f>
        <v>-155628.96666666667</v>
      </c>
      <c r="I335" s="168" t="str">
        <f>IFERROR(VLOOKUP(Opex_VE[[#This Row],[Fecha]],Historia!A:D,4,0),"Forecast")</f>
        <v>Forecast</v>
      </c>
      <c r="J335" s="157">
        <f t="shared" si="10"/>
        <v>553447.41666666663</v>
      </c>
      <c r="K335" s="151">
        <f>+Opex_VE[[#This Row],[Arriendo]]+Opex_VE[[#This Row],[Servicios publicos]]+Opex_VE[[#This Row],[Nomina]]</f>
        <v>221378.96666666667</v>
      </c>
      <c r="L335" s="152">
        <f>+VLOOKUP(Opex_VE[[#This Row],[Fecha]],Opex!$B:$Y,OPEX_SALES!L$1,1)</f>
        <v>55000</v>
      </c>
      <c r="M335" s="153">
        <f>+SUM(Opex_VE[[#This Row],[Internet]:[Electricidad]])</f>
        <v>26378.966666666667</v>
      </c>
      <c r="N335" s="152">
        <f>+VLOOKUP(Opex_VE[[#This Row],[Fecha]],Opex!$B:$Y,OPEX_SALES!N$1,1)</f>
        <v>3500</v>
      </c>
      <c r="O335" s="152">
        <f>+VLOOKUP(Opex_VE[[#This Row],[Fecha]],Opex!$B:$Y,OPEX_SALES!O$1,1)</f>
        <v>8243.9666666666672</v>
      </c>
      <c r="P335" s="152">
        <f>+VLOOKUP(Opex_VE[[#This Row],[Fecha]],Opex!$B:$Y,OPEX_SALES!P$1,1)</f>
        <v>4000</v>
      </c>
      <c r="Q335" s="152">
        <f>+VLOOKUP(Opex_VE[[#This Row],[Fecha]],Opex!$B:$Y,OPEX_SALES!Q$1,1)</f>
        <v>10635</v>
      </c>
      <c r="R335" s="153">
        <f>+SUM(Opex_VE[[#This Row],[Cajero]:[Domiciliario]])</f>
        <v>140000</v>
      </c>
      <c r="S335" s="152">
        <v>70000</v>
      </c>
      <c r="T335" s="152">
        <v>70000</v>
      </c>
      <c r="U335" s="152">
        <v>0</v>
      </c>
      <c r="V335"/>
    </row>
    <row r="336" spans="1:22" x14ac:dyDescent="0.2">
      <c r="A336" s="149">
        <v>46399</v>
      </c>
      <c r="B336" s="3">
        <f t="shared" si="9"/>
        <v>47</v>
      </c>
      <c r="C336" s="3" t="str">
        <f>+TEXT(Opex_VE[[#This Row],[Fecha]],"ddd")</f>
        <v>mar</v>
      </c>
      <c r="E336" s="14" t="s">
        <v>112</v>
      </c>
      <c r="F336" s="168">
        <f>IFERROR(VLOOKUP(Opex_VE[[#This Row],[Fecha]],Historia!A:B,2,0),_xlfn.XLOOKUP(Opex_VE[[#This Row],[dia]],Forecast!I:I,Forecast!J:J))</f>
        <v>199625</v>
      </c>
      <c r="G336" s="168">
        <f>IFERROR(VLOOKUP(Opex_VE[[#This Row],[Fecha]],Historia!A:C,3,0),_xlfn.XLOOKUP(Opex_VE[[#This Row],[dia]],Forecast!I:I,Forecast!K:K))</f>
        <v>79850</v>
      </c>
      <c r="H336" s="182">
        <f>+Opex_VE[[#This Row],[MG]]-Opex_VE[[#This Row],[Opex]]</f>
        <v>-141528.96666666667</v>
      </c>
      <c r="I336" s="168" t="str">
        <f>IFERROR(VLOOKUP(Opex_VE[[#This Row],[Fecha]],Historia!A:D,4,0),"Forecast")</f>
        <v>Forecast</v>
      </c>
      <c r="J336" s="157">
        <f t="shared" si="10"/>
        <v>553447.41666666663</v>
      </c>
      <c r="K336" s="151">
        <f>+Opex_VE[[#This Row],[Arriendo]]+Opex_VE[[#This Row],[Servicios publicos]]+Opex_VE[[#This Row],[Nomina]]</f>
        <v>221378.96666666667</v>
      </c>
      <c r="L336" s="152">
        <f>+VLOOKUP(Opex_VE[[#This Row],[Fecha]],Opex!$B:$Y,OPEX_SALES!L$1,1)</f>
        <v>55000</v>
      </c>
      <c r="M336" s="153">
        <f>+SUM(Opex_VE[[#This Row],[Internet]:[Electricidad]])</f>
        <v>26378.966666666667</v>
      </c>
      <c r="N336" s="152">
        <f>+VLOOKUP(Opex_VE[[#This Row],[Fecha]],Opex!$B:$Y,OPEX_SALES!N$1,1)</f>
        <v>3500</v>
      </c>
      <c r="O336" s="152">
        <f>+VLOOKUP(Opex_VE[[#This Row],[Fecha]],Opex!$B:$Y,OPEX_SALES!O$1,1)</f>
        <v>8243.9666666666672</v>
      </c>
      <c r="P336" s="152">
        <f>+VLOOKUP(Opex_VE[[#This Row],[Fecha]],Opex!$B:$Y,OPEX_SALES!P$1,1)</f>
        <v>4000</v>
      </c>
      <c r="Q336" s="152">
        <f>+VLOOKUP(Opex_VE[[#This Row],[Fecha]],Opex!$B:$Y,OPEX_SALES!Q$1,1)</f>
        <v>10635</v>
      </c>
      <c r="R336" s="153">
        <f>+SUM(Opex_VE[[#This Row],[Cajero]:[Domiciliario]])</f>
        <v>140000</v>
      </c>
      <c r="S336" s="152">
        <v>70000</v>
      </c>
      <c r="T336" s="152">
        <v>70000</v>
      </c>
      <c r="U336" s="152">
        <v>0</v>
      </c>
      <c r="V336"/>
    </row>
    <row r="337" spans="1:22" x14ac:dyDescent="0.2">
      <c r="A337" s="149">
        <v>46400</v>
      </c>
      <c r="B337" s="3">
        <f t="shared" si="9"/>
        <v>47</v>
      </c>
      <c r="C337" s="3" t="str">
        <f>+TEXT(Opex_VE[[#This Row],[Fecha]],"ddd")</f>
        <v>mié</v>
      </c>
      <c r="E337" s="14" t="s">
        <v>112</v>
      </c>
      <c r="F337" s="168">
        <f>IFERROR(VLOOKUP(Opex_VE[[#This Row],[Fecha]],Historia!A:B,2,0),_xlfn.XLOOKUP(Opex_VE[[#This Row],[dia]],Forecast!I:I,Forecast!J:J))</f>
        <v>339250</v>
      </c>
      <c r="G337" s="168">
        <f>IFERROR(VLOOKUP(Opex_VE[[#This Row],[Fecha]],Historia!A:C,3,0),_xlfn.XLOOKUP(Opex_VE[[#This Row],[dia]],Forecast!I:I,Forecast!K:K))</f>
        <v>135700</v>
      </c>
      <c r="H337" s="182">
        <f>+Opex_VE[[#This Row],[MG]]-Opex_VE[[#This Row],[Opex]]</f>
        <v>-85678.966666666674</v>
      </c>
      <c r="I337" s="168" t="str">
        <f>IFERROR(VLOOKUP(Opex_VE[[#This Row],[Fecha]],Historia!A:D,4,0),"Forecast")</f>
        <v>Forecast</v>
      </c>
      <c r="J337" s="157">
        <f t="shared" si="10"/>
        <v>553447.41666666663</v>
      </c>
      <c r="K337" s="151">
        <f>+Opex_VE[[#This Row],[Arriendo]]+Opex_VE[[#This Row],[Servicios publicos]]+Opex_VE[[#This Row],[Nomina]]</f>
        <v>221378.96666666667</v>
      </c>
      <c r="L337" s="152">
        <f>+VLOOKUP(Opex_VE[[#This Row],[Fecha]],Opex!$B:$Y,OPEX_SALES!L$1,1)</f>
        <v>55000</v>
      </c>
      <c r="M337" s="153">
        <f>+SUM(Opex_VE[[#This Row],[Internet]:[Electricidad]])</f>
        <v>26378.966666666667</v>
      </c>
      <c r="N337" s="152">
        <f>+VLOOKUP(Opex_VE[[#This Row],[Fecha]],Opex!$B:$Y,OPEX_SALES!N$1,1)</f>
        <v>3500</v>
      </c>
      <c r="O337" s="152">
        <f>+VLOOKUP(Opex_VE[[#This Row],[Fecha]],Opex!$B:$Y,OPEX_SALES!O$1,1)</f>
        <v>8243.9666666666672</v>
      </c>
      <c r="P337" s="152">
        <f>+VLOOKUP(Opex_VE[[#This Row],[Fecha]],Opex!$B:$Y,OPEX_SALES!P$1,1)</f>
        <v>4000</v>
      </c>
      <c r="Q337" s="152">
        <f>+VLOOKUP(Opex_VE[[#This Row],[Fecha]],Opex!$B:$Y,OPEX_SALES!Q$1,1)</f>
        <v>10635</v>
      </c>
      <c r="R337" s="153">
        <f>+SUM(Opex_VE[[#This Row],[Cajero]:[Domiciliario]])</f>
        <v>140000</v>
      </c>
      <c r="S337" s="152">
        <v>70000</v>
      </c>
      <c r="T337" s="152">
        <v>70000</v>
      </c>
      <c r="U337" s="152">
        <v>0</v>
      </c>
      <c r="V337"/>
    </row>
    <row r="338" spans="1:22" x14ac:dyDescent="0.2">
      <c r="A338" s="149">
        <v>46401</v>
      </c>
      <c r="B338" s="3">
        <f t="shared" si="9"/>
        <v>47</v>
      </c>
      <c r="C338" s="3" t="str">
        <f>+TEXT(Opex_VE[[#This Row],[Fecha]],"ddd")</f>
        <v>jue</v>
      </c>
      <c r="E338" s="14" t="s">
        <v>112</v>
      </c>
      <c r="F338" s="168">
        <f>IFERROR(VLOOKUP(Opex_VE[[#This Row],[Fecha]],Historia!A:B,2,0),_xlfn.XLOOKUP(Opex_VE[[#This Row],[dia]],Forecast!I:I,Forecast!J:J))</f>
        <v>274975</v>
      </c>
      <c r="G338" s="168">
        <f>IFERROR(VLOOKUP(Opex_VE[[#This Row],[Fecha]],Historia!A:C,3,0),_xlfn.XLOOKUP(Opex_VE[[#This Row],[dia]],Forecast!I:I,Forecast!K:K))</f>
        <v>109990</v>
      </c>
      <c r="H338" s="182">
        <f>+Opex_VE[[#This Row],[MG]]-Opex_VE[[#This Row],[Opex]]</f>
        <v>-111388.96666666667</v>
      </c>
      <c r="I338" s="168" t="str">
        <f>IFERROR(VLOOKUP(Opex_VE[[#This Row],[Fecha]],Historia!A:D,4,0),"Forecast")</f>
        <v>Forecast</v>
      </c>
      <c r="J338" s="157">
        <f t="shared" si="10"/>
        <v>553447.41666666663</v>
      </c>
      <c r="K338" s="151">
        <f>+Opex_VE[[#This Row],[Arriendo]]+Opex_VE[[#This Row],[Servicios publicos]]+Opex_VE[[#This Row],[Nomina]]</f>
        <v>221378.96666666667</v>
      </c>
      <c r="L338" s="152">
        <f>+VLOOKUP(Opex_VE[[#This Row],[Fecha]],Opex!$B:$Y,OPEX_SALES!L$1,1)</f>
        <v>55000</v>
      </c>
      <c r="M338" s="153">
        <f>+SUM(Opex_VE[[#This Row],[Internet]:[Electricidad]])</f>
        <v>26378.966666666667</v>
      </c>
      <c r="N338" s="152">
        <f>+VLOOKUP(Opex_VE[[#This Row],[Fecha]],Opex!$B:$Y,OPEX_SALES!N$1,1)</f>
        <v>3500</v>
      </c>
      <c r="O338" s="152">
        <f>+VLOOKUP(Opex_VE[[#This Row],[Fecha]],Opex!$B:$Y,OPEX_SALES!O$1,1)</f>
        <v>8243.9666666666672</v>
      </c>
      <c r="P338" s="152">
        <f>+VLOOKUP(Opex_VE[[#This Row],[Fecha]],Opex!$B:$Y,OPEX_SALES!P$1,1)</f>
        <v>4000</v>
      </c>
      <c r="Q338" s="152">
        <f>+VLOOKUP(Opex_VE[[#This Row],[Fecha]],Opex!$B:$Y,OPEX_SALES!Q$1,1)</f>
        <v>10635</v>
      </c>
      <c r="R338" s="153">
        <f>+SUM(Opex_VE[[#This Row],[Cajero]:[Domiciliario]])</f>
        <v>140000</v>
      </c>
      <c r="S338" s="152">
        <v>70000</v>
      </c>
      <c r="T338" s="152">
        <v>70000</v>
      </c>
      <c r="U338" s="152">
        <v>0</v>
      </c>
      <c r="V338"/>
    </row>
    <row r="339" spans="1:22" x14ac:dyDescent="0.2">
      <c r="A339" s="149">
        <v>46402</v>
      </c>
      <c r="B339" s="3">
        <f t="shared" si="9"/>
        <v>47</v>
      </c>
      <c r="C339" s="3" t="str">
        <f>+TEXT(Opex_VE[[#This Row],[Fecha]],"ddd")</f>
        <v>vie</v>
      </c>
      <c r="E339" s="14" t="s">
        <v>217</v>
      </c>
      <c r="F339" s="168">
        <f>IFERROR(VLOOKUP(Opex_VE[[#This Row],[Fecha]],Historia!A:B,2,0),_xlfn.XLOOKUP(Opex_VE[[#This Row],[dia]],Forecast!I:I,Forecast!J:J))</f>
        <v>184566.66666666666</v>
      </c>
      <c r="G339" s="168">
        <f>IFERROR(VLOOKUP(Opex_VE[[#This Row],[Fecha]],Historia!A:C,3,0),_xlfn.XLOOKUP(Opex_VE[[#This Row],[dia]],Forecast!I:I,Forecast!K:K))</f>
        <v>73826.666666666672</v>
      </c>
      <c r="H339" s="182">
        <f>+Opex_VE[[#This Row],[MG]]-Opex_VE[[#This Row],[Opex]]</f>
        <v>-147552.29999999999</v>
      </c>
      <c r="I339" s="168" t="str">
        <f>IFERROR(VLOOKUP(Opex_VE[[#This Row],[Fecha]],Historia!A:D,4,0),"Forecast")</f>
        <v>Forecast</v>
      </c>
      <c r="J339" s="157">
        <f t="shared" si="10"/>
        <v>553447.41666666663</v>
      </c>
      <c r="K339" s="151">
        <f>+Opex_VE[[#This Row],[Arriendo]]+Opex_VE[[#This Row],[Servicios publicos]]+Opex_VE[[#This Row],[Nomina]]</f>
        <v>221378.96666666667</v>
      </c>
      <c r="L339" s="152">
        <f>+VLOOKUP(Opex_VE[[#This Row],[Fecha]],Opex!$B:$Y,OPEX_SALES!L$1,1)</f>
        <v>55000</v>
      </c>
      <c r="M339" s="153">
        <f>+SUM(Opex_VE[[#This Row],[Internet]:[Electricidad]])</f>
        <v>26378.966666666667</v>
      </c>
      <c r="N339" s="152">
        <f>+VLOOKUP(Opex_VE[[#This Row],[Fecha]],Opex!$B:$Y,OPEX_SALES!N$1,1)</f>
        <v>3500</v>
      </c>
      <c r="O339" s="152">
        <f>+VLOOKUP(Opex_VE[[#This Row],[Fecha]],Opex!$B:$Y,OPEX_SALES!O$1,1)</f>
        <v>8243.9666666666672</v>
      </c>
      <c r="P339" s="152">
        <f>+VLOOKUP(Opex_VE[[#This Row],[Fecha]],Opex!$B:$Y,OPEX_SALES!P$1,1)</f>
        <v>4000</v>
      </c>
      <c r="Q339" s="152">
        <f>+VLOOKUP(Opex_VE[[#This Row],[Fecha]],Opex!$B:$Y,OPEX_SALES!Q$1,1)</f>
        <v>10635</v>
      </c>
      <c r="R339" s="153">
        <f>+SUM(Opex_VE[[#This Row],[Cajero]:[Domiciliario]])</f>
        <v>140000</v>
      </c>
      <c r="S339" s="152">
        <v>70000</v>
      </c>
      <c r="T339" s="152">
        <v>70000</v>
      </c>
      <c r="U339" s="152">
        <v>0</v>
      </c>
      <c r="V339"/>
    </row>
    <row r="340" spans="1:22" x14ac:dyDescent="0.2">
      <c r="A340" s="149">
        <v>46403</v>
      </c>
      <c r="B340" s="3">
        <f t="shared" si="9"/>
        <v>47</v>
      </c>
      <c r="C340" s="3" t="str">
        <f>+TEXT(Opex_VE[[#This Row],[Fecha]],"ddd")</f>
        <v>sáb</v>
      </c>
      <c r="E340" s="14" t="s">
        <v>113</v>
      </c>
      <c r="F340" s="168">
        <f>IFERROR(VLOOKUP(Opex_VE[[#This Row],[Fecha]],Historia!A:B,2,0),_xlfn.XLOOKUP(Opex_VE[[#This Row],[dia]],Forecast!I:I,Forecast!J:J))</f>
        <v>398333.33333333331</v>
      </c>
      <c r="G340" s="168">
        <f>IFERROR(VLOOKUP(Opex_VE[[#This Row],[Fecha]],Historia!A:C,3,0),_xlfn.XLOOKUP(Opex_VE[[#This Row],[dia]],Forecast!I:I,Forecast!K:K))</f>
        <v>159333.33333333334</v>
      </c>
      <c r="H340" s="182">
        <f>+Opex_VE[[#This Row],[MG]]-Opex_VE[[#This Row],[Opex]]</f>
        <v>-62045.633333333331</v>
      </c>
      <c r="I340" s="168" t="str">
        <f>IFERROR(VLOOKUP(Opex_VE[[#This Row],[Fecha]],Historia!A:D,4,0),"Forecast")</f>
        <v>Forecast</v>
      </c>
      <c r="J340" s="157">
        <f t="shared" si="10"/>
        <v>553447.41666666663</v>
      </c>
      <c r="K340" s="151">
        <f>+Opex_VE[[#This Row],[Arriendo]]+Opex_VE[[#This Row],[Servicios publicos]]+Opex_VE[[#This Row],[Nomina]]</f>
        <v>221378.96666666667</v>
      </c>
      <c r="L340" s="152">
        <f>+VLOOKUP(Opex_VE[[#This Row],[Fecha]],Opex!$B:$Y,OPEX_SALES!L$1,1)</f>
        <v>55000</v>
      </c>
      <c r="M340" s="153">
        <f>+SUM(Opex_VE[[#This Row],[Internet]:[Electricidad]])</f>
        <v>26378.966666666667</v>
      </c>
      <c r="N340" s="152">
        <f>+VLOOKUP(Opex_VE[[#This Row],[Fecha]],Opex!$B:$Y,OPEX_SALES!N$1,1)</f>
        <v>3500</v>
      </c>
      <c r="O340" s="152">
        <f>+VLOOKUP(Opex_VE[[#This Row],[Fecha]],Opex!$B:$Y,OPEX_SALES!O$1,1)</f>
        <v>8243.9666666666672</v>
      </c>
      <c r="P340" s="152">
        <f>+VLOOKUP(Opex_VE[[#This Row],[Fecha]],Opex!$B:$Y,OPEX_SALES!P$1,1)</f>
        <v>4000</v>
      </c>
      <c r="Q340" s="152">
        <f>+VLOOKUP(Opex_VE[[#This Row],[Fecha]],Opex!$B:$Y,OPEX_SALES!Q$1,1)</f>
        <v>10635</v>
      </c>
      <c r="R340" s="153">
        <f>+SUM(Opex_VE[[#This Row],[Cajero]:[Domiciliario]])</f>
        <v>140000</v>
      </c>
      <c r="S340" s="152">
        <v>70000</v>
      </c>
      <c r="T340" s="152">
        <v>70000</v>
      </c>
      <c r="U340" s="152">
        <v>0</v>
      </c>
      <c r="V340"/>
    </row>
    <row r="341" spans="1:22" x14ac:dyDescent="0.2">
      <c r="A341" s="149">
        <v>46404</v>
      </c>
      <c r="B341" s="3">
        <f t="shared" ref="B341:B362" si="11">+B334+1</f>
        <v>47</v>
      </c>
      <c r="C341" s="3" t="str">
        <f>+TEXT(Opex_VE[[#This Row],[Fecha]],"ddd")</f>
        <v>dom</v>
      </c>
      <c r="E341" s="14" t="s">
        <v>145</v>
      </c>
      <c r="F341" s="168">
        <f>IFERROR(VLOOKUP(Opex_VE[[#This Row],[Fecha]],Historia!A:B,2,0),_xlfn.XLOOKUP(Opex_VE[[#This Row],[dia]],Forecast!I:I,Forecast!J:J))</f>
        <v>168750</v>
      </c>
      <c r="G341" s="168">
        <f>IFERROR(VLOOKUP(Opex_VE[[#This Row],[Fecha]],Historia!A:C,3,0),_xlfn.XLOOKUP(Opex_VE[[#This Row],[dia]],Forecast!I:I,Forecast!K:K))</f>
        <v>67500</v>
      </c>
      <c r="H341" s="182">
        <f>+Opex_VE[[#This Row],[MG]]-Opex_VE[[#This Row],[Opex]]</f>
        <v>-153878.96666666667</v>
      </c>
      <c r="I341" s="168" t="str">
        <f>IFERROR(VLOOKUP(Opex_VE[[#This Row],[Fecha]],Historia!A:D,4,0),"Forecast")</f>
        <v>Forecast</v>
      </c>
      <c r="J341" s="157">
        <f t="shared" si="10"/>
        <v>553447.41666666663</v>
      </c>
      <c r="K341" s="151">
        <f>+Opex_VE[[#This Row],[Arriendo]]+Opex_VE[[#This Row],[Servicios publicos]]+Opex_VE[[#This Row],[Nomina]]</f>
        <v>221378.96666666667</v>
      </c>
      <c r="L341" s="152">
        <f>+VLOOKUP(Opex_VE[[#This Row],[Fecha]],Opex!$B:$Y,OPEX_SALES!L$1,1)</f>
        <v>55000</v>
      </c>
      <c r="M341" s="153">
        <f>+SUM(Opex_VE[[#This Row],[Internet]:[Electricidad]])</f>
        <v>26378.966666666667</v>
      </c>
      <c r="N341" s="152">
        <f>+VLOOKUP(Opex_VE[[#This Row],[Fecha]],Opex!$B:$Y,OPEX_SALES!N$1,1)</f>
        <v>3500</v>
      </c>
      <c r="O341" s="152">
        <f>+VLOOKUP(Opex_VE[[#This Row],[Fecha]],Opex!$B:$Y,OPEX_SALES!O$1,1)</f>
        <v>8243.9666666666672</v>
      </c>
      <c r="P341" s="152">
        <f>+VLOOKUP(Opex_VE[[#This Row],[Fecha]],Opex!$B:$Y,OPEX_SALES!P$1,1)</f>
        <v>4000</v>
      </c>
      <c r="Q341" s="152">
        <f>+VLOOKUP(Opex_VE[[#This Row],[Fecha]],Opex!$B:$Y,OPEX_SALES!Q$1,1)</f>
        <v>10635</v>
      </c>
      <c r="R341" s="153">
        <f>+SUM(Opex_VE[[#This Row],[Cajero]:[Domiciliario]])</f>
        <v>140000</v>
      </c>
      <c r="S341" s="152">
        <v>70000</v>
      </c>
      <c r="T341" s="152">
        <v>70000</v>
      </c>
      <c r="U341" s="152">
        <v>0</v>
      </c>
      <c r="V341"/>
    </row>
    <row r="342" spans="1:22" x14ac:dyDescent="0.2">
      <c r="A342" s="149">
        <v>46405</v>
      </c>
      <c r="B342" s="3">
        <f t="shared" si="11"/>
        <v>48</v>
      </c>
      <c r="C342" s="3" t="str">
        <f>+TEXT(Opex_VE[[#This Row],[Fecha]],"ddd")</f>
        <v>lun</v>
      </c>
      <c r="E342" s="14" t="s">
        <v>112</v>
      </c>
      <c r="F342" s="168">
        <f>IFERROR(VLOOKUP(Opex_VE[[#This Row],[Fecha]],Historia!A:B,2,0),_xlfn.XLOOKUP(Opex_VE[[#This Row],[dia]],Forecast!I:I,Forecast!J:J))</f>
        <v>164375</v>
      </c>
      <c r="G342" s="168">
        <f>IFERROR(VLOOKUP(Opex_VE[[#This Row],[Fecha]],Historia!A:C,3,0),_xlfn.XLOOKUP(Opex_VE[[#This Row],[dia]],Forecast!I:I,Forecast!K:K))</f>
        <v>65750</v>
      </c>
      <c r="H342" s="182">
        <f>+Opex_VE[[#This Row],[MG]]-Opex_VE[[#This Row],[Opex]]</f>
        <v>-155628.96666666667</v>
      </c>
      <c r="I342" s="168" t="str">
        <f>IFERROR(VLOOKUP(Opex_VE[[#This Row],[Fecha]],Historia!A:D,4,0),"Forecast")</f>
        <v>Forecast</v>
      </c>
      <c r="J342" s="157">
        <f t="shared" si="10"/>
        <v>553447.41666666663</v>
      </c>
      <c r="K342" s="151">
        <f>+Opex_VE[[#This Row],[Arriendo]]+Opex_VE[[#This Row],[Servicios publicos]]+Opex_VE[[#This Row],[Nomina]]</f>
        <v>221378.96666666667</v>
      </c>
      <c r="L342" s="152">
        <f>+VLOOKUP(Opex_VE[[#This Row],[Fecha]],Opex!$B:$Y,OPEX_SALES!L$1,1)</f>
        <v>55000</v>
      </c>
      <c r="M342" s="153">
        <f>+SUM(Opex_VE[[#This Row],[Internet]:[Electricidad]])</f>
        <v>26378.966666666667</v>
      </c>
      <c r="N342" s="152">
        <f>+VLOOKUP(Opex_VE[[#This Row],[Fecha]],Opex!$B:$Y,OPEX_SALES!N$1,1)</f>
        <v>3500</v>
      </c>
      <c r="O342" s="152">
        <f>+VLOOKUP(Opex_VE[[#This Row],[Fecha]],Opex!$B:$Y,OPEX_SALES!O$1,1)</f>
        <v>8243.9666666666672</v>
      </c>
      <c r="P342" s="152">
        <f>+VLOOKUP(Opex_VE[[#This Row],[Fecha]],Opex!$B:$Y,OPEX_SALES!P$1,1)</f>
        <v>4000</v>
      </c>
      <c r="Q342" s="152">
        <f>+VLOOKUP(Opex_VE[[#This Row],[Fecha]],Opex!$B:$Y,OPEX_SALES!Q$1,1)</f>
        <v>10635</v>
      </c>
      <c r="R342" s="153">
        <f>+SUM(Opex_VE[[#This Row],[Cajero]:[Domiciliario]])</f>
        <v>140000</v>
      </c>
      <c r="S342" s="152">
        <v>70000</v>
      </c>
      <c r="T342" s="152">
        <v>70000</v>
      </c>
      <c r="U342" s="152">
        <v>0</v>
      </c>
      <c r="V342"/>
    </row>
    <row r="343" spans="1:22" x14ac:dyDescent="0.2">
      <c r="A343" s="149">
        <v>46406</v>
      </c>
      <c r="B343" s="3">
        <f t="shared" si="11"/>
        <v>48</v>
      </c>
      <c r="C343" s="3" t="str">
        <f>+TEXT(Opex_VE[[#This Row],[Fecha]],"ddd")</f>
        <v>mar</v>
      </c>
      <c r="E343" s="14" t="s">
        <v>112</v>
      </c>
      <c r="F343" s="168">
        <f>IFERROR(VLOOKUP(Opex_VE[[#This Row],[Fecha]],Historia!A:B,2,0),_xlfn.XLOOKUP(Opex_VE[[#This Row],[dia]],Forecast!I:I,Forecast!J:J))</f>
        <v>199625</v>
      </c>
      <c r="G343" s="168">
        <f>IFERROR(VLOOKUP(Opex_VE[[#This Row],[Fecha]],Historia!A:C,3,0),_xlfn.XLOOKUP(Opex_VE[[#This Row],[dia]],Forecast!I:I,Forecast!K:K))</f>
        <v>79850</v>
      </c>
      <c r="H343" s="182">
        <f>+Opex_VE[[#This Row],[MG]]-Opex_VE[[#This Row],[Opex]]</f>
        <v>-141528.96666666667</v>
      </c>
      <c r="I343" s="168" t="str">
        <f>IFERROR(VLOOKUP(Opex_VE[[#This Row],[Fecha]],Historia!A:D,4,0),"Forecast")</f>
        <v>Forecast</v>
      </c>
      <c r="J343" s="157">
        <f t="shared" si="10"/>
        <v>553447.41666666663</v>
      </c>
      <c r="K343" s="151">
        <f>+Opex_VE[[#This Row],[Arriendo]]+Opex_VE[[#This Row],[Servicios publicos]]+Opex_VE[[#This Row],[Nomina]]</f>
        <v>221378.96666666667</v>
      </c>
      <c r="L343" s="152">
        <f>+VLOOKUP(Opex_VE[[#This Row],[Fecha]],Opex!$B:$Y,OPEX_SALES!L$1,1)</f>
        <v>55000</v>
      </c>
      <c r="M343" s="153">
        <f>+SUM(Opex_VE[[#This Row],[Internet]:[Electricidad]])</f>
        <v>26378.966666666667</v>
      </c>
      <c r="N343" s="152">
        <f>+VLOOKUP(Opex_VE[[#This Row],[Fecha]],Opex!$B:$Y,OPEX_SALES!N$1,1)</f>
        <v>3500</v>
      </c>
      <c r="O343" s="152">
        <f>+VLOOKUP(Opex_VE[[#This Row],[Fecha]],Opex!$B:$Y,OPEX_SALES!O$1,1)</f>
        <v>8243.9666666666672</v>
      </c>
      <c r="P343" s="152">
        <f>+VLOOKUP(Opex_VE[[#This Row],[Fecha]],Opex!$B:$Y,OPEX_SALES!P$1,1)</f>
        <v>4000</v>
      </c>
      <c r="Q343" s="152">
        <f>+VLOOKUP(Opex_VE[[#This Row],[Fecha]],Opex!$B:$Y,OPEX_SALES!Q$1,1)</f>
        <v>10635</v>
      </c>
      <c r="R343" s="153">
        <f>+SUM(Opex_VE[[#This Row],[Cajero]:[Domiciliario]])</f>
        <v>140000</v>
      </c>
      <c r="S343" s="152">
        <v>70000</v>
      </c>
      <c r="T343" s="152">
        <v>70000</v>
      </c>
      <c r="U343" s="152">
        <v>0</v>
      </c>
      <c r="V343"/>
    </row>
    <row r="344" spans="1:22" x14ac:dyDescent="0.2">
      <c r="A344" s="149">
        <v>46407</v>
      </c>
      <c r="B344" s="3">
        <f t="shared" si="11"/>
        <v>48</v>
      </c>
      <c r="C344" s="3" t="str">
        <f>+TEXT(Opex_VE[[#This Row],[Fecha]],"ddd")</f>
        <v>mié</v>
      </c>
      <c r="E344" s="14" t="s">
        <v>112</v>
      </c>
      <c r="F344" s="168">
        <f>IFERROR(VLOOKUP(Opex_VE[[#This Row],[Fecha]],Historia!A:B,2,0),_xlfn.XLOOKUP(Opex_VE[[#This Row],[dia]],Forecast!I:I,Forecast!J:J))</f>
        <v>339250</v>
      </c>
      <c r="G344" s="168">
        <f>IFERROR(VLOOKUP(Opex_VE[[#This Row],[Fecha]],Historia!A:C,3,0),_xlfn.XLOOKUP(Opex_VE[[#This Row],[dia]],Forecast!I:I,Forecast!K:K))</f>
        <v>135700</v>
      </c>
      <c r="H344" s="182">
        <f>+Opex_VE[[#This Row],[MG]]-Opex_VE[[#This Row],[Opex]]</f>
        <v>-85678.966666666674</v>
      </c>
      <c r="I344" s="168" t="str">
        <f>IFERROR(VLOOKUP(Opex_VE[[#This Row],[Fecha]],Historia!A:D,4,0),"Forecast")</f>
        <v>Forecast</v>
      </c>
      <c r="J344" s="157">
        <f t="shared" si="10"/>
        <v>553447.41666666663</v>
      </c>
      <c r="K344" s="151">
        <f>+Opex_VE[[#This Row],[Arriendo]]+Opex_VE[[#This Row],[Servicios publicos]]+Opex_VE[[#This Row],[Nomina]]</f>
        <v>221378.96666666667</v>
      </c>
      <c r="L344" s="152">
        <f>+VLOOKUP(Opex_VE[[#This Row],[Fecha]],Opex!$B:$Y,OPEX_SALES!L$1,1)</f>
        <v>55000</v>
      </c>
      <c r="M344" s="153">
        <f>+SUM(Opex_VE[[#This Row],[Internet]:[Electricidad]])</f>
        <v>26378.966666666667</v>
      </c>
      <c r="N344" s="152">
        <f>+VLOOKUP(Opex_VE[[#This Row],[Fecha]],Opex!$B:$Y,OPEX_SALES!N$1,1)</f>
        <v>3500</v>
      </c>
      <c r="O344" s="152">
        <f>+VLOOKUP(Opex_VE[[#This Row],[Fecha]],Opex!$B:$Y,OPEX_SALES!O$1,1)</f>
        <v>8243.9666666666672</v>
      </c>
      <c r="P344" s="152">
        <f>+VLOOKUP(Opex_VE[[#This Row],[Fecha]],Opex!$B:$Y,OPEX_SALES!P$1,1)</f>
        <v>4000</v>
      </c>
      <c r="Q344" s="152">
        <f>+VLOOKUP(Opex_VE[[#This Row],[Fecha]],Opex!$B:$Y,OPEX_SALES!Q$1,1)</f>
        <v>10635</v>
      </c>
      <c r="R344" s="153">
        <f>+SUM(Opex_VE[[#This Row],[Cajero]:[Domiciliario]])</f>
        <v>140000</v>
      </c>
      <c r="S344" s="152">
        <v>70000</v>
      </c>
      <c r="T344" s="152">
        <v>70000</v>
      </c>
      <c r="U344" s="152">
        <v>0</v>
      </c>
      <c r="V344"/>
    </row>
    <row r="345" spans="1:22" x14ac:dyDescent="0.2">
      <c r="A345" s="149">
        <v>46408</v>
      </c>
      <c r="B345" s="3">
        <f t="shared" si="11"/>
        <v>48</v>
      </c>
      <c r="C345" s="3" t="str">
        <f>+TEXT(Opex_VE[[#This Row],[Fecha]],"ddd")</f>
        <v>jue</v>
      </c>
      <c r="E345" s="14" t="s">
        <v>112</v>
      </c>
      <c r="F345" s="168">
        <f>IFERROR(VLOOKUP(Opex_VE[[#This Row],[Fecha]],Historia!A:B,2,0),_xlfn.XLOOKUP(Opex_VE[[#This Row],[dia]],Forecast!I:I,Forecast!J:J))</f>
        <v>274975</v>
      </c>
      <c r="G345" s="168">
        <f>IFERROR(VLOOKUP(Opex_VE[[#This Row],[Fecha]],Historia!A:C,3,0),_xlfn.XLOOKUP(Opex_VE[[#This Row],[dia]],Forecast!I:I,Forecast!K:K))</f>
        <v>109990</v>
      </c>
      <c r="H345" s="182">
        <f>+Opex_VE[[#This Row],[MG]]-Opex_VE[[#This Row],[Opex]]</f>
        <v>-111388.96666666667</v>
      </c>
      <c r="I345" s="168" t="str">
        <f>IFERROR(VLOOKUP(Opex_VE[[#This Row],[Fecha]],Historia!A:D,4,0),"Forecast")</f>
        <v>Forecast</v>
      </c>
      <c r="J345" s="157">
        <f t="shared" si="10"/>
        <v>553447.41666666663</v>
      </c>
      <c r="K345" s="151">
        <f>+Opex_VE[[#This Row],[Arriendo]]+Opex_VE[[#This Row],[Servicios publicos]]+Opex_VE[[#This Row],[Nomina]]</f>
        <v>221378.96666666667</v>
      </c>
      <c r="L345" s="152">
        <f>+VLOOKUP(Opex_VE[[#This Row],[Fecha]],Opex!$B:$Y,OPEX_SALES!L$1,1)</f>
        <v>55000</v>
      </c>
      <c r="M345" s="153">
        <f>+SUM(Opex_VE[[#This Row],[Internet]:[Electricidad]])</f>
        <v>26378.966666666667</v>
      </c>
      <c r="N345" s="152">
        <f>+VLOOKUP(Opex_VE[[#This Row],[Fecha]],Opex!$B:$Y,OPEX_SALES!N$1,1)</f>
        <v>3500</v>
      </c>
      <c r="O345" s="152">
        <f>+VLOOKUP(Opex_VE[[#This Row],[Fecha]],Opex!$B:$Y,OPEX_SALES!O$1,1)</f>
        <v>8243.9666666666672</v>
      </c>
      <c r="P345" s="152">
        <f>+VLOOKUP(Opex_VE[[#This Row],[Fecha]],Opex!$B:$Y,OPEX_SALES!P$1,1)</f>
        <v>4000</v>
      </c>
      <c r="Q345" s="152">
        <f>+VLOOKUP(Opex_VE[[#This Row],[Fecha]],Opex!$B:$Y,OPEX_SALES!Q$1,1)</f>
        <v>10635</v>
      </c>
      <c r="R345" s="153">
        <f>+SUM(Opex_VE[[#This Row],[Cajero]:[Domiciliario]])</f>
        <v>140000</v>
      </c>
      <c r="S345" s="152">
        <v>70000</v>
      </c>
      <c r="T345" s="152">
        <v>70000</v>
      </c>
      <c r="U345" s="152">
        <v>0</v>
      </c>
      <c r="V345"/>
    </row>
    <row r="346" spans="1:22" x14ac:dyDescent="0.2">
      <c r="A346" s="149">
        <v>46409</v>
      </c>
      <c r="B346" s="3">
        <f t="shared" si="11"/>
        <v>48</v>
      </c>
      <c r="C346" s="3" t="str">
        <f>+TEXT(Opex_VE[[#This Row],[Fecha]],"ddd")</f>
        <v>vie</v>
      </c>
      <c r="E346" s="14" t="s">
        <v>217</v>
      </c>
      <c r="F346" s="168">
        <f>IFERROR(VLOOKUP(Opex_VE[[#This Row],[Fecha]],Historia!A:B,2,0),_xlfn.XLOOKUP(Opex_VE[[#This Row],[dia]],Forecast!I:I,Forecast!J:J))</f>
        <v>184566.66666666666</v>
      </c>
      <c r="G346" s="168">
        <f>IFERROR(VLOOKUP(Opex_VE[[#This Row],[Fecha]],Historia!A:C,3,0),_xlfn.XLOOKUP(Opex_VE[[#This Row],[dia]],Forecast!I:I,Forecast!K:K))</f>
        <v>73826.666666666672</v>
      </c>
      <c r="H346" s="182">
        <f>+Opex_VE[[#This Row],[MG]]-Opex_VE[[#This Row],[Opex]]</f>
        <v>-147552.29999999999</v>
      </c>
      <c r="I346" s="168" t="str">
        <f>IFERROR(VLOOKUP(Opex_VE[[#This Row],[Fecha]],Historia!A:D,4,0),"Forecast")</f>
        <v>Forecast</v>
      </c>
      <c r="J346" s="157">
        <f t="shared" si="10"/>
        <v>553447.41666666663</v>
      </c>
      <c r="K346" s="151">
        <f>+Opex_VE[[#This Row],[Arriendo]]+Opex_VE[[#This Row],[Servicios publicos]]+Opex_VE[[#This Row],[Nomina]]</f>
        <v>221378.96666666667</v>
      </c>
      <c r="L346" s="152">
        <f>+VLOOKUP(Opex_VE[[#This Row],[Fecha]],Opex!$B:$Y,OPEX_SALES!L$1,1)</f>
        <v>55000</v>
      </c>
      <c r="M346" s="153">
        <f>+SUM(Opex_VE[[#This Row],[Internet]:[Electricidad]])</f>
        <v>26378.966666666667</v>
      </c>
      <c r="N346" s="152">
        <f>+VLOOKUP(Opex_VE[[#This Row],[Fecha]],Opex!$B:$Y,OPEX_SALES!N$1,1)</f>
        <v>3500</v>
      </c>
      <c r="O346" s="152">
        <f>+VLOOKUP(Opex_VE[[#This Row],[Fecha]],Opex!$B:$Y,OPEX_SALES!O$1,1)</f>
        <v>8243.9666666666672</v>
      </c>
      <c r="P346" s="152">
        <f>+VLOOKUP(Opex_VE[[#This Row],[Fecha]],Opex!$B:$Y,OPEX_SALES!P$1,1)</f>
        <v>4000</v>
      </c>
      <c r="Q346" s="152">
        <f>+VLOOKUP(Opex_VE[[#This Row],[Fecha]],Opex!$B:$Y,OPEX_SALES!Q$1,1)</f>
        <v>10635</v>
      </c>
      <c r="R346" s="153">
        <f>+SUM(Opex_VE[[#This Row],[Cajero]:[Domiciliario]])</f>
        <v>140000</v>
      </c>
      <c r="S346" s="152">
        <v>70000</v>
      </c>
      <c r="T346" s="152">
        <v>70000</v>
      </c>
      <c r="U346" s="152">
        <v>0</v>
      </c>
      <c r="V346"/>
    </row>
    <row r="347" spans="1:22" x14ac:dyDescent="0.2">
      <c r="A347" s="149">
        <v>46410</v>
      </c>
      <c r="B347" s="3">
        <f t="shared" si="11"/>
        <v>48</v>
      </c>
      <c r="C347" s="3" t="str">
        <f>+TEXT(Opex_VE[[#This Row],[Fecha]],"ddd")</f>
        <v>sáb</v>
      </c>
      <c r="E347" s="14" t="s">
        <v>113</v>
      </c>
      <c r="F347" s="168">
        <f>IFERROR(VLOOKUP(Opex_VE[[#This Row],[Fecha]],Historia!A:B,2,0),_xlfn.XLOOKUP(Opex_VE[[#This Row],[dia]],Forecast!I:I,Forecast!J:J))</f>
        <v>398333.33333333331</v>
      </c>
      <c r="G347" s="168">
        <f>IFERROR(VLOOKUP(Opex_VE[[#This Row],[Fecha]],Historia!A:C,3,0),_xlfn.XLOOKUP(Opex_VE[[#This Row],[dia]],Forecast!I:I,Forecast!K:K))</f>
        <v>159333.33333333334</v>
      </c>
      <c r="H347" s="182">
        <f>+Opex_VE[[#This Row],[MG]]-Opex_VE[[#This Row],[Opex]]</f>
        <v>-62045.633333333331</v>
      </c>
      <c r="I347" s="168" t="str">
        <f>IFERROR(VLOOKUP(Opex_VE[[#This Row],[Fecha]],Historia!A:D,4,0),"Forecast")</f>
        <v>Forecast</v>
      </c>
      <c r="J347" s="157">
        <f t="shared" si="10"/>
        <v>553447.41666666663</v>
      </c>
      <c r="K347" s="151">
        <f>+Opex_VE[[#This Row],[Arriendo]]+Opex_VE[[#This Row],[Servicios publicos]]+Opex_VE[[#This Row],[Nomina]]</f>
        <v>221378.96666666667</v>
      </c>
      <c r="L347" s="152">
        <f>+VLOOKUP(Opex_VE[[#This Row],[Fecha]],Opex!$B:$Y,OPEX_SALES!L$1,1)</f>
        <v>55000</v>
      </c>
      <c r="M347" s="153">
        <f>+SUM(Opex_VE[[#This Row],[Internet]:[Electricidad]])</f>
        <v>26378.966666666667</v>
      </c>
      <c r="N347" s="152">
        <f>+VLOOKUP(Opex_VE[[#This Row],[Fecha]],Opex!$B:$Y,OPEX_SALES!N$1,1)</f>
        <v>3500</v>
      </c>
      <c r="O347" s="152">
        <f>+VLOOKUP(Opex_VE[[#This Row],[Fecha]],Opex!$B:$Y,OPEX_SALES!O$1,1)</f>
        <v>8243.9666666666672</v>
      </c>
      <c r="P347" s="152">
        <f>+VLOOKUP(Opex_VE[[#This Row],[Fecha]],Opex!$B:$Y,OPEX_SALES!P$1,1)</f>
        <v>4000</v>
      </c>
      <c r="Q347" s="152">
        <f>+VLOOKUP(Opex_VE[[#This Row],[Fecha]],Opex!$B:$Y,OPEX_SALES!Q$1,1)</f>
        <v>10635</v>
      </c>
      <c r="R347" s="153">
        <f>+SUM(Opex_VE[[#This Row],[Cajero]:[Domiciliario]])</f>
        <v>140000</v>
      </c>
      <c r="S347" s="152">
        <v>70000</v>
      </c>
      <c r="T347" s="152">
        <v>70000</v>
      </c>
      <c r="U347" s="152">
        <v>0</v>
      </c>
      <c r="V347"/>
    </row>
    <row r="348" spans="1:22" x14ac:dyDescent="0.2">
      <c r="A348" s="149">
        <v>46411</v>
      </c>
      <c r="B348" s="3">
        <f t="shared" si="11"/>
        <v>48</v>
      </c>
      <c r="C348" s="3" t="str">
        <f>+TEXT(Opex_VE[[#This Row],[Fecha]],"ddd")</f>
        <v>dom</v>
      </c>
      <c r="E348" s="14" t="s">
        <v>145</v>
      </c>
      <c r="F348" s="168">
        <f>IFERROR(VLOOKUP(Opex_VE[[#This Row],[Fecha]],Historia!A:B,2,0),_xlfn.XLOOKUP(Opex_VE[[#This Row],[dia]],Forecast!I:I,Forecast!J:J))</f>
        <v>168750</v>
      </c>
      <c r="G348" s="168">
        <f>IFERROR(VLOOKUP(Opex_VE[[#This Row],[Fecha]],Historia!A:C,3,0),_xlfn.XLOOKUP(Opex_VE[[#This Row],[dia]],Forecast!I:I,Forecast!K:K))</f>
        <v>67500</v>
      </c>
      <c r="H348" s="182">
        <f>+Opex_VE[[#This Row],[MG]]-Opex_VE[[#This Row],[Opex]]</f>
        <v>-153878.96666666667</v>
      </c>
      <c r="I348" s="168" t="str">
        <f>IFERROR(VLOOKUP(Opex_VE[[#This Row],[Fecha]],Historia!A:D,4,0),"Forecast")</f>
        <v>Forecast</v>
      </c>
      <c r="J348" s="157">
        <f t="shared" si="10"/>
        <v>553447.41666666663</v>
      </c>
      <c r="K348" s="151">
        <f>+Opex_VE[[#This Row],[Arriendo]]+Opex_VE[[#This Row],[Servicios publicos]]+Opex_VE[[#This Row],[Nomina]]</f>
        <v>221378.96666666667</v>
      </c>
      <c r="L348" s="152">
        <f>+VLOOKUP(Opex_VE[[#This Row],[Fecha]],Opex!$B:$Y,OPEX_SALES!L$1,1)</f>
        <v>55000</v>
      </c>
      <c r="M348" s="153">
        <f>+SUM(Opex_VE[[#This Row],[Internet]:[Electricidad]])</f>
        <v>26378.966666666667</v>
      </c>
      <c r="N348" s="152">
        <f>+VLOOKUP(Opex_VE[[#This Row],[Fecha]],Opex!$B:$Y,OPEX_SALES!N$1,1)</f>
        <v>3500</v>
      </c>
      <c r="O348" s="152">
        <f>+VLOOKUP(Opex_VE[[#This Row],[Fecha]],Opex!$B:$Y,OPEX_SALES!O$1,1)</f>
        <v>8243.9666666666672</v>
      </c>
      <c r="P348" s="152">
        <f>+VLOOKUP(Opex_VE[[#This Row],[Fecha]],Opex!$B:$Y,OPEX_SALES!P$1,1)</f>
        <v>4000</v>
      </c>
      <c r="Q348" s="152">
        <f>+VLOOKUP(Opex_VE[[#This Row],[Fecha]],Opex!$B:$Y,OPEX_SALES!Q$1,1)</f>
        <v>10635</v>
      </c>
      <c r="R348" s="153">
        <f>+SUM(Opex_VE[[#This Row],[Cajero]:[Domiciliario]])</f>
        <v>140000</v>
      </c>
      <c r="S348" s="152">
        <v>70000</v>
      </c>
      <c r="T348" s="152">
        <v>70000</v>
      </c>
      <c r="U348" s="152">
        <v>0</v>
      </c>
      <c r="V348"/>
    </row>
    <row r="349" spans="1:22" x14ac:dyDescent="0.2">
      <c r="A349" s="149">
        <v>46412</v>
      </c>
      <c r="B349" s="3">
        <f t="shared" si="11"/>
        <v>49</v>
      </c>
      <c r="C349" s="3" t="str">
        <f>+TEXT(Opex_VE[[#This Row],[Fecha]],"ddd")</f>
        <v>lun</v>
      </c>
      <c r="E349" s="14" t="s">
        <v>112</v>
      </c>
      <c r="F349" s="168">
        <f>IFERROR(VLOOKUP(Opex_VE[[#This Row],[Fecha]],Historia!A:B,2,0),_xlfn.XLOOKUP(Opex_VE[[#This Row],[dia]],Forecast!I:I,Forecast!J:J))</f>
        <v>164375</v>
      </c>
      <c r="G349" s="168">
        <f>IFERROR(VLOOKUP(Opex_VE[[#This Row],[Fecha]],Historia!A:C,3,0),_xlfn.XLOOKUP(Opex_VE[[#This Row],[dia]],Forecast!I:I,Forecast!K:K))</f>
        <v>65750</v>
      </c>
      <c r="H349" s="182">
        <f>+Opex_VE[[#This Row],[MG]]-Opex_VE[[#This Row],[Opex]]</f>
        <v>-155628.96666666667</v>
      </c>
      <c r="I349" s="168" t="str">
        <f>IFERROR(VLOOKUP(Opex_VE[[#This Row],[Fecha]],Historia!A:D,4,0),"Forecast")</f>
        <v>Forecast</v>
      </c>
      <c r="J349" s="157">
        <f t="shared" si="10"/>
        <v>553447.41666666663</v>
      </c>
      <c r="K349" s="151">
        <f>+Opex_VE[[#This Row],[Arriendo]]+Opex_VE[[#This Row],[Servicios publicos]]+Opex_VE[[#This Row],[Nomina]]</f>
        <v>221378.96666666667</v>
      </c>
      <c r="L349" s="152">
        <f>+VLOOKUP(Opex_VE[[#This Row],[Fecha]],Opex!$B:$Y,OPEX_SALES!L$1,1)</f>
        <v>55000</v>
      </c>
      <c r="M349" s="153">
        <f>+SUM(Opex_VE[[#This Row],[Internet]:[Electricidad]])</f>
        <v>26378.966666666667</v>
      </c>
      <c r="N349" s="152">
        <f>+VLOOKUP(Opex_VE[[#This Row],[Fecha]],Opex!$B:$Y,OPEX_SALES!N$1,1)</f>
        <v>3500</v>
      </c>
      <c r="O349" s="152">
        <f>+VLOOKUP(Opex_VE[[#This Row],[Fecha]],Opex!$B:$Y,OPEX_SALES!O$1,1)</f>
        <v>8243.9666666666672</v>
      </c>
      <c r="P349" s="152">
        <f>+VLOOKUP(Opex_VE[[#This Row],[Fecha]],Opex!$B:$Y,OPEX_SALES!P$1,1)</f>
        <v>4000</v>
      </c>
      <c r="Q349" s="152">
        <f>+VLOOKUP(Opex_VE[[#This Row],[Fecha]],Opex!$B:$Y,OPEX_SALES!Q$1,1)</f>
        <v>10635</v>
      </c>
      <c r="R349" s="153">
        <f>+SUM(Opex_VE[[#This Row],[Cajero]:[Domiciliario]])</f>
        <v>140000</v>
      </c>
      <c r="S349" s="152">
        <v>70000</v>
      </c>
      <c r="T349" s="152">
        <v>70000</v>
      </c>
      <c r="U349" s="152">
        <v>0</v>
      </c>
      <c r="V349"/>
    </row>
    <row r="350" spans="1:22" x14ac:dyDescent="0.2">
      <c r="A350" s="149">
        <v>46413</v>
      </c>
      <c r="B350" s="3">
        <f t="shared" si="11"/>
        <v>49</v>
      </c>
      <c r="C350" s="3" t="str">
        <f>+TEXT(Opex_VE[[#This Row],[Fecha]],"ddd")</f>
        <v>mar</v>
      </c>
      <c r="E350" s="14" t="s">
        <v>112</v>
      </c>
      <c r="F350" s="168">
        <f>IFERROR(VLOOKUP(Opex_VE[[#This Row],[Fecha]],Historia!A:B,2,0),_xlfn.XLOOKUP(Opex_VE[[#This Row],[dia]],Forecast!I:I,Forecast!J:J))</f>
        <v>199625</v>
      </c>
      <c r="G350" s="168">
        <f>IFERROR(VLOOKUP(Opex_VE[[#This Row],[Fecha]],Historia!A:C,3,0),_xlfn.XLOOKUP(Opex_VE[[#This Row],[dia]],Forecast!I:I,Forecast!K:K))</f>
        <v>79850</v>
      </c>
      <c r="H350" s="182">
        <f>+Opex_VE[[#This Row],[MG]]-Opex_VE[[#This Row],[Opex]]</f>
        <v>-141528.96666666667</v>
      </c>
      <c r="I350" s="168" t="str">
        <f>IFERROR(VLOOKUP(Opex_VE[[#This Row],[Fecha]],Historia!A:D,4,0),"Forecast")</f>
        <v>Forecast</v>
      </c>
      <c r="J350" s="157">
        <f t="shared" si="10"/>
        <v>553447.41666666663</v>
      </c>
      <c r="K350" s="151">
        <f>+Opex_VE[[#This Row],[Arriendo]]+Opex_VE[[#This Row],[Servicios publicos]]+Opex_VE[[#This Row],[Nomina]]</f>
        <v>221378.96666666667</v>
      </c>
      <c r="L350" s="152">
        <f>+VLOOKUP(Opex_VE[[#This Row],[Fecha]],Opex!$B:$Y,OPEX_SALES!L$1,1)</f>
        <v>55000</v>
      </c>
      <c r="M350" s="153">
        <f>+SUM(Opex_VE[[#This Row],[Internet]:[Electricidad]])</f>
        <v>26378.966666666667</v>
      </c>
      <c r="N350" s="152">
        <f>+VLOOKUP(Opex_VE[[#This Row],[Fecha]],Opex!$B:$Y,OPEX_SALES!N$1,1)</f>
        <v>3500</v>
      </c>
      <c r="O350" s="152">
        <f>+VLOOKUP(Opex_VE[[#This Row],[Fecha]],Opex!$B:$Y,OPEX_SALES!O$1,1)</f>
        <v>8243.9666666666672</v>
      </c>
      <c r="P350" s="152">
        <f>+VLOOKUP(Opex_VE[[#This Row],[Fecha]],Opex!$B:$Y,OPEX_SALES!P$1,1)</f>
        <v>4000</v>
      </c>
      <c r="Q350" s="152">
        <f>+VLOOKUP(Opex_VE[[#This Row],[Fecha]],Opex!$B:$Y,OPEX_SALES!Q$1,1)</f>
        <v>10635</v>
      </c>
      <c r="R350" s="153">
        <f>+SUM(Opex_VE[[#This Row],[Cajero]:[Domiciliario]])</f>
        <v>140000</v>
      </c>
      <c r="S350" s="152">
        <v>70000</v>
      </c>
      <c r="T350" s="152">
        <v>70000</v>
      </c>
      <c r="U350" s="152">
        <v>0</v>
      </c>
      <c r="V350"/>
    </row>
    <row r="351" spans="1:22" x14ac:dyDescent="0.2">
      <c r="A351" s="149">
        <v>46414</v>
      </c>
      <c r="B351" s="3">
        <f t="shared" si="11"/>
        <v>49</v>
      </c>
      <c r="C351" s="3" t="str">
        <f>+TEXT(Opex_VE[[#This Row],[Fecha]],"ddd")</f>
        <v>mié</v>
      </c>
      <c r="E351" s="14" t="s">
        <v>112</v>
      </c>
      <c r="F351" s="168">
        <f>IFERROR(VLOOKUP(Opex_VE[[#This Row],[Fecha]],Historia!A:B,2,0),_xlfn.XLOOKUP(Opex_VE[[#This Row],[dia]],Forecast!I:I,Forecast!J:J))</f>
        <v>339250</v>
      </c>
      <c r="G351" s="168">
        <f>IFERROR(VLOOKUP(Opex_VE[[#This Row],[Fecha]],Historia!A:C,3,0),_xlfn.XLOOKUP(Opex_VE[[#This Row],[dia]],Forecast!I:I,Forecast!K:K))</f>
        <v>135700</v>
      </c>
      <c r="H351" s="182">
        <f>+Opex_VE[[#This Row],[MG]]-Opex_VE[[#This Row],[Opex]]</f>
        <v>-85678.966666666674</v>
      </c>
      <c r="I351" s="168" t="str">
        <f>IFERROR(VLOOKUP(Opex_VE[[#This Row],[Fecha]],Historia!A:D,4,0),"Forecast")</f>
        <v>Forecast</v>
      </c>
      <c r="J351" s="157">
        <f t="shared" si="10"/>
        <v>553447.41666666663</v>
      </c>
      <c r="K351" s="151">
        <f>+Opex_VE[[#This Row],[Arriendo]]+Opex_VE[[#This Row],[Servicios publicos]]+Opex_VE[[#This Row],[Nomina]]</f>
        <v>221378.96666666667</v>
      </c>
      <c r="L351" s="152">
        <f>+VLOOKUP(Opex_VE[[#This Row],[Fecha]],Opex!$B:$Y,OPEX_SALES!L$1,1)</f>
        <v>55000</v>
      </c>
      <c r="M351" s="153">
        <f>+SUM(Opex_VE[[#This Row],[Internet]:[Electricidad]])</f>
        <v>26378.966666666667</v>
      </c>
      <c r="N351" s="152">
        <f>+VLOOKUP(Opex_VE[[#This Row],[Fecha]],Opex!$B:$Y,OPEX_SALES!N$1,1)</f>
        <v>3500</v>
      </c>
      <c r="O351" s="152">
        <f>+VLOOKUP(Opex_VE[[#This Row],[Fecha]],Opex!$B:$Y,OPEX_SALES!O$1,1)</f>
        <v>8243.9666666666672</v>
      </c>
      <c r="P351" s="152">
        <f>+VLOOKUP(Opex_VE[[#This Row],[Fecha]],Opex!$B:$Y,OPEX_SALES!P$1,1)</f>
        <v>4000</v>
      </c>
      <c r="Q351" s="152">
        <f>+VLOOKUP(Opex_VE[[#This Row],[Fecha]],Opex!$B:$Y,OPEX_SALES!Q$1,1)</f>
        <v>10635</v>
      </c>
      <c r="R351" s="153">
        <f>+SUM(Opex_VE[[#This Row],[Cajero]:[Domiciliario]])</f>
        <v>140000</v>
      </c>
      <c r="S351" s="152">
        <v>70000</v>
      </c>
      <c r="T351" s="152">
        <v>70000</v>
      </c>
      <c r="U351" s="152">
        <v>0</v>
      </c>
      <c r="V351"/>
    </row>
    <row r="352" spans="1:22" x14ac:dyDescent="0.2">
      <c r="A352" s="149">
        <v>46415</v>
      </c>
      <c r="B352" s="3">
        <f t="shared" si="11"/>
        <v>49</v>
      </c>
      <c r="C352" s="3" t="str">
        <f>+TEXT(Opex_VE[[#This Row],[Fecha]],"ddd")</f>
        <v>jue</v>
      </c>
      <c r="E352" s="14" t="s">
        <v>112</v>
      </c>
      <c r="F352" s="168">
        <f>IFERROR(VLOOKUP(Opex_VE[[#This Row],[Fecha]],Historia!A:B,2,0),_xlfn.XLOOKUP(Opex_VE[[#This Row],[dia]],Forecast!I:I,Forecast!J:J))</f>
        <v>274975</v>
      </c>
      <c r="G352" s="168">
        <f>IFERROR(VLOOKUP(Opex_VE[[#This Row],[Fecha]],Historia!A:C,3,0),_xlfn.XLOOKUP(Opex_VE[[#This Row],[dia]],Forecast!I:I,Forecast!K:K))</f>
        <v>109990</v>
      </c>
      <c r="H352" s="182">
        <f>+Opex_VE[[#This Row],[MG]]-Opex_VE[[#This Row],[Opex]]</f>
        <v>-111388.96666666667</v>
      </c>
      <c r="I352" s="168" t="str">
        <f>IFERROR(VLOOKUP(Opex_VE[[#This Row],[Fecha]],Historia!A:D,4,0),"Forecast")</f>
        <v>Forecast</v>
      </c>
      <c r="J352" s="157">
        <f t="shared" si="10"/>
        <v>553447.41666666663</v>
      </c>
      <c r="K352" s="151">
        <f>+Opex_VE[[#This Row],[Arriendo]]+Opex_VE[[#This Row],[Servicios publicos]]+Opex_VE[[#This Row],[Nomina]]</f>
        <v>221378.96666666667</v>
      </c>
      <c r="L352" s="152">
        <f>+VLOOKUP(Opex_VE[[#This Row],[Fecha]],Opex!$B:$Y,OPEX_SALES!L$1,1)</f>
        <v>55000</v>
      </c>
      <c r="M352" s="153">
        <f>+SUM(Opex_VE[[#This Row],[Internet]:[Electricidad]])</f>
        <v>26378.966666666667</v>
      </c>
      <c r="N352" s="152">
        <f>+VLOOKUP(Opex_VE[[#This Row],[Fecha]],Opex!$B:$Y,OPEX_SALES!N$1,1)</f>
        <v>3500</v>
      </c>
      <c r="O352" s="152">
        <f>+VLOOKUP(Opex_VE[[#This Row],[Fecha]],Opex!$B:$Y,OPEX_SALES!O$1,1)</f>
        <v>8243.9666666666672</v>
      </c>
      <c r="P352" s="152">
        <f>+VLOOKUP(Opex_VE[[#This Row],[Fecha]],Opex!$B:$Y,OPEX_SALES!P$1,1)</f>
        <v>4000</v>
      </c>
      <c r="Q352" s="152">
        <f>+VLOOKUP(Opex_VE[[#This Row],[Fecha]],Opex!$B:$Y,OPEX_SALES!Q$1,1)</f>
        <v>10635</v>
      </c>
      <c r="R352" s="153">
        <f>+SUM(Opex_VE[[#This Row],[Cajero]:[Domiciliario]])</f>
        <v>140000</v>
      </c>
      <c r="S352" s="152">
        <v>70000</v>
      </c>
      <c r="T352" s="152">
        <v>70000</v>
      </c>
      <c r="U352" s="152">
        <v>0</v>
      </c>
      <c r="V352"/>
    </row>
    <row r="353" spans="1:22" x14ac:dyDescent="0.2">
      <c r="A353" s="149">
        <v>46416</v>
      </c>
      <c r="B353" s="3">
        <f t="shared" si="11"/>
        <v>49</v>
      </c>
      <c r="C353" s="3" t="str">
        <f>+TEXT(Opex_VE[[#This Row],[Fecha]],"ddd")</f>
        <v>vie</v>
      </c>
      <c r="E353" s="14" t="s">
        <v>217</v>
      </c>
      <c r="F353" s="168">
        <f>IFERROR(VLOOKUP(Opex_VE[[#This Row],[Fecha]],Historia!A:B,2,0),_xlfn.XLOOKUP(Opex_VE[[#This Row],[dia]],Forecast!I:I,Forecast!J:J))</f>
        <v>184566.66666666666</v>
      </c>
      <c r="G353" s="168">
        <f>IFERROR(VLOOKUP(Opex_VE[[#This Row],[Fecha]],Historia!A:C,3,0),_xlfn.XLOOKUP(Opex_VE[[#This Row],[dia]],Forecast!I:I,Forecast!K:K))</f>
        <v>73826.666666666672</v>
      </c>
      <c r="H353" s="182">
        <f>+Opex_VE[[#This Row],[MG]]-Opex_VE[[#This Row],[Opex]]</f>
        <v>-147552.29999999999</v>
      </c>
      <c r="I353" s="168" t="str">
        <f>IFERROR(VLOOKUP(Opex_VE[[#This Row],[Fecha]],Historia!A:D,4,0),"Forecast")</f>
        <v>Forecast</v>
      </c>
      <c r="J353" s="157">
        <f t="shared" si="10"/>
        <v>553447.41666666663</v>
      </c>
      <c r="K353" s="151">
        <f>+Opex_VE[[#This Row],[Arriendo]]+Opex_VE[[#This Row],[Servicios publicos]]+Opex_VE[[#This Row],[Nomina]]</f>
        <v>221378.96666666667</v>
      </c>
      <c r="L353" s="152">
        <f>+VLOOKUP(Opex_VE[[#This Row],[Fecha]],Opex!$B:$Y,OPEX_SALES!L$1,1)</f>
        <v>55000</v>
      </c>
      <c r="M353" s="153">
        <f>+SUM(Opex_VE[[#This Row],[Internet]:[Electricidad]])</f>
        <v>26378.966666666667</v>
      </c>
      <c r="N353" s="152">
        <f>+VLOOKUP(Opex_VE[[#This Row],[Fecha]],Opex!$B:$Y,OPEX_SALES!N$1,1)</f>
        <v>3500</v>
      </c>
      <c r="O353" s="152">
        <f>+VLOOKUP(Opex_VE[[#This Row],[Fecha]],Opex!$B:$Y,OPEX_SALES!O$1,1)</f>
        <v>8243.9666666666672</v>
      </c>
      <c r="P353" s="152">
        <f>+VLOOKUP(Opex_VE[[#This Row],[Fecha]],Opex!$B:$Y,OPEX_SALES!P$1,1)</f>
        <v>4000</v>
      </c>
      <c r="Q353" s="152">
        <f>+VLOOKUP(Opex_VE[[#This Row],[Fecha]],Opex!$B:$Y,OPEX_SALES!Q$1,1)</f>
        <v>10635</v>
      </c>
      <c r="R353" s="153">
        <f>+SUM(Opex_VE[[#This Row],[Cajero]:[Domiciliario]])</f>
        <v>140000</v>
      </c>
      <c r="S353" s="152">
        <v>70000</v>
      </c>
      <c r="T353" s="152">
        <v>70000</v>
      </c>
      <c r="U353" s="152">
        <v>0</v>
      </c>
      <c r="V353"/>
    </row>
    <row r="354" spans="1:22" x14ac:dyDescent="0.2">
      <c r="A354" s="149">
        <v>46417</v>
      </c>
      <c r="B354" s="3">
        <f t="shared" si="11"/>
        <v>49</v>
      </c>
      <c r="C354" s="3" t="str">
        <f>+TEXT(Opex_VE[[#This Row],[Fecha]],"ddd")</f>
        <v>sáb</v>
      </c>
      <c r="E354" s="14" t="s">
        <v>113</v>
      </c>
      <c r="F354" s="168">
        <f>IFERROR(VLOOKUP(Opex_VE[[#This Row],[Fecha]],Historia!A:B,2,0),_xlfn.XLOOKUP(Opex_VE[[#This Row],[dia]],Forecast!I:I,Forecast!J:J))</f>
        <v>398333.33333333331</v>
      </c>
      <c r="G354" s="168">
        <f>IFERROR(VLOOKUP(Opex_VE[[#This Row],[Fecha]],Historia!A:C,3,0),_xlfn.XLOOKUP(Opex_VE[[#This Row],[dia]],Forecast!I:I,Forecast!K:K))</f>
        <v>159333.33333333334</v>
      </c>
      <c r="H354" s="182">
        <f>+Opex_VE[[#This Row],[MG]]-Opex_VE[[#This Row],[Opex]]</f>
        <v>-62045.633333333331</v>
      </c>
      <c r="I354" s="168" t="str">
        <f>IFERROR(VLOOKUP(Opex_VE[[#This Row],[Fecha]],Historia!A:D,4,0),"Forecast")</f>
        <v>Forecast</v>
      </c>
      <c r="J354" s="157">
        <f t="shared" si="10"/>
        <v>553447.41666666663</v>
      </c>
      <c r="K354" s="151">
        <f>+Opex_VE[[#This Row],[Arriendo]]+Opex_VE[[#This Row],[Servicios publicos]]+Opex_VE[[#This Row],[Nomina]]</f>
        <v>221378.96666666667</v>
      </c>
      <c r="L354" s="152">
        <f>+VLOOKUP(Opex_VE[[#This Row],[Fecha]],Opex!$B:$Y,OPEX_SALES!L$1,1)</f>
        <v>55000</v>
      </c>
      <c r="M354" s="153">
        <f>+SUM(Opex_VE[[#This Row],[Internet]:[Electricidad]])</f>
        <v>26378.966666666667</v>
      </c>
      <c r="N354" s="152">
        <f>+VLOOKUP(Opex_VE[[#This Row],[Fecha]],Opex!$B:$Y,OPEX_SALES!N$1,1)</f>
        <v>3500</v>
      </c>
      <c r="O354" s="152">
        <f>+VLOOKUP(Opex_VE[[#This Row],[Fecha]],Opex!$B:$Y,OPEX_SALES!O$1,1)</f>
        <v>8243.9666666666672</v>
      </c>
      <c r="P354" s="152">
        <f>+VLOOKUP(Opex_VE[[#This Row],[Fecha]],Opex!$B:$Y,OPEX_SALES!P$1,1)</f>
        <v>4000</v>
      </c>
      <c r="Q354" s="152">
        <f>+VLOOKUP(Opex_VE[[#This Row],[Fecha]],Opex!$B:$Y,OPEX_SALES!Q$1,1)</f>
        <v>10635</v>
      </c>
      <c r="R354" s="153">
        <f>+SUM(Opex_VE[[#This Row],[Cajero]:[Domiciliario]])</f>
        <v>140000</v>
      </c>
      <c r="S354" s="152">
        <v>70000</v>
      </c>
      <c r="T354" s="152">
        <v>70000</v>
      </c>
      <c r="U354" s="152">
        <v>0</v>
      </c>
      <c r="V354"/>
    </row>
    <row r="355" spans="1:22" x14ac:dyDescent="0.2">
      <c r="A355" s="149">
        <v>46418</v>
      </c>
      <c r="B355" s="3">
        <f t="shared" si="11"/>
        <v>49</v>
      </c>
      <c r="C355" s="3" t="str">
        <f>+TEXT(Opex_VE[[#This Row],[Fecha]],"ddd")</f>
        <v>dom</v>
      </c>
      <c r="E355" s="14" t="s">
        <v>145</v>
      </c>
      <c r="F355" s="168">
        <f>IFERROR(VLOOKUP(Opex_VE[[#This Row],[Fecha]],Historia!A:B,2,0),_xlfn.XLOOKUP(Opex_VE[[#This Row],[dia]],Forecast!I:I,Forecast!J:J))</f>
        <v>168750</v>
      </c>
      <c r="G355" s="168">
        <f>IFERROR(VLOOKUP(Opex_VE[[#This Row],[Fecha]],Historia!A:C,3,0),_xlfn.XLOOKUP(Opex_VE[[#This Row],[dia]],Forecast!I:I,Forecast!K:K))</f>
        <v>67500</v>
      </c>
      <c r="H355" s="182">
        <f>+Opex_VE[[#This Row],[MG]]-Opex_VE[[#This Row],[Opex]]</f>
        <v>-153878.96666666667</v>
      </c>
      <c r="I355" s="168" t="str">
        <f>IFERROR(VLOOKUP(Opex_VE[[#This Row],[Fecha]],Historia!A:D,4,0),"Forecast")</f>
        <v>Forecast</v>
      </c>
      <c r="J355" s="157">
        <f t="shared" si="10"/>
        <v>553447.41666666663</v>
      </c>
      <c r="K355" s="151">
        <f>+Opex_VE[[#This Row],[Arriendo]]+Opex_VE[[#This Row],[Servicios publicos]]+Opex_VE[[#This Row],[Nomina]]</f>
        <v>221378.96666666667</v>
      </c>
      <c r="L355" s="152">
        <f>+VLOOKUP(Opex_VE[[#This Row],[Fecha]],Opex!$B:$Y,OPEX_SALES!L$1,1)</f>
        <v>55000</v>
      </c>
      <c r="M355" s="153">
        <f>+SUM(Opex_VE[[#This Row],[Internet]:[Electricidad]])</f>
        <v>26378.966666666667</v>
      </c>
      <c r="N355" s="152">
        <f>+VLOOKUP(Opex_VE[[#This Row],[Fecha]],Opex!$B:$Y,OPEX_SALES!N$1,1)</f>
        <v>3500</v>
      </c>
      <c r="O355" s="152">
        <f>+VLOOKUP(Opex_VE[[#This Row],[Fecha]],Opex!$B:$Y,OPEX_SALES!O$1,1)</f>
        <v>8243.9666666666672</v>
      </c>
      <c r="P355" s="152">
        <f>+VLOOKUP(Opex_VE[[#This Row],[Fecha]],Opex!$B:$Y,OPEX_SALES!P$1,1)</f>
        <v>4000</v>
      </c>
      <c r="Q355" s="152">
        <f>+VLOOKUP(Opex_VE[[#This Row],[Fecha]],Opex!$B:$Y,OPEX_SALES!Q$1,1)</f>
        <v>10635</v>
      </c>
      <c r="R355" s="153">
        <f>+SUM(Opex_VE[[#This Row],[Cajero]:[Domiciliario]])</f>
        <v>140000</v>
      </c>
      <c r="S355" s="152">
        <v>70000</v>
      </c>
      <c r="T355" s="152">
        <v>70000</v>
      </c>
      <c r="U355" s="152">
        <v>0</v>
      </c>
      <c r="V355"/>
    </row>
    <row r="356" spans="1:22" x14ac:dyDescent="0.2">
      <c r="A356" s="149">
        <v>46419</v>
      </c>
      <c r="B356" s="3">
        <f t="shared" si="11"/>
        <v>50</v>
      </c>
      <c r="C356" s="3" t="str">
        <f>+TEXT(Opex_VE[[#This Row],[Fecha]],"ddd")</f>
        <v>lun</v>
      </c>
      <c r="E356" s="14" t="s">
        <v>112</v>
      </c>
      <c r="F356" s="168">
        <f>IFERROR(VLOOKUP(Opex_VE[[#This Row],[Fecha]],Historia!A:B,2,0),_xlfn.XLOOKUP(Opex_VE[[#This Row],[dia]],Forecast!I:I,Forecast!J:J))</f>
        <v>164375</v>
      </c>
      <c r="G356" s="168">
        <f>IFERROR(VLOOKUP(Opex_VE[[#This Row],[Fecha]],Historia!A:C,3,0),_xlfn.XLOOKUP(Opex_VE[[#This Row],[dia]],Forecast!I:I,Forecast!K:K))</f>
        <v>65750</v>
      </c>
      <c r="H356" s="182">
        <f>+Opex_VE[[#This Row],[MG]]-Opex_VE[[#This Row],[Opex]]</f>
        <v>-155628.96666666667</v>
      </c>
      <c r="I356" s="168" t="str">
        <f>IFERROR(VLOOKUP(Opex_VE[[#This Row],[Fecha]],Historia!A:D,4,0),"Forecast")</f>
        <v>Forecast</v>
      </c>
      <c r="J356" s="157">
        <f t="shared" si="10"/>
        <v>553447.41666666663</v>
      </c>
      <c r="K356" s="151">
        <f>+Opex_VE[[#This Row],[Arriendo]]+Opex_VE[[#This Row],[Servicios publicos]]+Opex_VE[[#This Row],[Nomina]]</f>
        <v>221378.96666666667</v>
      </c>
      <c r="L356" s="152">
        <f>+VLOOKUP(Opex_VE[[#This Row],[Fecha]],Opex!$B:$Y,OPEX_SALES!L$1,1)</f>
        <v>55000</v>
      </c>
      <c r="M356" s="153">
        <f>+SUM(Opex_VE[[#This Row],[Internet]:[Electricidad]])</f>
        <v>26378.966666666667</v>
      </c>
      <c r="N356" s="152">
        <f>+VLOOKUP(Opex_VE[[#This Row],[Fecha]],Opex!$B:$Y,OPEX_SALES!N$1,1)</f>
        <v>3500</v>
      </c>
      <c r="O356" s="152">
        <f>+VLOOKUP(Opex_VE[[#This Row],[Fecha]],Opex!$B:$Y,OPEX_SALES!O$1,1)</f>
        <v>8243.9666666666672</v>
      </c>
      <c r="P356" s="152">
        <f>+VLOOKUP(Opex_VE[[#This Row],[Fecha]],Opex!$B:$Y,OPEX_SALES!P$1,1)</f>
        <v>4000</v>
      </c>
      <c r="Q356" s="152">
        <f>+VLOOKUP(Opex_VE[[#This Row],[Fecha]],Opex!$B:$Y,OPEX_SALES!Q$1,1)</f>
        <v>10635</v>
      </c>
      <c r="R356" s="153">
        <f>+SUM(Opex_VE[[#This Row],[Cajero]:[Domiciliario]])</f>
        <v>140000</v>
      </c>
      <c r="S356" s="152">
        <v>70000</v>
      </c>
      <c r="T356" s="152">
        <v>70000</v>
      </c>
      <c r="U356" s="152">
        <v>0</v>
      </c>
      <c r="V356"/>
    </row>
    <row r="357" spans="1:22" x14ac:dyDescent="0.2">
      <c r="A357" s="149">
        <v>46420</v>
      </c>
      <c r="B357" s="3">
        <f t="shared" si="11"/>
        <v>50</v>
      </c>
      <c r="C357" s="3" t="str">
        <f>+TEXT(Opex_VE[[#This Row],[Fecha]],"ddd")</f>
        <v>mar</v>
      </c>
      <c r="E357" s="14" t="s">
        <v>112</v>
      </c>
      <c r="F357" s="168">
        <f>IFERROR(VLOOKUP(Opex_VE[[#This Row],[Fecha]],Historia!A:B,2,0),_xlfn.XLOOKUP(Opex_VE[[#This Row],[dia]],Forecast!I:I,Forecast!J:J))</f>
        <v>199625</v>
      </c>
      <c r="G357" s="168">
        <f>IFERROR(VLOOKUP(Opex_VE[[#This Row],[Fecha]],Historia!A:C,3,0),_xlfn.XLOOKUP(Opex_VE[[#This Row],[dia]],Forecast!I:I,Forecast!K:K))</f>
        <v>79850</v>
      </c>
      <c r="H357" s="182">
        <f>+Opex_VE[[#This Row],[MG]]-Opex_VE[[#This Row],[Opex]]</f>
        <v>-141528.96666666667</v>
      </c>
      <c r="I357" s="168" t="str">
        <f>IFERROR(VLOOKUP(Opex_VE[[#This Row],[Fecha]],Historia!A:D,4,0),"Forecast")</f>
        <v>Forecast</v>
      </c>
      <c r="J357" s="157">
        <f t="shared" si="10"/>
        <v>553447.41666666663</v>
      </c>
      <c r="K357" s="151">
        <f>+Opex_VE[[#This Row],[Arriendo]]+Opex_VE[[#This Row],[Servicios publicos]]+Opex_VE[[#This Row],[Nomina]]</f>
        <v>221378.96666666667</v>
      </c>
      <c r="L357" s="152">
        <f>+VLOOKUP(Opex_VE[[#This Row],[Fecha]],Opex!$B:$Y,OPEX_SALES!L$1,1)</f>
        <v>55000</v>
      </c>
      <c r="M357" s="153">
        <f>+SUM(Opex_VE[[#This Row],[Internet]:[Electricidad]])</f>
        <v>26378.966666666667</v>
      </c>
      <c r="N357" s="152">
        <f>+VLOOKUP(Opex_VE[[#This Row],[Fecha]],Opex!$B:$Y,OPEX_SALES!N$1,1)</f>
        <v>3500</v>
      </c>
      <c r="O357" s="152">
        <f>+VLOOKUP(Opex_VE[[#This Row],[Fecha]],Opex!$B:$Y,OPEX_SALES!O$1,1)</f>
        <v>8243.9666666666672</v>
      </c>
      <c r="P357" s="152">
        <f>+VLOOKUP(Opex_VE[[#This Row],[Fecha]],Opex!$B:$Y,OPEX_SALES!P$1,1)</f>
        <v>4000</v>
      </c>
      <c r="Q357" s="152">
        <f>+VLOOKUP(Opex_VE[[#This Row],[Fecha]],Opex!$B:$Y,OPEX_SALES!Q$1,1)</f>
        <v>10635</v>
      </c>
      <c r="R357" s="153">
        <f>+SUM(Opex_VE[[#This Row],[Cajero]:[Domiciliario]])</f>
        <v>140000</v>
      </c>
      <c r="S357" s="152">
        <v>70000</v>
      </c>
      <c r="T357" s="152">
        <v>70000</v>
      </c>
      <c r="U357" s="152">
        <v>0</v>
      </c>
      <c r="V357"/>
    </row>
    <row r="358" spans="1:22" x14ac:dyDescent="0.2">
      <c r="A358" s="149">
        <v>46421</v>
      </c>
      <c r="B358" s="3">
        <f t="shared" si="11"/>
        <v>50</v>
      </c>
      <c r="C358" s="3" t="str">
        <f>+TEXT(Opex_VE[[#This Row],[Fecha]],"ddd")</f>
        <v>mié</v>
      </c>
      <c r="E358" s="14" t="s">
        <v>112</v>
      </c>
      <c r="F358" s="168">
        <f>IFERROR(VLOOKUP(Opex_VE[[#This Row],[Fecha]],Historia!A:B,2,0),_xlfn.XLOOKUP(Opex_VE[[#This Row],[dia]],Forecast!I:I,Forecast!J:J))</f>
        <v>339250</v>
      </c>
      <c r="G358" s="168">
        <f>IFERROR(VLOOKUP(Opex_VE[[#This Row],[Fecha]],Historia!A:C,3,0),_xlfn.XLOOKUP(Opex_VE[[#This Row],[dia]],Forecast!I:I,Forecast!K:K))</f>
        <v>135700</v>
      </c>
      <c r="H358" s="182">
        <f>+Opex_VE[[#This Row],[MG]]-Opex_VE[[#This Row],[Opex]]</f>
        <v>-85678.966666666674</v>
      </c>
      <c r="I358" s="168" t="str">
        <f>IFERROR(VLOOKUP(Opex_VE[[#This Row],[Fecha]],Historia!A:D,4,0),"Forecast")</f>
        <v>Forecast</v>
      </c>
      <c r="J358" s="157">
        <f t="shared" si="10"/>
        <v>553447.41666666663</v>
      </c>
      <c r="K358" s="151">
        <f>+Opex_VE[[#This Row],[Arriendo]]+Opex_VE[[#This Row],[Servicios publicos]]+Opex_VE[[#This Row],[Nomina]]</f>
        <v>221378.96666666667</v>
      </c>
      <c r="L358" s="152">
        <f>+VLOOKUP(Opex_VE[[#This Row],[Fecha]],Opex!$B:$Y,OPEX_SALES!L$1,1)</f>
        <v>55000</v>
      </c>
      <c r="M358" s="153">
        <f>+SUM(Opex_VE[[#This Row],[Internet]:[Electricidad]])</f>
        <v>26378.966666666667</v>
      </c>
      <c r="N358" s="152">
        <f>+VLOOKUP(Opex_VE[[#This Row],[Fecha]],Opex!$B:$Y,OPEX_SALES!N$1,1)</f>
        <v>3500</v>
      </c>
      <c r="O358" s="152">
        <f>+VLOOKUP(Opex_VE[[#This Row],[Fecha]],Opex!$B:$Y,OPEX_SALES!O$1,1)</f>
        <v>8243.9666666666672</v>
      </c>
      <c r="P358" s="152">
        <f>+VLOOKUP(Opex_VE[[#This Row],[Fecha]],Opex!$B:$Y,OPEX_SALES!P$1,1)</f>
        <v>4000</v>
      </c>
      <c r="Q358" s="152">
        <f>+VLOOKUP(Opex_VE[[#This Row],[Fecha]],Opex!$B:$Y,OPEX_SALES!Q$1,1)</f>
        <v>10635</v>
      </c>
      <c r="R358" s="153">
        <f>+SUM(Opex_VE[[#This Row],[Cajero]:[Domiciliario]])</f>
        <v>140000</v>
      </c>
      <c r="S358" s="152">
        <v>70000</v>
      </c>
      <c r="T358" s="152">
        <v>70000</v>
      </c>
      <c r="U358" s="152">
        <v>0</v>
      </c>
      <c r="V358"/>
    </row>
    <row r="359" spans="1:22" x14ac:dyDescent="0.2">
      <c r="A359" s="149">
        <v>46422</v>
      </c>
      <c r="B359" s="3">
        <f t="shared" si="11"/>
        <v>50</v>
      </c>
      <c r="C359" s="3" t="str">
        <f>+TEXT(Opex_VE[[#This Row],[Fecha]],"ddd")</f>
        <v>jue</v>
      </c>
      <c r="E359" s="14" t="s">
        <v>112</v>
      </c>
      <c r="F359" s="168">
        <f>IFERROR(VLOOKUP(Opex_VE[[#This Row],[Fecha]],Historia!A:B,2,0),_xlfn.XLOOKUP(Opex_VE[[#This Row],[dia]],Forecast!I:I,Forecast!J:J))</f>
        <v>274975</v>
      </c>
      <c r="G359" s="168">
        <f>IFERROR(VLOOKUP(Opex_VE[[#This Row],[Fecha]],Historia!A:C,3,0),_xlfn.XLOOKUP(Opex_VE[[#This Row],[dia]],Forecast!I:I,Forecast!K:K))</f>
        <v>109990</v>
      </c>
      <c r="H359" s="182">
        <f>+Opex_VE[[#This Row],[MG]]-Opex_VE[[#This Row],[Opex]]</f>
        <v>-111388.96666666667</v>
      </c>
      <c r="I359" s="168" t="str">
        <f>IFERROR(VLOOKUP(Opex_VE[[#This Row],[Fecha]],Historia!A:D,4,0),"Forecast")</f>
        <v>Forecast</v>
      </c>
      <c r="J359" s="157">
        <f t="shared" si="10"/>
        <v>553447.41666666663</v>
      </c>
      <c r="K359" s="151">
        <f>+Opex_VE[[#This Row],[Arriendo]]+Opex_VE[[#This Row],[Servicios publicos]]+Opex_VE[[#This Row],[Nomina]]</f>
        <v>221378.96666666667</v>
      </c>
      <c r="L359" s="152">
        <f>+VLOOKUP(Opex_VE[[#This Row],[Fecha]],Opex!$B:$Y,OPEX_SALES!L$1,1)</f>
        <v>55000</v>
      </c>
      <c r="M359" s="153">
        <f>+SUM(Opex_VE[[#This Row],[Internet]:[Electricidad]])</f>
        <v>26378.966666666667</v>
      </c>
      <c r="N359" s="152">
        <f>+VLOOKUP(Opex_VE[[#This Row],[Fecha]],Opex!$B:$Y,OPEX_SALES!N$1,1)</f>
        <v>3500</v>
      </c>
      <c r="O359" s="152">
        <f>+VLOOKUP(Opex_VE[[#This Row],[Fecha]],Opex!$B:$Y,OPEX_SALES!O$1,1)</f>
        <v>8243.9666666666672</v>
      </c>
      <c r="P359" s="152">
        <f>+VLOOKUP(Opex_VE[[#This Row],[Fecha]],Opex!$B:$Y,OPEX_SALES!P$1,1)</f>
        <v>4000</v>
      </c>
      <c r="Q359" s="152">
        <f>+VLOOKUP(Opex_VE[[#This Row],[Fecha]],Opex!$B:$Y,OPEX_SALES!Q$1,1)</f>
        <v>10635</v>
      </c>
      <c r="R359" s="153">
        <f>+SUM(Opex_VE[[#This Row],[Cajero]:[Domiciliario]])</f>
        <v>140000</v>
      </c>
      <c r="S359" s="152">
        <v>70000</v>
      </c>
      <c r="T359" s="152">
        <v>70000</v>
      </c>
      <c r="U359" s="152">
        <v>0</v>
      </c>
      <c r="V359"/>
    </row>
    <row r="360" spans="1:22" x14ac:dyDescent="0.2">
      <c r="A360" s="149">
        <v>46423</v>
      </c>
      <c r="B360" s="3">
        <f t="shared" si="11"/>
        <v>50</v>
      </c>
      <c r="C360" s="3" t="str">
        <f>+TEXT(Opex_VE[[#This Row],[Fecha]],"ddd")</f>
        <v>vie</v>
      </c>
      <c r="E360" s="14" t="s">
        <v>217</v>
      </c>
      <c r="F360" s="168">
        <f>IFERROR(VLOOKUP(Opex_VE[[#This Row],[Fecha]],Historia!A:B,2,0),_xlfn.XLOOKUP(Opex_VE[[#This Row],[dia]],Forecast!I:I,Forecast!J:J))</f>
        <v>184566.66666666666</v>
      </c>
      <c r="G360" s="168">
        <f>IFERROR(VLOOKUP(Opex_VE[[#This Row],[Fecha]],Historia!A:C,3,0),_xlfn.XLOOKUP(Opex_VE[[#This Row],[dia]],Forecast!I:I,Forecast!K:K))</f>
        <v>73826.666666666672</v>
      </c>
      <c r="H360" s="182">
        <f>+Opex_VE[[#This Row],[MG]]-Opex_VE[[#This Row],[Opex]]</f>
        <v>-147552.29999999999</v>
      </c>
      <c r="I360" s="168" t="str">
        <f>IFERROR(VLOOKUP(Opex_VE[[#This Row],[Fecha]],Historia!A:D,4,0),"Forecast")</f>
        <v>Forecast</v>
      </c>
      <c r="J360" s="157">
        <f t="shared" si="10"/>
        <v>553447.41666666663</v>
      </c>
      <c r="K360" s="151">
        <f>+Opex_VE[[#This Row],[Arriendo]]+Opex_VE[[#This Row],[Servicios publicos]]+Opex_VE[[#This Row],[Nomina]]</f>
        <v>221378.96666666667</v>
      </c>
      <c r="L360" s="152">
        <f>+VLOOKUP(Opex_VE[[#This Row],[Fecha]],Opex!$B:$Y,OPEX_SALES!L$1,1)</f>
        <v>55000</v>
      </c>
      <c r="M360" s="153">
        <f>+SUM(Opex_VE[[#This Row],[Internet]:[Electricidad]])</f>
        <v>26378.966666666667</v>
      </c>
      <c r="N360" s="152">
        <f>+VLOOKUP(Opex_VE[[#This Row],[Fecha]],Opex!$B:$Y,OPEX_SALES!N$1,1)</f>
        <v>3500</v>
      </c>
      <c r="O360" s="152">
        <f>+VLOOKUP(Opex_VE[[#This Row],[Fecha]],Opex!$B:$Y,OPEX_SALES!O$1,1)</f>
        <v>8243.9666666666672</v>
      </c>
      <c r="P360" s="152">
        <f>+VLOOKUP(Opex_VE[[#This Row],[Fecha]],Opex!$B:$Y,OPEX_SALES!P$1,1)</f>
        <v>4000</v>
      </c>
      <c r="Q360" s="152">
        <f>+VLOOKUP(Opex_VE[[#This Row],[Fecha]],Opex!$B:$Y,OPEX_SALES!Q$1,1)</f>
        <v>10635</v>
      </c>
      <c r="R360" s="153">
        <f>+SUM(Opex_VE[[#This Row],[Cajero]:[Domiciliario]])</f>
        <v>140000</v>
      </c>
      <c r="S360" s="152">
        <v>70000</v>
      </c>
      <c r="T360" s="152">
        <v>70000</v>
      </c>
      <c r="U360" s="152">
        <v>0</v>
      </c>
      <c r="V360"/>
    </row>
    <row r="361" spans="1:22" x14ac:dyDescent="0.2">
      <c r="A361" s="149">
        <v>46424</v>
      </c>
      <c r="B361" s="3">
        <f t="shared" si="11"/>
        <v>50</v>
      </c>
      <c r="C361" s="3" t="str">
        <f>+TEXT(Opex_VE[[#This Row],[Fecha]],"ddd")</f>
        <v>sáb</v>
      </c>
      <c r="E361" s="14" t="s">
        <v>113</v>
      </c>
      <c r="F361" s="168">
        <f>IFERROR(VLOOKUP(Opex_VE[[#This Row],[Fecha]],Historia!A:B,2,0),_xlfn.XLOOKUP(Opex_VE[[#This Row],[dia]],Forecast!I:I,Forecast!J:J))</f>
        <v>398333.33333333331</v>
      </c>
      <c r="G361" s="168">
        <f>IFERROR(VLOOKUP(Opex_VE[[#This Row],[Fecha]],Historia!A:C,3,0),_xlfn.XLOOKUP(Opex_VE[[#This Row],[dia]],Forecast!I:I,Forecast!K:K))</f>
        <v>159333.33333333334</v>
      </c>
      <c r="H361" s="182">
        <f>+Opex_VE[[#This Row],[MG]]-Opex_VE[[#This Row],[Opex]]</f>
        <v>-62045.633333333331</v>
      </c>
      <c r="I361" s="168" t="str">
        <f>IFERROR(VLOOKUP(Opex_VE[[#This Row],[Fecha]],Historia!A:D,4,0),"Forecast")</f>
        <v>Forecast</v>
      </c>
      <c r="J361" s="157">
        <f t="shared" si="10"/>
        <v>553447.41666666663</v>
      </c>
      <c r="K361" s="151">
        <f>+Opex_VE[[#This Row],[Arriendo]]+Opex_VE[[#This Row],[Servicios publicos]]+Opex_VE[[#This Row],[Nomina]]</f>
        <v>221378.96666666667</v>
      </c>
      <c r="L361" s="152">
        <f>+VLOOKUP(Opex_VE[[#This Row],[Fecha]],Opex!$B:$Y,OPEX_SALES!L$1,1)</f>
        <v>55000</v>
      </c>
      <c r="M361" s="153">
        <f>+SUM(Opex_VE[[#This Row],[Internet]:[Electricidad]])</f>
        <v>26378.966666666667</v>
      </c>
      <c r="N361" s="152">
        <f>+VLOOKUP(Opex_VE[[#This Row],[Fecha]],Opex!$B:$Y,OPEX_SALES!N$1,1)</f>
        <v>3500</v>
      </c>
      <c r="O361" s="152">
        <f>+VLOOKUP(Opex_VE[[#This Row],[Fecha]],Opex!$B:$Y,OPEX_SALES!O$1,1)</f>
        <v>8243.9666666666672</v>
      </c>
      <c r="P361" s="152">
        <f>+VLOOKUP(Opex_VE[[#This Row],[Fecha]],Opex!$B:$Y,OPEX_SALES!P$1,1)</f>
        <v>4000</v>
      </c>
      <c r="Q361" s="152">
        <f>+VLOOKUP(Opex_VE[[#This Row],[Fecha]],Opex!$B:$Y,OPEX_SALES!Q$1,1)</f>
        <v>10635</v>
      </c>
      <c r="R361" s="153">
        <f>+SUM(Opex_VE[[#This Row],[Cajero]:[Domiciliario]])</f>
        <v>140000</v>
      </c>
      <c r="S361" s="152">
        <v>70000</v>
      </c>
      <c r="T361" s="152">
        <v>70000</v>
      </c>
      <c r="U361" s="152">
        <v>0</v>
      </c>
      <c r="V361"/>
    </row>
    <row r="362" spans="1:22" x14ac:dyDescent="0.2">
      <c r="A362" s="149">
        <v>46425</v>
      </c>
      <c r="B362" s="3">
        <f t="shared" si="11"/>
        <v>50</v>
      </c>
      <c r="C362" s="3" t="str">
        <f>+TEXT(Opex_VE[[#This Row],[Fecha]],"ddd")</f>
        <v>dom</v>
      </c>
      <c r="E362" s="14" t="s">
        <v>145</v>
      </c>
      <c r="F362" s="168">
        <f>IFERROR(VLOOKUP(Opex_VE[[#This Row],[Fecha]],Historia!A:B,2,0),_xlfn.XLOOKUP(Opex_VE[[#This Row],[dia]],Forecast!I:I,Forecast!J:J))</f>
        <v>168750</v>
      </c>
      <c r="G362" s="168">
        <f>IFERROR(VLOOKUP(Opex_VE[[#This Row],[Fecha]],Historia!A:C,3,0),_xlfn.XLOOKUP(Opex_VE[[#This Row],[dia]],Forecast!I:I,Forecast!K:K))</f>
        <v>67500</v>
      </c>
      <c r="H362" s="182">
        <f>+Opex_VE[[#This Row],[MG]]-Opex_VE[[#This Row],[Opex]]</f>
        <v>-153878.96666666667</v>
      </c>
      <c r="I362" s="168" t="str">
        <f>IFERROR(VLOOKUP(Opex_VE[[#This Row],[Fecha]],Historia!A:D,4,0),"Forecast")</f>
        <v>Forecast</v>
      </c>
      <c r="J362" s="157">
        <f t="shared" si="10"/>
        <v>553447.41666666663</v>
      </c>
      <c r="K362" s="151">
        <f>+Opex_VE[[#This Row],[Arriendo]]+Opex_VE[[#This Row],[Servicios publicos]]+Opex_VE[[#This Row],[Nomina]]</f>
        <v>221378.96666666667</v>
      </c>
      <c r="L362" s="152">
        <f>+VLOOKUP(Opex_VE[[#This Row],[Fecha]],Opex!$B:$Y,OPEX_SALES!L$1,1)</f>
        <v>55000</v>
      </c>
      <c r="M362" s="153">
        <f>+SUM(Opex_VE[[#This Row],[Internet]:[Electricidad]])</f>
        <v>26378.966666666667</v>
      </c>
      <c r="N362" s="152">
        <f>+VLOOKUP(Opex_VE[[#This Row],[Fecha]],Opex!$B:$Y,OPEX_SALES!N$1,1)</f>
        <v>3500</v>
      </c>
      <c r="O362" s="152">
        <f>+VLOOKUP(Opex_VE[[#This Row],[Fecha]],Opex!$B:$Y,OPEX_SALES!O$1,1)</f>
        <v>8243.9666666666672</v>
      </c>
      <c r="P362" s="152">
        <f>+VLOOKUP(Opex_VE[[#This Row],[Fecha]],Opex!$B:$Y,OPEX_SALES!P$1,1)</f>
        <v>4000</v>
      </c>
      <c r="Q362" s="152">
        <f>+VLOOKUP(Opex_VE[[#This Row],[Fecha]],Opex!$B:$Y,OPEX_SALES!Q$1,1)</f>
        <v>10635</v>
      </c>
      <c r="R362" s="153">
        <f>+SUM(Opex_VE[[#This Row],[Cajero]:[Domiciliario]])</f>
        <v>140000</v>
      </c>
      <c r="S362" s="152">
        <v>70000</v>
      </c>
      <c r="T362" s="152">
        <v>70000</v>
      </c>
      <c r="U362" s="152">
        <v>0</v>
      </c>
      <c r="V362"/>
    </row>
    <row r="363" spans="1:22" x14ac:dyDescent="0.2">
      <c r="A363" s="149">
        <v>46426</v>
      </c>
      <c r="B363" s="3">
        <f t="shared" ref="B363:B369" si="12">+B356+1</f>
        <v>51</v>
      </c>
      <c r="C363" s="3" t="str">
        <f>+TEXT(Opex_VE[[#This Row],[Fecha]],"ddd")</f>
        <v>lun</v>
      </c>
      <c r="E363" s="14" t="s">
        <v>112</v>
      </c>
      <c r="F363" s="168">
        <f>IFERROR(VLOOKUP(Opex_VE[[#This Row],[Fecha]],Historia!A:B,2,0),_xlfn.XLOOKUP(Opex_VE[[#This Row],[dia]],Forecast!I:I,Forecast!J:J))</f>
        <v>164375</v>
      </c>
      <c r="G363" s="168">
        <f>IFERROR(VLOOKUP(Opex_VE[[#This Row],[Fecha]],Historia!A:C,3,0),_xlfn.XLOOKUP(Opex_VE[[#This Row],[dia]],Forecast!I:I,Forecast!K:K))</f>
        <v>65750</v>
      </c>
      <c r="H363" s="182">
        <f>+Opex_VE[[#This Row],[MG]]-Opex_VE[[#This Row],[Opex]]</f>
        <v>-155628.96666666667</v>
      </c>
      <c r="I363" s="168" t="str">
        <f>IFERROR(VLOOKUP(Opex_VE[[#This Row],[Fecha]],Historia!A:D,4,0),"Forecast")</f>
        <v>Forecast</v>
      </c>
      <c r="J363" s="157">
        <f t="shared" si="10"/>
        <v>553447.41666666663</v>
      </c>
      <c r="K363" s="151">
        <f>+Opex_VE[[#This Row],[Arriendo]]+Opex_VE[[#This Row],[Servicios publicos]]+Opex_VE[[#This Row],[Nomina]]</f>
        <v>221378.96666666667</v>
      </c>
      <c r="L363" s="152">
        <f>+VLOOKUP(Opex_VE[[#This Row],[Fecha]],Opex!$B:$Y,OPEX_SALES!L$1,1)</f>
        <v>55000</v>
      </c>
      <c r="M363" s="153">
        <f>+SUM(Opex_VE[[#This Row],[Internet]:[Electricidad]])</f>
        <v>26378.966666666667</v>
      </c>
      <c r="N363" s="152">
        <f>+VLOOKUP(Opex_VE[[#This Row],[Fecha]],Opex!$B:$Y,OPEX_SALES!N$1,1)</f>
        <v>3500</v>
      </c>
      <c r="O363" s="152">
        <f>+VLOOKUP(Opex_VE[[#This Row],[Fecha]],Opex!$B:$Y,OPEX_SALES!O$1,1)</f>
        <v>8243.9666666666672</v>
      </c>
      <c r="P363" s="152">
        <f>+VLOOKUP(Opex_VE[[#This Row],[Fecha]],Opex!$B:$Y,OPEX_SALES!P$1,1)</f>
        <v>4000</v>
      </c>
      <c r="Q363" s="152">
        <f>+VLOOKUP(Opex_VE[[#This Row],[Fecha]],Opex!$B:$Y,OPEX_SALES!Q$1,1)</f>
        <v>10635</v>
      </c>
      <c r="R363" s="153">
        <f>+SUM(Opex_VE[[#This Row],[Cajero]:[Domiciliario]])</f>
        <v>140000</v>
      </c>
      <c r="S363" s="152">
        <v>70000</v>
      </c>
      <c r="T363" s="152">
        <v>70000</v>
      </c>
      <c r="U363" s="152">
        <v>0</v>
      </c>
      <c r="V363"/>
    </row>
    <row r="364" spans="1:22" x14ac:dyDescent="0.2">
      <c r="A364" s="149">
        <v>46427</v>
      </c>
      <c r="B364" s="3">
        <f t="shared" si="12"/>
        <v>51</v>
      </c>
      <c r="C364" s="3" t="str">
        <f>+TEXT(Opex_VE[[#This Row],[Fecha]],"ddd")</f>
        <v>mar</v>
      </c>
      <c r="E364" s="14" t="s">
        <v>112</v>
      </c>
      <c r="F364" s="168">
        <f>IFERROR(VLOOKUP(Opex_VE[[#This Row],[Fecha]],Historia!A:B,2,0),_xlfn.XLOOKUP(Opex_VE[[#This Row],[dia]],Forecast!I:I,Forecast!J:J))</f>
        <v>199625</v>
      </c>
      <c r="G364" s="168">
        <f>IFERROR(VLOOKUP(Opex_VE[[#This Row],[Fecha]],Historia!A:C,3,0),_xlfn.XLOOKUP(Opex_VE[[#This Row],[dia]],Forecast!I:I,Forecast!K:K))</f>
        <v>79850</v>
      </c>
      <c r="H364" s="182">
        <f>+Opex_VE[[#This Row],[MG]]-Opex_VE[[#This Row],[Opex]]</f>
        <v>-141528.96666666667</v>
      </c>
      <c r="I364" s="168" t="str">
        <f>IFERROR(VLOOKUP(Opex_VE[[#This Row],[Fecha]],Historia!A:D,4,0),"Forecast")</f>
        <v>Forecast</v>
      </c>
      <c r="J364" s="157">
        <f t="shared" si="10"/>
        <v>553447.41666666663</v>
      </c>
      <c r="K364" s="151">
        <f>+Opex_VE[[#This Row],[Arriendo]]+Opex_VE[[#This Row],[Servicios publicos]]+Opex_VE[[#This Row],[Nomina]]</f>
        <v>221378.96666666667</v>
      </c>
      <c r="L364" s="152">
        <f>+VLOOKUP(Opex_VE[[#This Row],[Fecha]],Opex!$B:$Y,OPEX_SALES!L$1,1)</f>
        <v>55000</v>
      </c>
      <c r="M364" s="153">
        <f>+SUM(Opex_VE[[#This Row],[Internet]:[Electricidad]])</f>
        <v>26378.966666666667</v>
      </c>
      <c r="N364" s="152">
        <f>+VLOOKUP(Opex_VE[[#This Row],[Fecha]],Opex!$B:$Y,OPEX_SALES!N$1,1)</f>
        <v>3500</v>
      </c>
      <c r="O364" s="152">
        <f>+VLOOKUP(Opex_VE[[#This Row],[Fecha]],Opex!$B:$Y,OPEX_SALES!O$1,1)</f>
        <v>8243.9666666666672</v>
      </c>
      <c r="P364" s="152">
        <f>+VLOOKUP(Opex_VE[[#This Row],[Fecha]],Opex!$B:$Y,OPEX_SALES!P$1,1)</f>
        <v>4000</v>
      </c>
      <c r="Q364" s="152">
        <f>+VLOOKUP(Opex_VE[[#This Row],[Fecha]],Opex!$B:$Y,OPEX_SALES!Q$1,1)</f>
        <v>10635</v>
      </c>
      <c r="R364" s="153">
        <f>+SUM(Opex_VE[[#This Row],[Cajero]:[Domiciliario]])</f>
        <v>140000</v>
      </c>
      <c r="S364" s="152">
        <v>70000</v>
      </c>
      <c r="T364" s="152">
        <v>70000</v>
      </c>
      <c r="U364" s="152">
        <v>0</v>
      </c>
      <c r="V364"/>
    </row>
    <row r="365" spans="1:22" x14ac:dyDescent="0.2">
      <c r="A365" s="149">
        <v>46428</v>
      </c>
      <c r="B365" s="3">
        <f t="shared" si="12"/>
        <v>51</v>
      </c>
      <c r="C365" s="3" t="str">
        <f>+TEXT(Opex_VE[[#This Row],[Fecha]],"ddd")</f>
        <v>mié</v>
      </c>
      <c r="E365" s="14" t="s">
        <v>112</v>
      </c>
      <c r="F365" s="168">
        <f>IFERROR(VLOOKUP(Opex_VE[[#This Row],[Fecha]],Historia!A:B,2,0),_xlfn.XLOOKUP(Opex_VE[[#This Row],[dia]],Forecast!I:I,Forecast!J:J))</f>
        <v>339250</v>
      </c>
      <c r="G365" s="168">
        <f>IFERROR(VLOOKUP(Opex_VE[[#This Row],[Fecha]],Historia!A:C,3,0),_xlfn.XLOOKUP(Opex_VE[[#This Row],[dia]],Forecast!I:I,Forecast!K:K))</f>
        <v>135700</v>
      </c>
      <c r="H365" s="182">
        <f>+Opex_VE[[#This Row],[MG]]-Opex_VE[[#This Row],[Opex]]</f>
        <v>-85678.966666666674</v>
      </c>
      <c r="I365" s="168" t="str">
        <f>IFERROR(VLOOKUP(Opex_VE[[#This Row],[Fecha]],Historia!A:D,4,0),"Forecast")</f>
        <v>Forecast</v>
      </c>
      <c r="J365" s="157">
        <f t="shared" si="10"/>
        <v>553447.41666666663</v>
      </c>
      <c r="K365" s="151">
        <f>+Opex_VE[[#This Row],[Arriendo]]+Opex_VE[[#This Row],[Servicios publicos]]+Opex_VE[[#This Row],[Nomina]]</f>
        <v>221378.96666666667</v>
      </c>
      <c r="L365" s="152">
        <f>+VLOOKUP(Opex_VE[[#This Row],[Fecha]],Opex!$B:$Y,OPEX_SALES!L$1,1)</f>
        <v>55000</v>
      </c>
      <c r="M365" s="153">
        <f>+SUM(Opex_VE[[#This Row],[Internet]:[Electricidad]])</f>
        <v>26378.966666666667</v>
      </c>
      <c r="N365" s="152">
        <f>+VLOOKUP(Opex_VE[[#This Row],[Fecha]],Opex!$B:$Y,OPEX_SALES!N$1,1)</f>
        <v>3500</v>
      </c>
      <c r="O365" s="152">
        <f>+VLOOKUP(Opex_VE[[#This Row],[Fecha]],Opex!$B:$Y,OPEX_SALES!O$1,1)</f>
        <v>8243.9666666666672</v>
      </c>
      <c r="P365" s="152">
        <f>+VLOOKUP(Opex_VE[[#This Row],[Fecha]],Opex!$B:$Y,OPEX_SALES!P$1,1)</f>
        <v>4000</v>
      </c>
      <c r="Q365" s="152">
        <f>+VLOOKUP(Opex_VE[[#This Row],[Fecha]],Opex!$B:$Y,OPEX_SALES!Q$1,1)</f>
        <v>10635</v>
      </c>
      <c r="R365" s="153">
        <f>+SUM(Opex_VE[[#This Row],[Cajero]:[Domiciliario]])</f>
        <v>140000</v>
      </c>
      <c r="S365" s="152">
        <v>70000</v>
      </c>
      <c r="T365" s="152">
        <v>70000</v>
      </c>
      <c r="U365" s="152">
        <v>0</v>
      </c>
      <c r="V365"/>
    </row>
    <row r="366" spans="1:22" x14ac:dyDescent="0.2">
      <c r="A366" s="149">
        <v>46429</v>
      </c>
      <c r="B366" s="3">
        <f t="shared" si="12"/>
        <v>51</v>
      </c>
      <c r="C366" s="3" t="str">
        <f>+TEXT(Opex_VE[[#This Row],[Fecha]],"ddd")</f>
        <v>jue</v>
      </c>
      <c r="E366" s="14" t="s">
        <v>112</v>
      </c>
      <c r="F366" s="168">
        <f>IFERROR(VLOOKUP(Opex_VE[[#This Row],[Fecha]],Historia!A:B,2,0),_xlfn.XLOOKUP(Opex_VE[[#This Row],[dia]],Forecast!I:I,Forecast!J:J))</f>
        <v>274975</v>
      </c>
      <c r="G366" s="168">
        <f>IFERROR(VLOOKUP(Opex_VE[[#This Row],[Fecha]],Historia!A:C,3,0),_xlfn.XLOOKUP(Opex_VE[[#This Row],[dia]],Forecast!I:I,Forecast!K:K))</f>
        <v>109990</v>
      </c>
      <c r="H366" s="182">
        <f>+Opex_VE[[#This Row],[MG]]-Opex_VE[[#This Row],[Opex]]</f>
        <v>-111388.96666666667</v>
      </c>
      <c r="I366" s="168" t="str">
        <f>IFERROR(VLOOKUP(Opex_VE[[#This Row],[Fecha]],Historia!A:D,4,0),"Forecast")</f>
        <v>Forecast</v>
      </c>
      <c r="J366" s="157">
        <f t="shared" si="10"/>
        <v>553447.41666666663</v>
      </c>
      <c r="K366" s="151">
        <f>+Opex_VE[[#This Row],[Arriendo]]+Opex_VE[[#This Row],[Servicios publicos]]+Opex_VE[[#This Row],[Nomina]]</f>
        <v>221378.96666666667</v>
      </c>
      <c r="L366" s="152">
        <f>+VLOOKUP(Opex_VE[[#This Row],[Fecha]],Opex!$B:$Y,OPEX_SALES!L$1,1)</f>
        <v>55000</v>
      </c>
      <c r="M366" s="153">
        <f>+SUM(Opex_VE[[#This Row],[Internet]:[Electricidad]])</f>
        <v>26378.966666666667</v>
      </c>
      <c r="N366" s="152">
        <f>+VLOOKUP(Opex_VE[[#This Row],[Fecha]],Opex!$B:$Y,OPEX_SALES!N$1,1)</f>
        <v>3500</v>
      </c>
      <c r="O366" s="152">
        <f>+VLOOKUP(Opex_VE[[#This Row],[Fecha]],Opex!$B:$Y,OPEX_SALES!O$1,1)</f>
        <v>8243.9666666666672</v>
      </c>
      <c r="P366" s="152">
        <f>+VLOOKUP(Opex_VE[[#This Row],[Fecha]],Opex!$B:$Y,OPEX_SALES!P$1,1)</f>
        <v>4000</v>
      </c>
      <c r="Q366" s="152">
        <f>+VLOOKUP(Opex_VE[[#This Row],[Fecha]],Opex!$B:$Y,OPEX_SALES!Q$1,1)</f>
        <v>10635</v>
      </c>
      <c r="R366" s="153">
        <f>+SUM(Opex_VE[[#This Row],[Cajero]:[Domiciliario]])</f>
        <v>140000</v>
      </c>
      <c r="S366" s="152">
        <v>70000</v>
      </c>
      <c r="T366" s="152">
        <v>70000</v>
      </c>
      <c r="U366" s="152">
        <v>0</v>
      </c>
      <c r="V366"/>
    </row>
    <row r="367" spans="1:22" x14ac:dyDescent="0.2">
      <c r="A367" s="149">
        <v>46430</v>
      </c>
      <c r="B367" s="3">
        <f t="shared" si="12"/>
        <v>51</v>
      </c>
      <c r="C367" s="3" t="str">
        <f>+TEXT(Opex_VE[[#This Row],[Fecha]],"ddd")</f>
        <v>vie</v>
      </c>
      <c r="E367" s="14" t="s">
        <v>217</v>
      </c>
      <c r="F367" s="168">
        <f>IFERROR(VLOOKUP(Opex_VE[[#This Row],[Fecha]],Historia!A:B,2,0),_xlfn.XLOOKUP(Opex_VE[[#This Row],[dia]],Forecast!I:I,Forecast!J:J))</f>
        <v>184566.66666666666</v>
      </c>
      <c r="G367" s="168">
        <f>IFERROR(VLOOKUP(Opex_VE[[#This Row],[Fecha]],Historia!A:C,3,0),_xlfn.XLOOKUP(Opex_VE[[#This Row],[dia]],Forecast!I:I,Forecast!K:K))</f>
        <v>73826.666666666672</v>
      </c>
      <c r="H367" s="182">
        <f>+Opex_VE[[#This Row],[MG]]-Opex_VE[[#This Row],[Opex]]</f>
        <v>-147552.29999999999</v>
      </c>
      <c r="I367" s="168" t="str">
        <f>IFERROR(VLOOKUP(Opex_VE[[#This Row],[Fecha]],Historia!A:D,4,0),"Forecast")</f>
        <v>Forecast</v>
      </c>
      <c r="J367" s="157">
        <f t="shared" si="10"/>
        <v>553447.41666666663</v>
      </c>
      <c r="K367" s="151">
        <f>+Opex_VE[[#This Row],[Arriendo]]+Opex_VE[[#This Row],[Servicios publicos]]+Opex_VE[[#This Row],[Nomina]]</f>
        <v>221378.96666666667</v>
      </c>
      <c r="L367" s="152">
        <f>+VLOOKUP(Opex_VE[[#This Row],[Fecha]],Opex!$B:$Y,OPEX_SALES!L$1,1)</f>
        <v>55000</v>
      </c>
      <c r="M367" s="153">
        <f>+SUM(Opex_VE[[#This Row],[Internet]:[Electricidad]])</f>
        <v>26378.966666666667</v>
      </c>
      <c r="N367" s="152">
        <f>+VLOOKUP(Opex_VE[[#This Row],[Fecha]],Opex!$B:$Y,OPEX_SALES!N$1,1)</f>
        <v>3500</v>
      </c>
      <c r="O367" s="152">
        <f>+VLOOKUP(Opex_VE[[#This Row],[Fecha]],Opex!$B:$Y,OPEX_SALES!O$1,1)</f>
        <v>8243.9666666666672</v>
      </c>
      <c r="P367" s="152">
        <f>+VLOOKUP(Opex_VE[[#This Row],[Fecha]],Opex!$B:$Y,OPEX_SALES!P$1,1)</f>
        <v>4000</v>
      </c>
      <c r="Q367" s="152">
        <f>+VLOOKUP(Opex_VE[[#This Row],[Fecha]],Opex!$B:$Y,OPEX_SALES!Q$1,1)</f>
        <v>10635</v>
      </c>
      <c r="R367" s="153">
        <f>+SUM(Opex_VE[[#This Row],[Cajero]:[Domiciliario]])</f>
        <v>140000</v>
      </c>
      <c r="S367" s="152">
        <v>70000</v>
      </c>
      <c r="T367" s="152">
        <v>70000</v>
      </c>
      <c r="U367" s="152">
        <v>0</v>
      </c>
      <c r="V367"/>
    </row>
    <row r="368" spans="1:22" x14ac:dyDescent="0.2">
      <c r="A368" s="149">
        <v>46431</v>
      </c>
      <c r="B368" s="3">
        <f t="shared" si="12"/>
        <v>51</v>
      </c>
      <c r="C368" s="3" t="str">
        <f>+TEXT(Opex_VE[[#This Row],[Fecha]],"ddd")</f>
        <v>sáb</v>
      </c>
      <c r="E368" s="14" t="s">
        <v>113</v>
      </c>
      <c r="F368" s="168">
        <f>IFERROR(VLOOKUP(Opex_VE[[#This Row],[Fecha]],Historia!A:B,2,0),_xlfn.XLOOKUP(Opex_VE[[#This Row],[dia]],Forecast!I:I,Forecast!J:J))</f>
        <v>398333.33333333331</v>
      </c>
      <c r="G368" s="168">
        <f>IFERROR(VLOOKUP(Opex_VE[[#This Row],[Fecha]],Historia!A:C,3,0),_xlfn.XLOOKUP(Opex_VE[[#This Row],[dia]],Forecast!I:I,Forecast!K:K))</f>
        <v>159333.33333333334</v>
      </c>
      <c r="H368" s="182">
        <f>+Opex_VE[[#This Row],[MG]]-Opex_VE[[#This Row],[Opex]]</f>
        <v>-62045.633333333331</v>
      </c>
      <c r="I368" s="168" t="str">
        <f>IFERROR(VLOOKUP(Opex_VE[[#This Row],[Fecha]],Historia!A:D,4,0),"Forecast")</f>
        <v>Forecast</v>
      </c>
      <c r="J368" s="157">
        <f t="shared" si="10"/>
        <v>553447.41666666663</v>
      </c>
      <c r="K368" s="151">
        <f>+Opex_VE[[#This Row],[Arriendo]]+Opex_VE[[#This Row],[Servicios publicos]]+Opex_VE[[#This Row],[Nomina]]</f>
        <v>221378.96666666667</v>
      </c>
      <c r="L368" s="152">
        <f>+VLOOKUP(Opex_VE[[#This Row],[Fecha]],Opex!$B:$Y,OPEX_SALES!L$1,1)</f>
        <v>55000</v>
      </c>
      <c r="M368" s="153">
        <f>+SUM(Opex_VE[[#This Row],[Internet]:[Electricidad]])</f>
        <v>26378.966666666667</v>
      </c>
      <c r="N368" s="152">
        <f>+VLOOKUP(Opex_VE[[#This Row],[Fecha]],Opex!$B:$Y,OPEX_SALES!N$1,1)</f>
        <v>3500</v>
      </c>
      <c r="O368" s="152">
        <f>+VLOOKUP(Opex_VE[[#This Row],[Fecha]],Opex!$B:$Y,OPEX_SALES!O$1,1)</f>
        <v>8243.9666666666672</v>
      </c>
      <c r="P368" s="152">
        <f>+VLOOKUP(Opex_VE[[#This Row],[Fecha]],Opex!$B:$Y,OPEX_SALES!P$1,1)</f>
        <v>4000</v>
      </c>
      <c r="Q368" s="152">
        <f>+VLOOKUP(Opex_VE[[#This Row],[Fecha]],Opex!$B:$Y,OPEX_SALES!Q$1,1)</f>
        <v>10635</v>
      </c>
      <c r="R368" s="153">
        <f>+SUM(Opex_VE[[#This Row],[Cajero]:[Domiciliario]])</f>
        <v>140000</v>
      </c>
      <c r="S368" s="152">
        <v>70000</v>
      </c>
      <c r="T368" s="152">
        <v>70000</v>
      </c>
      <c r="U368" s="152">
        <v>0</v>
      </c>
      <c r="V368"/>
    </row>
    <row r="369" spans="1:22" x14ac:dyDescent="0.2">
      <c r="A369" s="149">
        <v>46432</v>
      </c>
      <c r="B369" s="3">
        <f t="shared" si="12"/>
        <v>51</v>
      </c>
      <c r="C369" s="3" t="str">
        <f>+TEXT(Opex_VE[[#This Row],[Fecha]],"ddd")</f>
        <v>dom</v>
      </c>
      <c r="E369" s="14" t="s">
        <v>145</v>
      </c>
      <c r="F369" s="168">
        <f>IFERROR(VLOOKUP(Opex_VE[[#This Row],[Fecha]],Historia!A:B,2,0),_xlfn.XLOOKUP(Opex_VE[[#This Row],[dia]],Forecast!I:I,Forecast!J:J))</f>
        <v>168750</v>
      </c>
      <c r="G369" s="168">
        <f>IFERROR(VLOOKUP(Opex_VE[[#This Row],[Fecha]],Historia!A:C,3,0),_xlfn.XLOOKUP(Opex_VE[[#This Row],[dia]],Forecast!I:I,Forecast!K:K))</f>
        <v>67500</v>
      </c>
      <c r="H369" s="182">
        <f>+Opex_VE[[#This Row],[MG]]-Opex_VE[[#This Row],[Opex]]</f>
        <v>-153878.96666666667</v>
      </c>
      <c r="I369" s="168" t="str">
        <f>IFERROR(VLOOKUP(Opex_VE[[#This Row],[Fecha]],Historia!A:D,4,0),"Forecast")</f>
        <v>Forecast</v>
      </c>
      <c r="J369" s="157">
        <f t="shared" si="10"/>
        <v>553447.41666666663</v>
      </c>
      <c r="K369" s="151">
        <f>+Opex_VE[[#This Row],[Arriendo]]+Opex_VE[[#This Row],[Servicios publicos]]+Opex_VE[[#This Row],[Nomina]]</f>
        <v>221378.96666666667</v>
      </c>
      <c r="L369" s="152">
        <f>+VLOOKUP(Opex_VE[[#This Row],[Fecha]],Opex!$B:$Y,OPEX_SALES!L$1,1)</f>
        <v>55000</v>
      </c>
      <c r="M369" s="153">
        <f>+SUM(Opex_VE[[#This Row],[Internet]:[Electricidad]])</f>
        <v>26378.966666666667</v>
      </c>
      <c r="N369" s="152">
        <f>+VLOOKUP(Opex_VE[[#This Row],[Fecha]],Opex!$B:$Y,OPEX_SALES!N$1,1)</f>
        <v>3500</v>
      </c>
      <c r="O369" s="152">
        <f>+VLOOKUP(Opex_VE[[#This Row],[Fecha]],Opex!$B:$Y,OPEX_SALES!O$1,1)</f>
        <v>8243.9666666666672</v>
      </c>
      <c r="P369" s="152">
        <f>+VLOOKUP(Opex_VE[[#This Row],[Fecha]],Opex!$B:$Y,OPEX_SALES!P$1,1)</f>
        <v>4000</v>
      </c>
      <c r="Q369" s="152">
        <f>+VLOOKUP(Opex_VE[[#This Row],[Fecha]],Opex!$B:$Y,OPEX_SALES!Q$1,1)</f>
        <v>10635</v>
      </c>
      <c r="R369" s="153">
        <f>+SUM(Opex_VE[[#This Row],[Cajero]:[Domiciliario]])</f>
        <v>140000</v>
      </c>
      <c r="S369" s="152">
        <v>70000</v>
      </c>
      <c r="T369" s="152">
        <v>70000</v>
      </c>
      <c r="U369" s="152">
        <v>0</v>
      </c>
      <c r="V369"/>
    </row>
  </sheetData>
  <phoneticPr fontId="15" type="noConversion"/>
  <conditionalFormatting sqref="E3:E369">
    <cfRule type="containsText" dxfId="27" priority="5" operator="containsText" text="E) Festivo">
      <formula>NOT(ISERROR(SEARCH("E) Festivo",E3)))</formula>
    </cfRule>
    <cfRule type="containsText" dxfId="26" priority="6" operator="containsText" text="B) Viernes">
      <formula>NOT(ISERROR(SEARCH("B) Viernes",E3)))</formula>
    </cfRule>
    <cfRule type="containsText" dxfId="25" priority="7" operator="containsText" text="D) Domingo">
      <formula>NOT(ISERROR(SEARCH("D) Domingo",E3)))</formula>
    </cfRule>
    <cfRule type="containsText" dxfId="24" priority="8" operator="containsText" text="C) Sábado">
      <formula>NOT(ISERROR(SEARCH("C) Sábado",E3)))</formula>
    </cfRule>
  </conditionalFormatting>
  <dataValidations count="1">
    <dataValidation type="list" allowBlank="1" showInputMessage="1" showErrorMessage="1" sqref="E3:E369" xr:uid="{00D7D4B4-CD90-4CA9-919A-E73CD5865402}">
      <formula1>"A) Día hábil,B) Viernes,C) Sábado,D) Domingo,E) Festivo"</formula1>
    </dataValidation>
  </dataValidations>
  <pageMargins left="0.7" right="0.7" top="0.75" bottom="0.75" header="0.3" footer="0.3"/>
  <pageSetup paperSize="152" orientation="portrait" horizontalDpi="203" verticalDpi="203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Y14"/>
  <sheetViews>
    <sheetView showGridLines="0" zoomScale="85" zoomScaleNormal="85" workbookViewId="0">
      <selection activeCell="I4" sqref="B4:I5"/>
    </sheetView>
  </sheetViews>
  <sheetFormatPr baseColWidth="10" defaultRowHeight="14.25" x14ac:dyDescent="0.2"/>
  <cols>
    <col min="1" max="2" width="9.375" bestFit="1" customWidth="1"/>
    <col min="3" max="3" width="9.375" customWidth="1"/>
    <col min="4" max="4" width="8" bestFit="1" customWidth="1"/>
    <col min="5" max="5" width="10.5" customWidth="1"/>
    <col min="6" max="6" width="11.75" bestFit="1" customWidth="1"/>
    <col min="7" max="7" width="10.375" customWidth="1"/>
    <col min="8" max="8" width="9.375" customWidth="1"/>
    <col min="9" max="9" width="15.625" customWidth="1"/>
    <col min="10" max="10" width="9.75" customWidth="1"/>
    <col min="11" max="16" width="10.125" customWidth="1"/>
    <col min="17" max="17" width="9.875" customWidth="1"/>
    <col min="18" max="18" width="8.75" customWidth="1"/>
    <col min="19" max="19" width="12.125" customWidth="1"/>
    <col min="21" max="21" width="11.5" bestFit="1" customWidth="1"/>
  </cols>
  <sheetData>
    <row r="1" spans="1:25" x14ac:dyDescent="0.2">
      <c r="B1" s="3">
        <v>1</v>
      </c>
      <c r="C1" s="3">
        <f>+B1+1</f>
        <v>2</v>
      </c>
      <c r="D1" s="3">
        <f t="shared" ref="D1:W1" si="0">+C1+1</f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>
        <v>23</v>
      </c>
      <c r="Y1">
        <v>24</v>
      </c>
    </row>
    <row r="2" spans="1:25" ht="27" customHeight="1" x14ac:dyDescent="0.2">
      <c r="A2" s="61" t="s">
        <v>133</v>
      </c>
      <c r="B2" s="61" t="s">
        <v>38</v>
      </c>
      <c r="C2" s="61" t="s">
        <v>188</v>
      </c>
      <c r="D2" s="61" t="s">
        <v>0</v>
      </c>
      <c r="E2" s="62" t="s">
        <v>175</v>
      </c>
      <c r="F2" s="62" t="s">
        <v>186</v>
      </c>
      <c r="G2" s="62" t="s">
        <v>116</v>
      </c>
      <c r="H2" s="62" t="s">
        <v>128</v>
      </c>
      <c r="I2" s="62" t="s">
        <v>131</v>
      </c>
      <c r="J2" s="63" t="s">
        <v>117</v>
      </c>
      <c r="K2" s="63" t="s">
        <v>126</v>
      </c>
      <c r="L2" s="63" t="s">
        <v>118</v>
      </c>
      <c r="M2" s="63" t="s">
        <v>132</v>
      </c>
      <c r="N2" s="154" t="s">
        <v>135</v>
      </c>
      <c r="O2" s="80" t="s">
        <v>140</v>
      </c>
      <c r="P2" s="80" t="s">
        <v>141</v>
      </c>
      <c r="Q2" s="64" t="s">
        <v>119</v>
      </c>
      <c r="R2" s="64" t="s">
        <v>139</v>
      </c>
      <c r="S2" s="64" t="s">
        <v>127</v>
      </c>
      <c r="T2" s="64" t="s">
        <v>129</v>
      </c>
      <c r="U2" s="64" t="s">
        <v>136</v>
      </c>
      <c r="V2" s="64" t="s">
        <v>130</v>
      </c>
      <c r="W2" s="64" t="s">
        <v>137</v>
      </c>
      <c r="X2" s="155" t="s">
        <v>192</v>
      </c>
      <c r="Y2" s="156" t="s">
        <v>199</v>
      </c>
    </row>
    <row r="3" spans="1:25" x14ac:dyDescent="0.2">
      <c r="A3" s="67" t="s">
        <v>134</v>
      </c>
      <c r="B3" s="67">
        <v>46068</v>
      </c>
      <c r="C3" s="67">
        <v>46095</v>
      </c>
      <c r="D3" s="68" t="str">
        <f t="shared" ref="D3:D8" si="1">+TEXT(B3,"mmmm")</f>
        <v>febrero</v>
      </c>
      <c r="E3" s="71"/>
      <c r="F3" s="71">
        <f>+Opex[[#This Row],[Cuentas x Pagar]]/31</f>
        <v>0</v>
      </c>
      <c r="G3" s="69">
        <v>1650000</v>
      </c>
      <c r="H3" s="71">
        <f>+Opex[[#This Row],[fecha_fin]]-Opex[[#This Row],[Fecha]]</f>
        <v>27</v>
      </c>
      <c r="I3" s="73">
        <f>IFERROR(Opex[[#This Row],[Arriendo]]/Opex[[#This Row],[No. Días Arriendo]],0)</f>
        <v>61111.111111111109</v>
      </c>
      <c r="J3" s="71">
        <v>0</v>
      </c>
      <c r="K3" s="71">
        <v>0</v>
      </c>
      <c r="L3" s="71">
        <v>0</v>
      </c>
      <c r="M3" s="71">
        <f>IFERROR(Opex[[#This Row],[Gas]]/Opex[[#This Row],[Consumo (m3)]],0)</f>
        <v>0</v>
      </c>
      <c r="N3" s="84">
        <f>IFERROR(Opex[[#This Row],[Gas]]/Opex[[#This Row],[No. Días Arriendo]],0)</f>
        <v>0</v>
      </c>
      <c r="O3" s="71"/>
      <c r="P3" s="81">
        <f>IFERROR(Opex[[#This Row],[Agua]]/Opex[[#This Row],[No. Días Arriendo]],0)</f>
        <v>0</v>
      </c>
      <c r="Q3" s="71"/>
      <c r="R3" s="71"/>
      <c r="S3" s="71">
        <f t="shared" ref="S3" si="2">+Z3</f>
        <v>0</v>
      </c>
      <c r="T3" s="71"/>
      <c r="U3" s="71">
        <f>IFERROR(Opex[[#This Row],[Energia]]/Opex[[#This Row],[Consumo
(KhW]],0)</f>
        <v>0</v>
      </c>
      <c r="V3" s="71"/>
      <c r="W3" s="87">
        <f>IFERROR(Opex[[#This Row],[Energia]]/Opex[[#This Row],[No. Días Arriendo]],0)</f>
        <v>0</v>
      </c>
      <c r="X3" s="71">
        <v>0</v>
      </c>
      <c r="Y3" s="71">
        <f>+Opex[[#This Row],[Internet]]/Opex[[#This Row],[No. Días Arriendo]]</f>
        <v>0</v>
      </c>
    </row>
    <row r="4" spans="1:25" x14ac:dyDescent="0.2">
      <c r="A4" s="75" t="s">
        <v>72</v>
      </c>
      <c r="B4" s="67">
        <f>+C3+1</f>
        <v>46096</v>
      </c>
      <c r="C4" s="67">
        <v>46126</v>
      </c>
      <c r="D4" s="68" t="str">
        <f t="shared" si="1"/>
        <v>marzo</v>
      </c>
      <c r="E4" s="71"/>
      <c r="F4" s="71">
        <f>+Opex[[#This Row],[Cuentas x Pagar]]/31</f>
        <v>0</v>
      </c>
      <c r="G4" s="69">
        <v>1650000</v>
      </c>
      <c r="H4" s="71">
        <f>+Opex[[#This Row],[fecha_fin]]-Opex[[#This Row],[Fecha]]</f>
        <v>30</v>
      </c>
      <c r="I4" s="73">
        <f>IFERROR(Opex[[#This Row],[Arriendo]]/Opex[[#This Row],[No. Días Arriendo]],0)</f>
        <v>55000</v>
      </c>
      <c r="J4" s="71">
        <v>247319</v>
      </c>
      <c r="K4" s="71" t="e">
        <f>+#REF!</f>
        <v>#REF!</v>
      </c>
      <c r="L4" s="71" t="e">
        <f>+AVERAGE(#REF!/#REF!,#REF!/#REF!,#REF!/#REF!)*Opex[[#This Row],[No. Días Gas]]</f>
        <v>#REF!</v>
      </c>
      <c r="M4" s="71" t="e">
        <f>+AVERAGE(#REF!)</f>
        <v>#REF!</v>
      </c>
      <c r="N4" s="84">
        <f>IFERROR(Opex[[#This Row],[Gas]]/Opex[[#This Row],[No. Días Arriendo]],0)</f>
        <v>8243.9666666666672</v>
      </c>
      <c r="O4" s="71">
        <v>120000</v>
      </c>
      <c r="P4" s="81">
        <f>IFERROR(Opex[[#This Row],[Agua]]/Opex[[#This Row],[No. Días Arriendo]],0)</f>
        <v>4000</v>
      </c>
      <c r="Q4" s="71">
        <v>319050</v>
      </c>
      <c r="R4" s="71">
        <v>264247</v>
      </c>
      <c r="S4" s="71" t="e">
        <f>+#REF!</f>
        <v>#REF!</v>
      </c>
      <c r="T4" s="71" t="e">
        <f>+AVERAGE(#REF!/#REF!,#REF!/#REF!)</f>
        <v>#REF!</v>
      </c>
      <c r="U4" s="71" t="e">
        <f>+AVERAGE(#REF!)</f>
        <v>#REF!</v>
      </c>
      <c r="V4" s="71" t="s">
        <v>87</v>
      </c>
      <c r="W4" s="87">
        <f>IFERROR(Opex[[#This Row],[Energia]]/Opex[[#This Row],[No. Días Arriendo]],0)</f>
        <v>10635</v>
      </c>
      <c r="X4" s="71">
        <v>0</v>
      </c>
      <c r="Y4" s="71">
        <f>+Opex[[#This Row],[Internet]]/Opex[[#This Row],[No. Días Arriendo]]</f>
        <v>0</v>
      </c>
    </row>
    <row r="5" spans="1:25" x14ac:dyDescent="0.2">
      <c r="A5" s="75" t="s">
        <v>72</v>
      </c>
      <c r="B5" s="67">
        <f t="shared" ref="B5:B14" si="3">+C4+1</f>
        <v>46127</v>
      </c>
      <c r="C5" s="67">
        <v>46156</v>
      </c>
      <c r="D5" s="68" t="str">
        <f t="shared" si="1"/>
        <v>abril</v>
      </c>
      <c r="E5" s="71"/>
      <c r="F5" s="71">
        <f>+Opex[[#This Row],[Cuentas x Pagar]]/31</f>
        <v>0</v>
      </c>
      <c r="G5" s="69">
        <v>1650000</v>
      </c>
      <c r="H5" s="71">
        <f>+Opex[[#This Row],[fecha_fin]]-Opex[[#This Row],[Fecha]]</f>
        <v>29</v>
      </c>
      <c r="I5" s="73">
        <f>IFERROR(Opex[[#This Row],[Arriendo]]/Opex[[#This Row],[No. Días Arriendo]],0)</f>
        <v>56896.551724137928</v>
      </c>
      <c r="J5" s="71">
        <v>247319</v>
      </c>
      <c r="K5" s="71">
        <f t="shared" ref="K5:K8" si="4">+H4</f>
        <v>30</v>
      </c>
      <c r="L5" s="71" t="e">
        <f>+AVERAGE(#REF!/#REF!,#REF!/#REF!,L4/K4)*Opex[[#This Row],[No. Días Gas]]</f>
        <v>#REF!</v>
      </c>
      <c r="M5" s="71" t="e">
        <f>+AVERAGE(M4:M4)</f>
        <v>#REF!</v>
      </c>
      <c r="N5" s="84">
        <f>IFERROR(Opex[[#This Row],[Gas]]/Opex[[#This Row],[No. Días Arriendo]],0)</f>
        <v>8528.2413793103442</v>
      </c>
      <c r="O5" s="71">
        <v>120000</v>
      </c>
      <c r="P5" s="81">
        <f>IFERROR(Opex[[#This Row],[Agua]]/Opex[[#This Row],[No. Días Arriendo]],0)</f>
        <v>4137.9310344827591</v>
      </c>
      <c r="Q5" s="71">
        <f>+AVERAGE(Q4:Q4)</f>
        <v>319050</v>
      </c>
      <c r="R5" s="71">
        <v>264247</v>
      </c>
      <c r="S5" s="71" t="e">
        <f>+#REF!</f>
        <v>#REF!</v>
      </c>
      <c r="T5" s="71" t="e">
        <f>+AVERAGE(#REF!/#REF!,#REF!/#REF!,#REF!/U4)</f>
        <v>#REF!</v>
      </c>
      <c r="U5" s="71" t="e">
        <f>+AVERAGE(U4:U4)</f>
        <v>#REF!</v>
      </c>
      <c r="V5" s="71" t="s">
        <v>87</v>
      </c>
      <c r="W5" s="87">
        <f>IFERROR(Opex[[#This Row],[Energia]]/Opex[[#This Row],[No. Días Arriendo]],0)</f>
        <v>11001.724137931034</v>
      </c>
      <c r="X5" s="71">
        <v>105000</v>
      </c>
      <c r="Y5" s="71">
        <f>+Opex[[#This Row],[Internet]]/Opex[[#This Row],[No. Días Arriendo]]</f>
        <v>3620.6896551724139</v>
      </c>
    </row>
    <row r="6" spans="1:25" x14ac:dyDescent="0.2">
      <c r="A6" s="75" t="s">
        <v>72</v>
      </c>
      <c r="B6" s="67">
        <f t="shared" si="3"/>
        <v>46157</v>
      </c>
      <c r="C6" s="67">
        <v>46187</v>
      </c>
      <c r="D6" s="68" t="str">
        <f t="shared" si="1"/>
        <v>mayo</v>
      </c>
      <c r="E6" s="71"/>
      <c r="F6" s="71">
        <f>+Opex[[#This Row],[Cuentas x Pagar]]/31</f>
        <v>0</v>
      </c>
      <c r="G6" s="69">
        <v>1650000</v>
      </c>
      <c r="H6" s="71">
        <f>+Opex[[#This Row],[fecha_fin]]-Opex[[#This Row],[Fecha]]</f>
        <v>30</v>
      </c>
      <c r="I6" s="73">
        <f>IFERROR(Opex[[#This Row],[Arriendo]]/Opex[[#This Row],[No. Días Arriendo]],0)</f>
        <v>55000</v>
      </c>
      <c r="J6" s="71">
        <v>247319</v>
      </c>
      <c r="K6" s="71">
        <f t="shared" si="4"/>
        <v>29</v>
      </c>
      <c r="L6" s="71" t="e">
        <f>+AVERAGE(#REF!/#REF!,L4/K4,L5/K5)*Opex[[#This Row],[No. Días Gas]]</f>
        <v>#REF!</v>
      </c>
      <c r="M6" s="71" t="e">
        <f>+AVERAGE(M4:M5)</f>
        <v>#REF!</v>
      </c>
      <c r="N6" s="84">
        <f>IFERROR(Opex[[#This Row],[Gas]]/Opex[[#This Row],[No. Días Arriendo]],0)</f>
        <v>8243.9666666666672</v>
      </c>
      <c r="O6" s="71">
        <v>120000</v>
      </c>
      <c r="P6" s="81">
        <f>IFERROR(Opex[[#This Row],[Agua]]/Opex[[#This Row],[No. Días Arriendo]],0)</f>
        <v>4000</v>
      </c>
      <c r="Q6" s="71">
        <f>+AVERAGE(Q4:Q5)</f>
        <v>319050</v>
      </c>
      <c r="R6" s="71">
        <v>264247</v>
      </c>
      <c r="S6" s="71" t="e">
        <f>+#REF!</f>
        <v>#REF!</v>
      </c>
      <c r="T6" s="71" t="e">
        <f>+AVERAGE(#REF!/#REF!,#REF!/U4,#REF!/U5)</f>
        <v>#REF!</v>
      </c>
      <c r="U6" s="71" t="e">
        <f>+AVERAGE(U4:U5)</f>
        <v>#REF!</v>
      </c>
      <c r="V6" s="71" t="s">
        <v>87</v>
      </c>
      <c r="W6" s="87">
        <f>IFERROR(Opex[[#This Row],[Energia]]/Opex[[#This Row],[No. Días Arriendo]],0)</f>
        <v>10635</v>
      </c>
      <c r="X6" s="71">
        <v>105000</v>
      </c>
      <c r="Y6" s="71">
        <f>+Opex[[#This Row],[Internet]]/Opex[[#This Row],[No. Días Arriendo]]</f>
        <v>3500</v>
      </c>
    </row>
    <row r="7" spans="1:25" x14ac:dyDescent="0.2">
      <c r="A7" s="75" t="s">
        <v>72</v>
      </c>
      <c r="B7" s="67">
        <f t="shared" si="3"/>
        <v>46188</v>
      </c>
      <c r="C7" s="67">
        <v>46217</v>
      </c>
      <c r="D7" s="68" t="str">
        <f t="shared" si="1"/>
        <v>junio</v>
      </c>
      <c r="E7" s="71"/>
      <c r="F7" s="71">
        <f>+Opex[[#This Row],[Cuentas x Pagar]]/31</f>
        <v>0</v>
      </c>
      <c r="G7" s="69">
        <v>1650000</v>
      </c>
      <c r="H7" s="71">
        <f>+Opex[[#This Row],[fecha_fin]]-Opex[[#This Row],[Fecha]]</f>
        <v>29</v>
      </c>
      <c r="I7" s="73">
        <f>IFERROR(Opex[[#This Row],[Arriendo]]/Opex[[#This Row],[No. Días Arriendo]],0)</f>
        <v>56896.551724137928</v>
      </c>
      <c r="J7" s="71">
        <v>247319</v>
      </c>
      <c r="K7" s="71">
        <f t="shared" si="4"/>
        <v>30</v>
      </c>
      <c r="L7" s="71" t="e">
        <f>+AVERAGE(L4/K4,L5/K5,L6/K6)*Opex[[#This Row],[No. Días Gas]]</f>
        <v>#REF!</v>
      </c>
      <c r="M7" s="71" t="e">
        <f t="shared" ref="M7:M14" si="5">+AVERAGE(M4:M6)</f>
        <v>#REF!</v>
      </c>
      <c r="N7" s="84">
        <f>IFERROR(Opex[[#This Row],[Gas]]/Opex[[#This Row],[No. Días Arriendo]],0)</f>
        <v>8528.2413793103442</v>
      </c>
      <c r="O7" s="71">
        <v>120000</v>
      </c>
      <c r="P7" s="81">
        <f>IFERROR(Opex[[#This Row],[Agua]]/Opex[[#This Row],[No. Días Arriendo]],0)</f>
        <v>4137.9310344827591</v>
      </c>
      <c r="Q7" s="71">
        <f>+AVERAGE(Q5:Q6)</f>
        <v>319050</v>
      </c>
      <c r="R7" s="71">
        <v>264247</v>
      </c>
      <c r="S7" s="71" t="e">
        <f>+#REF!</f>
        <v>#REF!</v>
      </c>
      <c r="T7" s="71" t="e">
        <f>+AVERAGE(#REF!/U4,#REF!/U5,#REF!/U6)</f>
        <v>#REF!</v>
      </c>
      <c r="U7" s="71" t="e">
        <f t="shared" ref="U7:U14" si="6">+AVERAGE(U4:U6)</f>
        <v>#REF!</v>
      </c>
      <c r="V7" s="71" t="s">
        <v>87</v>
      </c>
      <c r="W7" s="87">
        <f>IFERROR(Opex[[#This Row],[Energia]]/Opex[[#This Row],[No. Días Arriendo]],0)</f>
        <v>11001.724137931034</v>
      </c>
      <c r="X7" s="71">
        <v>105000</v>
      </c>
      <c r="Y7" s="71">
        <f>+Opex[[#This Row],[Internet]]/Opex[[#This Row],[No. Días Arriendo]]</f>
        <v>3620.6896551724139</v>
      </c>
    </row>
    <row r="8" spans="1:25" x14ac:dyDescent="0.2">
      <c r="A8" s="75" t="s">
        <v>72</v>
      </c>
      <c r="B8" s="67">
        <f t="shared" si="3"/>
        <v>46218</v>
      </c>
      <c r="C8" s="67">
        <v>46248</v>
      </c>
      <c r="D8" s="68" t="str">
        <f t="shared" si="1"/>
        <v>julio</v>
      </c>
      <c r="E8" s="71"/>
      <c r="F8" s="71">
        <f>+Opex[[#This Row],[Cuentas x Pagar]]/31</f>
        <v>0</v>
      </c>
      <c r="G8" s="69">
        <v>1650000</v>
      </c>
      <c r="H8" s="71">
        <f>+Opex[[#This Row],[fecha_fin]]-Opex[[#This Row],[Fecha]]</f>
        <v>30</v>
      </c>
      <c r="I8" s="73">
        <f>IFERROR(Opex[[#This Row],[Arriendo]]/Opex[[#This Row],[No. Días Arriendo]],0)</f>
        <v>55000</v>
      </c>
      <c r="J8" s="71">
        <v>247319</v>
      </c>
      <c r="K8" s="71">
        <f t="shared" si="4"/>
        <v>29</v>
      </c>
      <c r="L8" s="71" t="e">
        <f>+AVERAGE(L5/K5,L6/K6,L7/K7)*Opex[[#This Row],[No. Días Gas]]</f>
        <v>#REF!</v>
      </c>
      <c r="M8" s="71" t="e">
        <f t="shared" si="5"/>
        <v>#REF!</v>
      </c>
      <c r="N8" s="84">
        <f>IFERROR(Opex[[#This Row],[Gas]]/Opex[[#This Row],[No. Días Arriendo]],0)</f>
        <v>8243.9666666666672</v>
      </c>
      <c r="O8" s="71">
        <v>120000</v>
      </c>
      <c r="P8" s="81">
        <f>IFERROR(Opex[[#This Row],[Agua]]/Opex[[#This Row],[No. Días Arriendo]],0)</f>
        <v>4000</v>
      </c>
      <c r="Q8" s="71">
        <f>+AVERAGE(Q6:Q7)</f>
        <v>319050</v>
      </c>
      <c r="R8" s="71">
        <v>0</v>
      </c>
      <c r="S8" s="71" t="e">
        <f>+#REF!</f>
        <v>#REF!</v>
      </c>
      <c r="T8" s="71" t="e">
        <f>+AVERAGE(#REF!/U5,#REF!/U6,#REF!/U7)</f>
        <v>#REF!</v>
      </c>
      <c r="U8" s="71" t="e">
        <f>+AVERAGE(U5:U7)</f>
        <v>#REF!</v>
      </c>
      <c r="V8" s="71" t="s">
        <v>87</v>
      </c>
      <c r="W8" s="87">
        <f>IFERROR(Opex[[#This Row],[Energia]]/Opex[[#This Row],[No. Días Arriendo]],0)</f>
        <v>10635</v>
      </c>
      <c r="X8" s="71">
        <v>105000</v>
      </c>
      <c r="Y8" s="71">
        <f>+Opex[[#This Row],[Internet]]/Opex[[#This Row],[No. Días Arriendo]]</f>
        <v>3500</v>
      </c>
    </row>
    <row r="9" spans="1:25" x14ac:dyDescent="0.2">
      <c r="A9" s="75" t="s">
        <v>72</v>
      </c>
      <c r="B9" s="67">
        <f t="shared" si="3"/>
        <v>46249</v>
      </c>
      <c r="C9" s="67">
        <v>46279</v>
      </c>
      <c r="D9" s="68" t="str">
        <f t="shared" ref="D9:D14" si="7">+TEXT(B9,"mmmm")</f>
        <v>agosto</v>
      </c>
      <c r="E9" s="71"/>
      <c r="F9" s="71">
        <f>+Opex[[#This Row],[Cuentas x Pagar]]/31</f>
        <v>0</v>
      </c>
      <c r="G9" s="69">
        <v>1650000</v>
      </c>
      <c r="H9" s="71">
        <f>+Opex[[#This Row],[fecha_fin]]-Opex[[#This Row],[Fecha]]</f>
        <v>30</v>
      </c>
      <c r="I9" s="73">
        <f>IFERROR(Opex[[#This Row],[Arriendo]]/Opex[[#This Row],[No. Días Arriendo]],0)</f>
        <v>55000</v>
      </c>
      <c r="J9" s="71">
        <v>247319</v>
      </c>
      <c r="K9" s="71">
        <f t="shared" ref="K9:K14" si="8">+H8</f>
        <v>30</v>
      </c>
      <c r="L9" s="71" t="e">
        <f>+AVERAGE(L6/K6,L7/K7,L8/K8)*Opex[[#This Row],[No. Días Gas]]</f>
        <v>#REF!</v>
      </c>
      <c r="M9" s="71" t="e">
        <f t="shared" si="5"/>
        <v>#REF!</v>
      </c>
      <c r="N9" s="84">
        <f>IFERROR(Opex[[#This Row],[Gas]]/Opex[[#This Row],[No. Días Arriendo]],0)</f>
        <v>8243.9666666666672</v>
      </c>
      <c r="O9" s="71">
        <v>120000</v>
      </c>
      <c r="P9" s="81">
        <f>IFERROR(Opex[[#This Row],[Agua]]/Opex[[#This Row],[No. Días Arriendo]],0)</f>
        <v>4000</v>
      </c>
      <c r="Q9" s="71">
        <f t="shared" ref="Q9:Q14" si="9">+AVERAGE(Q7:Q8)</f>
        <v>319050</v>
      </c>
      <c r="R9" s="71">
        <v>0</v>
      </c>
      <c r="S9" s="71" t="e">
        <f>+#REF!</f>
        <v>#REF!</v>
      </c>
      <c r="T9" s="71" t="e">
        <f>+AVERAGE(#REF!/U6,#REF!/U7,#REF!/U8)</f>
        <v>#REF!</v>
      </c>
      <c r="U9" s="71" t="e">
        <f t="shared" si="6"/>
        <v>#REF!</v>
      </c>
      <c r="V9" s="71" t="s">
        <v>87</v>
      </c>
      <c r="W9" s="87">
        <f>IFERROR(Opex[[#This Row],[Energia]]/Opex[[#This Row],[No. Días Arriendo]],0)</f>
        <v>10635</v>
      </c>
      <c r="X9" s="71">
        <v>105000</v>
      </c>
      <c r="Y9" s="71">
        <f>+Opex[[#This Row],[Internet]]/Opex[[#This Row],[No. Días Arriendo]]</f>
        <v>3500</v>
      </c>
    </row>
    <row r="10" spans="1:25" x14ac:dyDescent="0.2">
      <c r="A10" s="75" t="s">
        <v>72</v>
      </c>
      <c r="B10" s="67">
        <f t="shared" si="3"/>
        <v>46280</v>
      </c>
      <c r="C10" s="67">
        <v>46309</v>
      </c>
      <c r="D10" s="68" t="str">
        <f t="shared" si="7"/>
        <v>septiembre</v>
      </c>
      <c r="E10" s="71"/>
      <c r="F10" s="71">
        <f>+Opex[[#This Row],[Cuentas x Pagar]]/31</f>
        <v>0</v>
      </c>
      <c r="G10" s="69">
        <v>1650000</v>
      </c>
      <c r="H10" s="71">
        <f>+Opex[[#This Row],[fecha_fin]]-Opex[[#This Row],[Fecha]]</f>
        <v>29</v>
      </c>
      <c r="I10" s="73">
        <f>IFERROR(Opex[[#This Row],[Arriendo]]/Opex[[#This Row],[No. Días Arriendo]],0)</f>
        <v>56896.551724137928</v>
      </c>
      <c r="J10" s="71">
        <v>247319</v>
      </c>
      <c r="K10" s="71">
        <f t="shared" si="8"/>
        <v>30</v>
      </c>
      <c r="L10" s="71" t="e">
        <f>+AVERAGE(L7/K7,L8/K8,L9/K9)*Opex[[#This Row],[No. Días Gas]]</f>
        <v>#REF!</v>
      </c>
      <c r="M10" s="71" t="e">
        <f t="shared" si="5"/>
        <v>#REF!</v>
      </c>
      <c r="N10" s="84">
        <f>IFERROR(Opex[[#This Row],[Gas]]/Opex[[#This Row],[No. Días Arriendo]],0)</f>
        <v>8528.2413793103442</v>
      </c>
      <c r="O10" s="71">
        <v>120000</v>
      </c>
      <c r="P10" s="81">
        <f>IFERROR(Opex[[#This Row],[Agua]]/Opex[[#This Row],[No. Días Arriendo]],0)</f>
        <v>4137.9310344827591</v>
      </c>
      <c r="Q10" s="71">
        <f t="shared" si="9"/>
        <v>319050</v>
      </c>
      <c r="R10" s="71">
        <v>0</v>
      </c>
      <c r="S10" s="71" t="e">
        <f>+#REF!</f>
        <v>#REF!</v>
      </c>
      <c r="T10" s="71" t="e">
        <f>+AVERAGE(#REF!/U7,#REF!/U8,#REF!/U9)</f>
        <v>#REF!</v>
      </c>
      <c r="U10" s="71" t="e">
        <f t="shared" si="6"/>
        <v>#REF!</v>
      </c>
      <c r="V10" s="71" t="s">
        <v>87</v>
      </c>
      <c r="W10" s="87">
        <f>IFERROR(Opex[[#This Row],[Energia]]/Opex[[#This Row],[No. Días Arriendo]],0)</f>
        <v>11001.724137931034</v>
      </c>
      <c r="X10" s="71">
        <v>105000</v>
      </c>
      <c r="Y10" s="71">
        <f>+Opex[[#This Row],[Internet]]/Opex[[#This Row],[No. Días Arriendo]]</f>
        <v>3620.6896551724139</v>
      </c>
    </row>
    <row r="11" spans="1:25" x14ac:dyDescent="0.2">
      <c r="A11" s="75" t="s">
        <v>72</v>
      </c>
      <c r="B11" s="67">
        <f t="shared" si="3"/>
        <v>46310</v>
      </c>
      <c r="C11" s="67">
        <v>46340</v>
      </c>
      <c r="D11" s="68" t="str">
        <f t="shared" si="7"/>
        <v>octubre</v>
      </c>
      <c r="E11" s="71"/>
      <c r="F11" s="71">
        <f>+Opex[[#This Row],[Cuentas x Pagar]]/31</f>
        <v>0</v>
      </c>
      <c r="G11" s="69">
        <v>1650000</v>
      </c>
      <c r="H11" s="71">
        <f>+Opex[[#This Row],[fecha_fin]]-Opex[[#This Row],[Fecha]]</f>
        <v>30</v>
      </c>
      <c r="I11" s="73">
        <f>IFERROR(Opex[[#This Row],[Arriendo]]/Opex[[#This Row],[No. Días Arriendo]],0)</f>
        <v>55000</v>
      </c>
      <c r="J11" s="71">
        <v>247319</v>
      </c>
      <c r="K11" s="71">
        <f t="shared" si="8"/>
        <v>29</v>
      </c>
      <c r="L11" s="71" t="e">
        <f>+AVERAGE(L8/K8,L9/K9,L10/K10)*Opex[[#This Row],[No. Días Gas]]</f>
        <v>#REF!</v>
      </c>
      <c r="M11" s="71" t="e">
        <f t="shared" si="5"/>
        <v>#REF!</v>
      </c>
      <c r="N11" s="84">
        <f>IFERROR(Opex[[#This Row],[Gas]]/Opex[[#This Row],[No. Días Arriendo]],0)</f>
        <v>8243.9666666666672</v>
      </c>
      <c r="O11" s="71">
        <v>120000</v>
      </c>
      <c r="P11" s="81">
        <f>IFERROR(Opex[[#This Row],[Agua]]/Opex[[#This Row],[No. Días Arriendo]],0)</f>
        <v>4000</v>
      </c>
      <c r="Q11" s="71">
        <f t="shared" si="9"/>
        <v>319050</v>
      </c>
      <c r="R11" s="71">
        <v>0</v>
      </c>
      <c r="S11" s="71" t="e">
        <f>+#REF!</f>
        <v>#REF!</v>
      </c>
      <c r="T11" s="71" t="e">
        <f>+AVERAGE(#REF!/U8,#REF!/U9,#REF!/U10)</f>
        <v>#REF!</v>
      </c>
      <c r="U11" s="71" t="e">
        <f t="shared" si="6"/>
        <v>#REF!</v>
      </c>
      <c r="V11" s="71" t="s">
        <v>87</v>
      </c>
      <c r="W11" s="87">
        <f>IFERROR(Opex[[#This Row],[Energia]]/Opex[[#This Row],[No. Días Arriendo]],0)</f>
        <v>10635</v>
      </c>
      <c r="X11" s="71">
        <v>105000</v>
      </c>
      <c r="Y11" s="71">
        <f>+Opex[[#This Row],[Internet]]/Opex[[#This Row],[No. Días Arriendo]]</f>
        <v>3500</v>
      </c>
    </row>
    <row r="12" spans="1:25" x14ac:dyDescent="0.2">
      <c r="A12" s="75" t="s">
        <v>72</v>
      </c>
      <c r="B12" s="67">
        <f t="shared" si="3"/>
        <v>46341</v>
      </c>
      <c r="C12" s="67">
        <v>46370</v>
      </c>
      <c r="D12" s="68" t="str">
        <f t="shared" si="7"/>
        <v>noviembre</v>
      </c>
      <c r="E12" s="71"/>
      <c r="F12" s="71">
        <f>+Opex[[#This Row],[Cuentas x Pagar]]/31</f>
        <v>0</v>
      </c>
      <c r="G12" s="69">
        <v>1650000</v>
      </c>
      <c r="H12" s="71">
        <f>+Opex[[#This Row],[fecha_fin]]-Opex[[#This Row],[Fecha]]</f>
        <v>29</v>
      </c>
      <c r="I12" s="73">
        <f>IFERROR(Opex[[#This Row],[Arriendo]]/Opex[[#This Row],[No. Días Arriendo]],0)</f>
        <v>56896.551724137928</v>
      </c>
      <c r="J12" s="71">
        <v>247319</v>
      </c>
      <c r="K12" s="71">
        <f t="shared" si="8"/>
        <v>30</v>
      </c>
      <c r="L12" s="71" t="e">
        <f>+AVERAGE(L9/K9,L10/K10,L11/K11)*Opex[[#This Row],[No. Días Gas]]</f>
        <v>#REF!</v>
      </c>
      <c r="M12" s="71" t="e">
        <f t="shared" si="5"/>
        <v>#REF!</v>
      </c>
      <c r="N12" s="84">
        <f>IFERROR(Opex[[#This Row],[Gas]]/Opex[[#This Row],[No. Días Arriendo]],0)</f>
        <v>8528.2413793103442</v>
      </c>
      <c r="O12" s="71">
        <v>120000</v>
      </c>
      <c r="P12" s="81">
        <f>IFERROR(Opex[[#This Row],[Agua]]/Opex[[#This Row],[No. Días Arriendo]],0)</f>
        <v>4137.9310344827591</v>
      </c>
      <c r="Q12" s="71">
        <f t="shared" si="9"/>
        <v>319050</v>
      </c>
      <c r="R12" s="71">
        <v>0</v>
      </c>
      <c r="S12" s="71" t="e">
        <f>+#REF!</f>
        <v>#REF!</v>
      </c>
      <c r="T12" s="71" t="e">
        <f>+AVERAGE(#REF!/U9,#REF!/U10,#REF!/U11)</f>
        <v>#REF!</v>
      </c>
      <c r="U12" s="71" t="e">
        <f t="shared" si="6"/>
        <v>#REF!</v>
      </c>
      <c r="V12" s="71" t="s">
        <v>87</v>
      </c>
      <c r="W12" s="87">
        <f>IFERROR(Opex[[#This Row],[Energia]]/Opex[[#This Row],[No. Días Arriendo]],0)</f>
        <v>11001.724137931034</v>
      </c>
      <c r="X12" s="71">
        <v>105000</v>
      </c>
      <c r="Y12" s="71">
        <f>+Opex[[#This Row],[Internet]]/Opex[[#This Row],[No. Días Arriendo]]</f>
        <v>3620.6896551724139</v>
      </c>
    </row>
    <row r="13" spans="1:25" x14ac:dyDescent="0.2">
      <c r="A13" s="75" t="s">
        <v>72</v>
      </c>
      <c r="B13" s="67">
        <f t="shared" si="3"/>
        <v>46371</v>
      </c>
      <c r="C13" s="67">
        <v>46401</v>
      </c>
      <c r="D13" s="68" t="str">
        <f t="shared" si="7"/>
        <v>diciembre</v>
      </c>
      <c r="E13" s="71"/>
      <c r="F13" s="71">
        <f>+Opex[[#This Row],[Cuentas x Pagar]]/31</f>
        <v>0</v>
      </c>
      <c r="G13" s="69">
        <v>1650000</v>
      </c>
      <c r="H13" s="71">
        <f>+Opex[[#This Row],[fecha_fin]]-Opex[[#This Row],[Fecha]]</f>
        <v>30</v>
      </c>
      <c r="I13" s="73">
        <f>IFERROR(Opex[[#This Row],[Arriendo]]/Opex[[#This Row],[No. Días Arriendo]],0)</f>
        <v>55000</v>
      </c>
      <c r="J13" s="71">
        <v>247319</v>
      </c>
      <c r="K13" s="71">
        <f t="shared" si="8"/>
        <v>29</v>
      </c>
      <c r="L13" s="71" t="e">
        <f>+AVERAGE(L10/K10,L11/K11,L12/K12)*Opex[[#This Row],[No. Días Gas]]</f>
        <v>#REF!</v>
      </c>
      <c r="M13" s="71" t="e">
        <f t="shared" si="5"/>
        <v>#REF!</v>
      </c>
      <c r="N13" s="84">
        <f>IFERROR(Opex[[#This Row],[Gas]]/Opex[[#This Row],[No. Días Arriendo]],0)</f>
        <v>8243.9666666666672</v>
      </c>
      <c r="O13" s="71">
        <v>120000</v>
      </c>
      <c r="P13" s="81">
        <f>IFERROR(Opex[[#This Row],[Agua]]/Opex[[#This Row],[No. Días Arriendo]],0)</f>
        <v>4000</v>
      </c>
      <c r="Q13" s="71">
        <f t="shared" si="9"/>
        <v>319050</v>
      </c>
      <c r="R13" s="71">
        <v>0</v>
      </c>
      <c r="S13" s="71" t="e">
        <f>+#REF!</f>
        <v>#REF!</v>
      </c>
      <c r="T13" s="71" t="e">
        <f>+AVERAGE(#REF!/U10,#REF!/U11,#REF!/U12)</f>
        <v>#REF!</v>
      </c>
      <c r="U13" s="71" t="e">
        <f t="shared" si="6"/>
        <v>#REF!</v>
      </c>
      <c r="V13" s="71" t="s">
        <v>87</v>
      </c>
      <c r="W13" s="87">
        <f>IFERROR(Opex[[#This Row],[Energia]]/Opex[[#This Row],[No. Días Arriendo]],0)</f>
        <v>10635</v>
      </c>
      <c r="X13" s="71">
        <v>105000</v>
      </c>
      <c r="Y13" s="71">
        <f>+Opex[[#This Row],[Internet]]/Opex[[#This Row],[No. Días Arriendo]]</f>
        <v>3500</v>
      </c>
    </row>
    <row r="14" spans="1:25" x14ac:dyDescent="0.2">
      <c r="A14" s="75" t="s">
        <v>72</v>
      </c>
      <c r="B14" s="67">
        <f t="shared" si="3"/>
        <v>46402</v>
      </c>
      <c r="C14" s="67">
        <v>46432</v>
      </c>
      <c r="D14" s="68" t="str">
        <f t="shared" si="7"/>
        <v>enero</v>
      </c>
      <c r="E14" s="71"/>
      <c r="F14" s="71">
        <f>+Opex[[#This Row],[Cuentas x Pagar]]/31</f>
        <v>0</v>
      </c>
      <c r="G14" s="69">
        <v>1650000</v>
      </c>
      <c r="H14" s="71">
        <f>+Opex[[#This Row],[fecha_fin]]-Opex[[#This Row],[Fecha]]</f>
        <v>30</v>
      </c>
      <c r="I14" s="73">
        <f>IFERROR(Opex[[#This Row],[Arriendo]]/Opex[[#This Row],[No. Días Arriendo]],0)</f>
        <v>55000</v>
      </c>
      <c r="J14" s="71">
        <v>247319</v>
      </c>
      <c r="K14" s="71">
        <f t="shared" si="8"/>
        <v>30</v>
      </c>
      <c r="L14" s="71" t="e">
        <f>+AVERAGE(L11/K11,L12/K12,L13/K13)*Opex[[#This Row],[No. Días Gas]]</f>
        <v>#REF!</v>
      </c>
      <c r="M14" s="71" t="e">
        <f t="shared" si="5"/>
        <v>#REF!</v>
      </c>
      <c r="N14" s="84">
        <f>IFERROR(Opex[[#This Row],[Gas]]/Opex[[#This Row],[No. Días Arriendo]],0)</f>
        <v>8243.9666666666672</v>
      </c>
      <c r="O14" s="71">
        <v>120000</v>
      </c>
      <c r="P14" s="81">
        <f>IFERROR(Opex[[#This Row],[Agua]]/Opex[[#This Row],[No. Días Arriendo]],0)</f>
        <v>4000</v>
      </c>
      <c r="Q14" s="71">
        <f t="shared" si="9"/>
        <v>319050</v>
      </c>
      <c r="R14" s="71">
        <v>0</v>
      </c>
      <c r="S14" s="71" t="e">
        <f>+#REF!</f>
        <v>#REF!</v>
      </c>
      <c r="T14" s="71" t="e">
        <f>+AVERAGE(#REF!/U11,#REF!/U12,#REF!/U13)</f>
        <v>#REF!</v>
      </c>
      <c r="U14" s="71" t="e">
        <f t="shared" si="6"/>
        <v>#REF!</v>
      </c>
      <c r="V14" s="71" t="s">
        <v>87</v>
      </c>
      <c r="W14" s="87">
        <f>IFERROR(Opex[[#This Row],[Energia]]/Opex[[#This Row],[No. Días Arriendo]],0)</f>
        <v>10635</v>
      </c>
      <c r="X14" s="71">
        <v>105000</v>
      </c>
      <c r="Y14" s="71">
        <f>+Opex[[#This Row],[Internet]]/Opex[[#This Row],[No. Días Arriendo]]</f>
        <v>3500</v>
      </c>
    </row>
  </sheetData>
  <phoneticPr fontId="15" type="noConversion"/>
  <pageMargins left="0.7" right="0.7" top="0.75" bottom="0.75" header="0.3" footer="0.3"/>
  <pageSetup orientation="portrait" verticalDpi="30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A3"/>
  </sheetPr>
  <dimension ref="A1:U448"/>
  <sheetViews>
    <sheetView showGridLines="0" tabSelected="1" topLeftCell="D1" zoomScaleNormal="100" workbookViewId="0">
      <pane ySplit="1" topLeftCell="A2" activePane="bottomLeft" state="frozen"/>
      <selection pane="bottomLeft" activeCell="K14" sqref="K14"/>
    </sheetView>
  </sheetViews>
  <sheetFormatPr baseColWidth="10" defaultRowHeight="14.25" x14ac:dyDescent="0.2"/>
  <cols>
    <col min="1" max="1" width="11" customWidth="1"/>
    <col min="2" max="2" width="11.625" bestFit="1" customWidth="1"/>
    <col min="3" max="3" width="9.25" bestFit="1" customWidth="1"/>
    <col min="4" max="4" width="28.625" bestFit="1" customWidth="1"/>
    <col min="5" max="5" width="9.625" bestFit="1" customWidth="1"/>
    <col min="6" max="6" width="8.875" customWidth="1"/>
    <col min="7" max="7" width="12.375" customWidth="1"/>
    <col min="8" max="8" width="5.625" bestFit="1" customWidth="1"/>
    <col min="9" max="11" width="12.375" customWidth="1"/>
    <col min="12" max="12" width="12.25" bestFit="1" customWidth="1"/>
    <col min="13" max="13" width="10" customWidth="1"/>
    <col min="14" max="15" width="11" customWidth="1"/>
    <col min="16" max="16" width="8.375" customWidth="1"/>
    <col min="17" max="17" width="14.25" customWidth="1"/>
    <col min="18" max="20" width="12.25" customWidth="1"/>
    <col min="21" max="21" width="12.25" bestFit="1" customWidth="1"/>
    <col min="25" max="25" width="15.75" bestFit="1" customWidth="1"/>
    <col min="26" max="26" width="13.25" bestFit="1" customWidth="1"/>
    <col min="27" max="27" width="13.25" customWidth="1"/>
  </cols>
  <sheetData>
    <row r="1" spans="1:14" ht="57" x14ac:dyDescent="0.2">
      <c r="A1" s="196" t="s">
        <v>38</v>
      </c>
      <c r="B1" s="196" t="s">
        <v>187</v>
      </c>
      <c r="C1" s="196" t="s">
        <v>47</v>
      </c>
      <c r="D1" s="197" t="s">
        <v>189</v>
      </c>
      <c r="E1" s="197" t="s">
        <v>264</v>
      </c>
      <c r="F1" s="198" t="s">
        <v>171</v>
      </c>
      <c r="G1" s="196" t="s">
        <v>110</v>
      </c>
      <c r="H1" s="196" t="s">
        <v>39</v>
      </c>
      <c r="I1" s="199" t="s">
        <v>203</v>
      </c>
      <c r="J1" s="200" t="s">
        <v>9</v>
      </c>
      <c r="K1" s="201" t="s">
        <v>114</v>
      </c>
      <c r="L1" s="201" t="s">
        <v>144</v>
      </c>
      <c r="M1" s="202" t="s">
        <v>263</v>
      </c>
      <c r="N1" s="203" t="s">
        <v>265</v>
      </c>
    </row>
    <row r="2" spans="1:14" x14ac:dyDescent="0.2">
      <c r="A2" s="14">
        <f>[1]sales!A7</f>
        <v>46076</v>
      </c>
      <c r="B2" s="188">
        <f>[1]sales!B7</f>
        <v>0.69208333333333338</v>
      </c>
      <c r="C2" s="184" t="s">
        <v>49</v>
      </c>
      <c r="D2" s="14" t="str">
        <f>[1]sales!D7</f>
        <v xml:space="preserve"> Chorizo con papa/arepa</v>
      </c>
      <c r="E2" s="3">
        <f>+[1]sales!G7</f>
        <v>2</v>
      </c>
      <c r="F2" s="195">
        <f>+_xlfn.XLOOKUP(sales[[#This Row],[Fecha]],OPEX_SALES!A:A,OPEX_SALES!B:B)</f>
        <v>1</v>
      </c>
      <c r="G2" s="14" t="str">
        <f>+_xlfn.XLOOKUP(sales[[#This Row],[Fecha]],OPEX_SALES!A:A,OPEX_SALES!E:E)</f>
        <v>A) Día hábil</v>
      </c>
      <c r="H2" s="14" t="str">
        <f>+TEXT(sales[[#This Row],[Fecha]],"ddd")</f>
        <v>lun</v>
      </c>
      <c r="I2" s="185">
        <f>+sales[[#This Row],[Venta]]-sales[[#This Row],[costo_venta]]</f>
        <v>7320</v>
      </c>
      <c r="J2" s="101">
        <f>[1]sales!K7</f>
        <v>16000</v>
      </c>
      <c r="K2" s="79">
        <f>[1]sales!I7</f>
        <v>16000</v>
      </c>
      <c r="L2" s="52">
        <f>[1]sales!J7</f>
        <v>0</v>
      </c>
      <c r="M2" s="1">
        <f>[1]sales!L7*sales[[#This Row],[cantidad]]</f>
        <v>8680</v>
      </c>
      <c r="N2" s="37">
        <f>+(sales[[#This Row],[Venta]]-sales[[#This Row],[costo_venta]])/sales[[#This Row],[Venta]]</f>
        <v>0.45750000000000002</v>
      </c>
    </row>
    <row r="3" spans="1:14" x14ac:dyDescent="0.2">
      <c r="A3" s="14">
        <f>[1]sales!A8</f>
        <v>46076</v>
      </c>
      <c r="B3" s="188">
        <f>[1]sales!B8</f>
        <v>0.70967592592592588</v>
      </c>
      <c r="C3" s="184" t="s">
        <v>49</v>
      </c>
      <c r="D3" s="14" t="str">
        <f>[1]sales!D8</f>
        <v xml:space="preserve"> Chorizo con papa/arepa</v>
      </c>
      <c r="E3" s="3">
        <f>+[1]sales!G8</f>
        <v>1</v>
      </c>
      <c r="F3" s="195">
        <f>+_xlfn.XLOOKUP(sales[[#This Row],[Fecha]],OPEX_SALES!A:A,OPEX_SALES!B:B)</f>
        <v>1</v>
      </c>
      <c r="G3" s="14" t="str">
        <f>+_xlfn.XLOOKUP(sales[[#This Row],[Fecha]],OPEX_SALES!A:A,OPEX_SALES!E:E)</f>
        <v>A) Día hábil</v>
      </c>
      <c r="H3" s="14" t="str">
        <f>+TEXT(sales[[#This Row],[Fecha]],"ddd")</f>
        <v>lun</v>
      </c>
      <c r="I3" s="185">
        <f>+sales[[#This Row],[Venta]]-sales[[#This Row],[costo_venta]]</f>
        <v>3660</v>
      </c>
      <c r="J3" s="101">
        <f>[1]sales!K8</f>
        <v>8000</v>
      </c>
      <c r="K3" s="79">
        <f>[1]sales!I8</f>
        <v>0</v>
      </c>
      <c r="L3" s="52"/>
      <c r="M3" s="1">
        <f>[1]sales!L8*sales[[#This Row],[cantidad]]</f>
        <v>4340</v>
      </c>
      <c r="N3" s="37">
        <f>+(sales[[#This Row],[Venta]]-sales[[#This Row],[costo_venta]])/sales[[#This Row],[Venta]]</f>
        <v>0.45750000000000002</v>
      </c>
    </row>
    <row r="4" spans="1:14" x14ac:dyDescent="0.2">
      <c r="A4" s="14">
        <f>[1]sales!A9</f>
        <v>46076</v>
      </c>
      <c r="B4" s="188">
        <f>[1]sales!B9</f>
        <v>0.71737268518518515</v>
      </c>
      <c r="C4" s="184" t="s">
        <v>49</v>
      </c>
      <c r="D4" s="14" t="str">
        <f>[1]sales!D9</f>
        <v xml:space="preserve"> Chorizo con papa/arepa</v>
      </c>
      <c r="E4" s="3">
        <f>+[1]sales!G9</f>
        <v>2</v>
      </c>
      <c r="F4" s="195">
        <f>+_xlfn.XLOOKUP(sales[[#This Row],[Fecha]],OPEX_SALES!A:A,OPEX_SALES!B:B)</f>
        <v>1</v>
      </c>
      <c r="G4" s="14" t="str">
        <f>+_xlfn.XLOOKUP(sales[[#This Row],[Fecha]],OPEX_SALES!A:A,OPEX_SALES!E:E)</f>
        <v>A) Día hábil</v>
      </c>
      <c r="H4" s="14" t="str">
        <f>+TEXT(sales[[#This Row],[Fecha]],"ddd")</f>
        <v>lun</v>
      </c>
      <c r="I4" s="185">
        <f>+sales[[#This Row],[Venta]]-sales[[#This Row],[costo_venta]]</f>
        <v>7320</v>
      </c>
      <c r="J4" s="101">
        <f>[1]sales!K9</f>
        <v>16000</v>
      </c>
      <c r="K4" s="79">
        <f>[1]sales!I9</f>
        <v>16000</v>
      </c>
      <c r="L4" s="52">
        <f>[1]sales!J9</f>
        <v>0</v>
      </c>
      <c r="M4" s="1">
        <f>[1]sales!L9*sales[[#This Row],[cantidad]]</f>
        <v>8680</v>
      </c>
      <c r="N4" s="37">
        <f>+(sales[[#This Row],[Venta]]-sales[[#This Row],[costo_venta]])/sales[[#This Row],[Venta]]</f>
        <v>0.45750000000000002</v>
      </c>
    </row>
    <row r="5" spans="1:14" x14ac:dyDescent="0.2">
      <c r="A5" s="14">
        <f>[1]sales!A10</f>
        <v>46076</v>
      </c>
      <c r="B5" s="188">
        <f>[1]sales!B10</f>
        <v>0.71737268518518515</v>
      </c>
      <c r="C5" s="184" t="s">
        <v>49</v>
      </c>
      <c r="D5" s="14" t="str">
        <f>[1]sales!D10</f>
        <v>BEBIDA - Coca Cola</v>
      </c>
      <c r="E5" s="3">
        <f>+[1]sales!G10</f>
        <v>2</v>
      </c>
      <c r="F5" s="195">
        <f>+_xlfn.XLOOKUP(sales[[#This Row],[Fecha]],OPEX_SALES!A:A,OPEX_SALES!B:B)</f>
        <v>1</v>
      </c>
      <c r="G5" s="14" t="str">
        <f>+_xlfn.XLOOKUP(sales[[#This Row],[Fecha]],OPEX_SALES!A:A,OPEX_SALES!E:E)</f>
        <v>A) Día hábil</v>
      </c>
      <c r="H5" s="14" t="str">
        <f>+TEXT(sales[[#This Row],[Fecha]],"ddd")</f>
        <v>lun</v>
      </c>
      <c r="I5" s="185">
        <f>+sales[[#This Row],[Venta]]-sales[[#This Row],[costo_venta]]</f>
        <v>3600</v>
      </c>
      <c r="J5" s="101">
        <f>[1]sales!K10</f>
        <v>6000</v>
      </c>
      <c r="K5" s="79">
        <f>[1]sales!I10</f>
        <v>6000</v>
      </c>
      <c r="L5" s="52">
        <f>[1]sales!J10</f>
        <v>0</v>
      </c>
      <c r="M5" s="1">
        <f>[1]sales!L10*sales[[#This Row],[cantidad]]</f>
        <v>2400</v>
      </c>
      <c r="N5" s="37">
        <f>+(sales[[#This Row],[Venta]]-sales[[#This Row],[costo_venta]])/sales[[#This Row],[Venta]]</f>
        <v>0.6</v>
      </c>
    </row>
    <row r="6" spans="1:14" x14ac:dyDescent="0.2">
      <c r="A6" s="14">
        <f>[1]sales!A11</f>
        <v>46076</v>
      </c>
      <c r="B6" s="188">
        <f>[1]sales!B11</f>
        <v>0.72047453703703701</v>
      </c>
      <c r="C6" s="184" t="s">
        <v>49</v>
      </c>
      <c r="D6" s="14" t="str">
        <f>[1]sales!D11</f>
        <v xml:space="preserve"> Chorizo con papa/arepa</v>
      </c>
      <c r="E6" s="3">
        <f>+[1]sales!G11</f>
        <v>3</v>
      </c>
      <c r="F6" s="195">
        <f>+_xlfn.XLOOKUP(sales[[#This Row],[Fecha]],OPEX_SALES!A:A,OPEX_SALES!B:B)</f>
        <v>1</v>
      </c>
      <c r="G6" s="14" t="str">
        <f>+_xlfn.XLOOKUP(sales[[#This Row],[Fecha]],OPEX_SALES!A:A,OPEX_SALES!E:E)</f>
        <v>A) Día hábil</v>
      </c>
      <c r="H6" s="14" t="str">
        <f>+TEXT(sales[[#This Row],[Fecha]],"ddd")</f>
        <v>lun</v>
      </c>
      <c r="I6" s="185">
        <f>+sales[[#This Row],[Venta]]-sales[[#This Row],[costo_venta]]</f>
        <v>10980</v>
      </c>
      <c r="J6" s="101">
        <f>[1]sales!K11</f>
        <v>24000</v>
      </c>
      <c r="K6" s="79">
        <f>[1]sales!I11</f>
        <v>0</v>
      </c>
      <c r="L6" s="52">
        <f>[1]sales!J11</f>
        <v>24000</v>
      </c>
      <c r="M6" s="1">
        <f>[1]sales!L11*sales[[#This Row],[cantidad]]</f>
        <v>13020</v>
      </c>
      <c r="N6" s="37">
        <f>+(sales[[#This Row],[Venta]]-sales[[#This Row],[costo_venta]])/sales[[#This Row],[Venta]]</f>
        <v>0.45750000000000002</v>
      </c>
    </row>
    <row r="7" spans="1:14" x14ac:dyDescent="0.2">
      <c r="A7" s="14">
        <f>[1]sales!A12</f>
        <v>46076</v>
      </c>
      <c r="B7" s="188">
        <f>[1]sales!B12</f>
        <v>0.75028935185185186</v>
      </c>
      <c r="C7" s="184" t="s">
        <v>49</v>
      </c>
      <c r="D7" s="14" t="str">
        <f>[1]sales!D12</f>
        <v xml:space="preserve"> Chorizo con papa/arepa</v>
      </c>
      <c r="E7" s="3">
        <f>+[1]sales!G12</f>
        <v>2</v>
      </c>
      <c r="F7" s="195">
        <f>+_xlfn.XLOOKUP(sales[[#This Row],[Fecha]],OPEX_SALES!A:A,OPEX_SALES!B:B)</f>
        <v>1</v>
      </c>
      <c r="G7" s="14" t="str">
        <f>+_xlfn.XLOOKUP(sales[[#This Row],[Fecha]],OPEX_SALES!A:A,OPEX_SALES!E:E)</f>
        <v>A) Día hábil</v>
      </c>
      <c r="H7" s="14" t="str">
        <f>+TEXT(sales[[#This Row],[Fecha]],"ddd")</f>
        <v>lun</v>
      </c>
      <c r="I7" s="185">
        <f>+sales[[#This Row],[Venta]]-sales[[#This Row],[costo_venta]]</f>
        <v>7320</v>
      </c>
      <c r="J7" s="101">
        <f>[1]sales!K12</f>
        <v>16000</v>
      </c>
      <c r="K7" s="79">
        <f>[1]sales!I12</f>
        <v>16000</v>
      </c>
      <c r="L7" s="52">
        <f>[1]sales!J12</f>
        <v>0</v>
      </c>
      <c r="M7" s="1">
        <f>[1]sales!L12*sales[[#This Row],[cantidad]]</f>
        <v>8680</v>
      </c>
      <c r="N7" s="37">
        <f>+(sales[[#This Row],[Venta]]-sales[[#This Row],[costo_venta]])/sales[[#This Row],[Venta]]</f>
        <v>0.45750000000000002</v>
      </c>
    </row>
    <row r="8" spans="1:14" x14ac:dyDescent="0.2">
      <c r="A8" s="14">
        <f>[1]sales!A13</f>
        <v>46076</v>
      </c>
      <c r="B8" s="188">
        <f>[1]sales!B13</f>
        <v>0.75028935185185186</v>
      </c>
      <c r="C8" s="184" t="s">
        <v>49</v>
      </c>
      <c r="D8" s="14" t="str">
        <f>[1]sales!D13</f>
        <v>BEBIDA - Botella de Agua</v>
      </c>
      <c r="E8" s="3">
        <f>+[1]sales!G13</f>
        <v>2</v>
      </c>
      <c r="F8" s="195">
        <f>+_xlfn.XLOOKUP(sales[[#This Row],[Fecha]],OPEX_SALES!A:A,OPEX_SALES!B:B)</f>
        <v>1</v>
      </c>
      <c r="G8" s="14" t="str">
        <f>+_xlfn.XLOOKUP(sales[[#This Row],[Fecha]],OPEX_SALES!A:A,OPEX_SALES!E:E)</f>
        <v>A) Día hábil</v>
      </c>
      <c r="H8" s="14" t="str">
        <f>+TEXT(sales[[#This Row],[Fecha]],"ddd")</f>
        <v>lun</v>
      </c>
      <c r="I8" s="185">
        <f>+sales[[#This Row],[Venta]]-sales[[#This Row],[costo_venta]]</f>
        <v>4166.66</v>
      </c>
      <c r="J8" s="101">
        <f>[1]sales!K13</f>
        <v>7000</v>
      </c>
      <c r="K8" s="79">
        <f>[1]sales!I13</f>
        <v>7000</v>
      </c>
      <c r="L8" s="52">
        <f>[1]sales!J13</f>
        <v>0</v>
      </c>
      <c r="M8" s="1">
        <f>[1]sales!L13*sales[[#This Row],[cantidad]]</f>
        <v>2833.34</v>
      </c>
      <c r="N8" s="37">
        <f>+(sales[[#This Row],[Venta]]-sales[[#This Row],[costo_venta]])/sales[[#This Row],[Venta]]</f>
        <v>0.5952371428571428</v>
      </c>
    </row>
    <row r="9" spans="1:14" x14ac:dyDescent="0.2">
      <c r="A9" s="14">
        <f>[1]sales!A14</f>
        <v>46076</v>
      </c>
      <c r="B9" s="188">
        <f>[1]sales!B14</f>
        <v>0.7519675925925926</v>
      </c>
      <c r="C9" s="184" t="s">
        <v>49</v>
      </c>
      <c r="D9" s="14" t="str">
        <f>[1]sales!D14</f>
        <v xml:space="preserve"> Chorizo con papa/arepa</v>
      </c>
      <c r="E9" s="3">
        <f>+[1]sales!G14</f>
        <v>2</v>
      </c>
      <c r="F9" s="195">
        <f>+_xlfn.XLOOKUP(sales[[#This Row],[Fecha]],OPEX_SALES!A:A,OPEX_SALES!B:B)</f>
        <v>1</v>
      </c>
      <c r="G9" s="14" t="str">
        <f>+_xlfn.XLOOKUP(sales[[#This Row],[Fecha]],OPEX_SALES!A:A,OPEX_SALES!E:E)</f>
        <v>A) Día hábil</v>
      </c>
      <c r="H9" s="14" t="str">
        <f>+TEXT(sales[[#This Row],[Fecha]],"ddd")</f>
        <v>lun</v>
      </c>
      <c r="I9" s="185">
        <f>+sales[[#This Row],[Venta]]-sales[[#This Row],[costo_venta]]</f>
        <v>7320</v>
      </c>
      <c r="J9" s="101">
        <f>[1]sales!K14</f>
        <v>16000</v>
      </c>
      <c r="K9" s="79">
        <f>[1]sales!I14</f>
        <v>16000</v>
      </c>
      <c r="L9" s="52">
        <f>[1]sales!J14</f>
        <v>0</v>
      </c>
      <c r="M9" s="1">
        <f>[1]sales!L14*sales[[#This Row],[cantidad]]</f>
        <v>8680</v>
      </c>
      <c r="N9" s="37">
        <f>+(sales[[#This Row],[Venta]]-sales[[#This Row],[costo_venta]])/sales[[#This Row],[Venta]]</f>
        <v>0.45750000000000002</v>
      </c>
    </row>
    <row r="10" spans="1:14" x14ac:dyDescent="0.2">
      <c r="A10" s="14">
        <f>[1]sales!A15</f>
        <v>46076</v>
      </c>
      <c r="B10" s="188">
        <f>[1]sales!B15</f>
        <v>0.7519675925925926</v>
      </c>
      <c r="C10" s="184" t="s">
        <v>49</v>
      </c>
      <c r="D10" s="14" t="str">
        <f>[1]sales!D15</f>
        <v>BEBIDA - Postobón</v>
      </c>
      <c r="E10" s="3">
        <f>+[1]sales!G15</f>
        <v>1</v>
      </c>
      <c r="F10" s="195">
        <f>+_xlfn.XLOOKUP(sales[[#This Row],[Fecha]],OPEX_SALES!A:A,OPEX_SALES!B:B)</f>
        <v>1</v>
      </c>
      <c r="G10" s="14" t="str">
        <f>+_xlfn.XLOOKUP(sales[[#This Row],[Fecha]],OPEX_SALES!A:A,OPEX_SALES!E:E)</f>
        <v>A) Día hábil</v>
      </c>
      <c r="H10" s="14" t="str">
        <f>+TEXT(sales[[#This Row],[Fecha]],"ddd")</f>
        <v>lun</v>
      </c>
      <c r="I10" s="185">
        <f>+sales[[#This Row],[Venta]]-sales[[#This Row],[costo_venta]]</f>
        <v>1866.67</v>
      </c>
      <c r="J10" s="101">
        <f>[1]sales!K15</f>
        <v>3000</v>
      </c>
      <c r="K10" s="79">
        <f>[1]sales!I15</f>
        <v>3000</v>
      </c>
      <c r="L10" s="52">
        <f>[1]sales!J15</f>
        <v>0</v>
      </c>
      <c r="M10" s="1">
        <f>[1]sales!L15*sales[[#This Row],[cantidad]]</f>
        <v>1133.33</v>
      </c>
      <c r="N10" s="37">
        <f>+(sales[[#This Row],[Venta]]-sales[[#This Row],[costo_venta]])/sales[[#This Row],[Venta]]</f>
        <v>0.62222333333333335</v>
      </c>
    </row>
    <row r="11" spans="1:14" x14ac:dyDescent="0.2">
      <c r="A11" s="14">
        <f>[1]sales!A16</f>
        <v>46076</v>
      </c>
      <c r="B11" s="188">
        <f>[1]sales!B16</f>
        <v>0.78722222222222227</v>
      </c>
      <c r="C11" s="184" t="s">
        <v>49</v>
      </c>
      <c r="D11" s="14" t="str">
        <f>[1]sales!D16</f>
        <v xml:space="preserve"> Chorizo con papa/arepa</v>
      </c>
      <c r="E11" s="3">
        <f>+[1]sales!G16</f>
        <v>1</v>
      </c>
      <c r="F11" s="195">
        <f>+_xlfn.XLOOKUP(sales[[#This Row],[Fecha]],OPEX_SALES!A:A,OPEX_SALES!B:B)</f>
        <v>1</v>
      </c>
      <c r="G11" s="14" t="str">
        <f>+_xlfn.XLOOKUP(sales[[#This Row],[Fecha]],OPEX_SALES!A:A,OPEX_SALES!E:E)</f>
        <v>A) Día hábil</v>
      </c>
      <c r="H11" s="14" t="str">
        <f>+TEXT(sales[[#This Row],[Fecha]],"ddd")</f>
        <v>lun</v>
      </c>
      <c r="I11" s="185">
        <f>+sales[[#This Row],[Venta]]-sales[[#This Row],[costo_venta]]</f>
        <v>3660</v>
      </c>
      <c r="J11" s="101">
        <f>[1]sales!K16</f>
        <v>8000</v>
      </c>
      <c r="K11" s="79">
        <f>[1]sales!I16</f>
        <v>8000</v>
      </c>
      <c r="L11" s="52">
        <f>[1]sales!J16</f>
        <v>0</v>
      </c>
      <c r="M11" s="1">
        <f>[1]sales!L16*sales[[#This Row],[cantidad]]</f>
        <v>4340</v>
      </c>
      <c r="N11" s="37">
        <f>+(sales[[#This Row],[Venta]]-sales[[#This Row],[costo_venta]])/sales[[#This Row],[Venta]]</f>
        <v>0.45750000000000002</v>
      </c>
    </row>
    <row r="12" spans="1:14" x14ac:dyDescent="0.2">
      <c r="A12" s="14">
        <f>[1]sales!A17</f>
        <v>46076</v>
      </c>
      <c r="B12" s="188">
        <f>[1]sales!B17</f>
        <v>0.79547453703703708</v>
      </c>
      <c r="C12" s="184" t="s">
        <v>49</v>
      </c>
      <c r="D12" s="14" t="str">
        <f>[1]sales!D17</f>
        <v xml:space="preserve"> Chorizo con papa/arepa</v>
      </c>
      <c r="E12" s="3">
        <f>+[1]sales!G17</f>
        <v>2</v>
      </c>
      <c r="F12" s="195">
        <f>+_xlfn.XLOOKUP(sales[[#This Row],[Fecha]],OPEX_SALES!A:A,OPEX_SALES!B:B)</f>
        <v>1</v>
      </c>
      <c r="G12" s="14" t="str">
        <f>+_xlfn.XLOOKUP(sales[[#This Row],[Fecha]],OPEX_SALES!A:A,OPEX_SALES!E:E)</f>
        <v>A) Día hábil</v>
      </c>
      <c r="H12" s="14" t="str">
        <f>+TEXT(sales[[#This Row],[Fecha]],"ddd")</f>
        <v>lun</v>
      </c>
      <c r="I12" s="185">
        <f>+sales[[#This Row],[Venta]]-sales[[#This Row],[costo_venta]]</f>
        <v>7320</v>
      </c>
      <c r="J12" s="101">
        <f>[1]sales!K17</f>
        <v>16000</v>
      </c>
      <c r="K12" s="79">
        <f>[1]sales!I17</f>
        <v>16000</v>
      </c>
      <c r="L12" s="52">
        <f>[1]sales!J17</f>
        <v>0</v>
      </c>
      <c r="M12" s="1">
        <f>[1]sales!L17*sales[[#This Row],[cantidad]]</f>
        <v>8680</v>
      </c>
      <c r="N12" s="37">
        <f>+(sales[[#This Row],[Venta]]-sales[[#This Row],[costo_venta]])/sales[[#This Row],[Venta]]</f>
        <v>0.45750000000000002</v>
      </c>
    </row>
    <row r="13" spans="1:14" x14ac:dyDescent="0.2">
      <c r="A13" s="14">
        <f>[1]sales!A18</f>
        <v>46076</v>
      </c>
      <c r="B13" s="188">
        <f>[1]sales!B18</f>
        <v>0.79547453703703708</v>
      </c>
      <c r="C13" s="184" t="s">
        <v>49</v>
      </c>
      <c r="D13" s="14" t="str">
        <f>[1]sales!D18</f>
        <v>BEBIDA - Coca Cola</v>
      </c>
      <c r="E13" s="3">
        <f>+[1]sales!G18</f>
        <v>2</v>
      </c>
      <c r="F13" s="195">
        <f>+_xlfn.XLOOKUP(sales[[#This Row],[Fecha]],OPEX_SALES!A:A,OPEX_SALES!B:B)</f>
        <v>1</v>
      </c>
      <c r="G13" s="14" t="str">
        <f>+_xlfn.XLOOKUP(sales[[#This Row],[Fecha]],OPEX_SALES!A:A,OPEX_SALES!E:E)</f>
        <v>A) Día hábil</v>
      </c>
      <c r="H13" s="14" t="str">
        <f>+TEXT(sales[[#This Row],[Fecha]],"ddd")</f>
        <v>lun</v>
      </c>
      <c r="I13" s="185">
        <f>+sales[[#This Row],[Venta]]-sales[[#This Row],[costo_venta]]</f>
        <v>3600</v>
      </c>
      <c r="J13" s="101">
        <f>[1]sales!K18</f>
        <v>6000</v>
      </c>
      <c r="K13" s="79">
        <f>[1]sales!I18</f>
        <v>6000</v>
      </c>
      <c r="L13" s="52">
        <f>[1]sales!J18</f>
        <v>0</v>
      </c>
      <c r="M13" s="1">
        <f>[1]sales!L18*sales[[#This Row],[cantidad]]</f>
        <v>2400</v>
      </c>
      <c r="N13" s="37">
        <f>+(sales[[#This Row],[Venta]]-sales[[#This Row],[costo_venta]])/sales[[#This Row],[Venta]]</f>
        <v>0.6</v>
      </c>
    </row>
    <row r="14" spans="1:14" x14ac:dyDescent="0.2">
      <c r="A14" s="14">
        <f>[1]sales!A19</f>
        <v>46076</v>
      </c>
      <c r="B14" s="188">
        <f>[1]sales!B19</f>
        <v>0.81828703703703709</v>
      </c>
      <c r="C14" s="184" t="s">
        <v>49</v>
      </c>
      <c r="D14" s="14" t="str">
        <f>[1]sales!D19</f>
        <v xml:space="preserve"> Chorizo con papa/arepa</v>
      </c>
      <c r="E14" s="3">
        <f>+[1]sales!G19</f>
        <v>3</v>
      </c>
      <c r="F14" s="195">
        <f>+_xlfn.XLOOKUP(sales[[#This Row],[Fecha]],OPEX_SALES!A:A,OPEX_SALES!B:B)</f>
        <v>1</v>
      </c>
      <c r="G14" s="14" t="str">
        <f>+_xlfn.XLOOKUP(sales[[#This Row],[Fecha]],OPEX_SALES!A:A,OPEX_SALES!E:E)</f>
        <v>A) Día hábil</v>
      </c>
      <c r="H14" s="14" t="str">
        <f>+TEXT(sales[[#This Row],[Fecha]],"ddd")</f>
        <v>lun</v>
      </c>
      <c r="I14" s="185">
        <f>+sales[[#This Row],[Venta]]-sales[[#This Row],[costo_venta]]</f>
        <v>10980</v>
      </c>
      <c r="J14" s="101">
        <f>[1]sales!K19</f>
        <v>24000</v>
      </c>
      <c r="K14" s="79">
        <f>[1]sales!I19</f>
        <v>24000</v>
      </c>
      <c r="L14" s="52">
        <f>[1]sales!J19</f>
        <v>0</v>
      </c>
      <c r="M14" s="1">
        <f>[1]sales!L19*sales[[#This Row],[cantidad]]</f>
        <v>13020</v>
      </c>
      <c r="N14" s="37">
        <f>+(sales[[#This Row],[Venta]]-sales[[#This Row],[costo_venta]])/sales[[#This Row],[Venta]]</f>
        <v>0.45750000000000002</v>
      </c>
    </row>
    <row r="15" spans="1:14" x14ac:dyDescent="0.2">
      <c r="A15" s="14">
        <f>[1]sales!A20</f>
        <v>46076</v>
      </c>
      <c r="B15" s="188">
        <f>[1]sales!B20</f>
        <v>0.84164351851851849</v>
      </c>
      <c r="C15" s="184" t="s">
        <v>49</v>
      </c>
      <c r="D15" s="14" t="str">
        <f>[1]sales!D20</f>
        <v xml:space="preserve"> Chorizo con papa/arepa</v>
      </c>
      <c r="E15" s="3">
        <f>+[1]sales!G20</f>
        <v>1</v>
      </c>
      <c r="F15" s="195">
        <f>+_xlfn.XLOOKUP(sales[[#This Row],[Fecha]],OPEX_SALES!A:A,OPEX_SALES!B:B)</f>
        <v>1</v>
      </c>
      <c r="G15" s="14" t="str">
        <f>+_xlfn.XLOOKUP(sales[[#This Row],[Fecha]],OPEX_SALES!A:A,OPEX_SALES!E:E)</f>
        <v>A) Día hábil</v>
      </c>
      <c r="H15" s="14" t="str">
        <f>+TEXT(sales[[#This Row],[Fecha]],"ddd")</f>
        <v>lun</v>
      </c>
      <c r="I15" s="185">
        <f>+sales[[#This Row],[Venta]]-sales[[#This Row],[costo_venta]]</f>
        <v>3660</v>
      </c>
      <c r="J15" s="101">
        <f>[1]sales!K20</f>
        <v>8000</v>
      </c>
      <c r="K15" s="79">
        <f>[1]sales!I20</f>
        <v>8000</v>
      </c>
      <c r="L15" s="52">
        <f>[1]sales!J20</f>
        <v>0</v>
      </c>
      <c r="M15" s="1">
        <f>[1]sales!L20*sales[[#This Row],[cantidad]]</f>
        <v>4340</v>
      </c>
      <c r="N15" s="37">
        <f>+(sales[[#This Row],[Venta]]-sales[[#This Row],[costo_venta]])/sales[[#This Row],[Venta]]</f>
        <v>0.45750000000000002</v>
      </c>
    </row>
    <row r="16" spans="1:14" x14ac:dyDescent="0.2">
      <c r="A16" s="14">
        <f>[1]sales!A21</f>
        <v>46076</v>
      </c>
      <c r="B16" s="188">
        <f>[1]sales!B21</f>
        <v>0.84385416666666668</v>
      </c>
      <c r="C16" s="184" t="s">
        <v>49</v>
      </c>
      <c r="D16" s="14" t="str">
        <f>[1]sales!D21</f>
        <v xml:space="preserve"> Chorizo con papa/arepa</v>
      </c>
      <c r="E16" s="3">
        <f>+[1]sales!G21</f>
        <v>1</v>
      </c>
      <c r="F16" s="195">
        <f>+_xlfn.XLOOKUP(sales[[#This Row],[Fecha]],OPEX_SALES!A:A,OPEX_SALES!B:B)</f>
        <v>1</v>
      </c>
      <c r="G16" s="14" t="str">
        <f>+_xlfn.XLOOKUP(sales[[#This Row],[Fecha]],OPEX_SALES!A:A,OPEX_SALES!E:E)</f>
        <v>A) Día hábil</v>
      </c>
      <c r="H16" s="14" t="str">
        <f>+TEXT(sales[[#This Row],[Fecha]],"ddd")</f>
        <v>lun</v>
      </c>
      <c r="I16" s="185">
        <f>+sales[[#This Row],[Venta]]-sales[[#This Row],[costo_venta]]</f>
        <v>3660</v>
      </c>
      <c r="J16" s="101">
        <f>[1]sales!K21</f>
        <v>8000</v>
      </c>
      <c r="K16" s="79">
        <f>[1]sales!I21</f>
        <v>8000</v>
      </c>
      <c r="L16" s="52">
        <f>[1]sales!J21</f>
        <v>0</v>
      </c>
      <c r="M16" s="1">
        <f>[1]sales!L21*sales[[#This Row],[cantidad]]</f>
        <v>4340</v>
      </c>
      <c r="N16" s="37">
        <f>+(sales[[#This Row],[Venta]]-sales[[#This Row],[costo_venta]])/sales[[#This Row],[Venta]]</f>
        <v>0.45750000000000002</v>
      </c>
    </row>
    <row r="17" spans="1:15" x14ac:dyDescent="0.2">
      <c r="A17" s="14">
        <f>[1]sales!A22</f>
        <v>46076</v>
      </c>
      <c r="B17" s="188">
        <f>[1]sales!B22</f>
        <v>0.84565972222222219</v>
      </c>
      <c r="C17" s="184" t="s">
        <v>49</v>
      </c>
      <c r="D17" s="14" t="str">
        <f>[1]sales!D22</f>
        <v xml:space="preserve"> Chorizo con papa/arepa</v>
      </c>
      <c r="E17" s="3">
        <f>+[1]sales!G22</f>
        <v>1</v>
      </c>
      <c r="F17" s="195">
        <f>+_xlfn.XLOOKUP(sales[[#This Row],[Fecha]],OPEX_SALES!A:A,OPEX_SALES!B:B)</f>
        <v>1</v>
      </c>
      <c r="G17" s="14" t="str">
        <f>+_xlfn.XLOOKUP(sales[[#This Row],[Fecha]],OPEX_SALES!A:A,OPEX_SALES!E:E)</f>
        <v>A) Día hábil</v>
      </c>
      <c r="H17" s="14" t="str">
        <f>+TEXT(sales[[#This Row],[Fecha]],"ddd")</f>
        <v>lun</v>
      </c>
      <c r="I17" s="185">
        <f>+sales[[#This Row],[Venta]]-sales[[#This Row],[costo_venta]]</f>
        <v>3660</v>
      </c>
      <c r="J17" s="101">
        <f>[1]sales!K22</f>
        <v>8000</v>
      </c>
      <c r="K17" s="79">
        <f>[1]sales!I22</f>
        <v>8000</v>
      </c>
      <c r="L17" s="52">
        <f>[1]sales!J22</f>
        <v>0</v>
      </c>
      <c r="M17" s="1">
        <f>[1]sales!L22*sales[[#This Row],[cantidad]]</f>
        <v>4340</v>
      </c>
      <c r="N17" s="37">
        <f>+(sales[[#This Row],[Venta]]-sales[[#This Row],[costo_venta]])/sales[[#This Row],[Venta]]</f>
        <v>0.45750000000000002</v>
      </c>
    </row>
    <row r="18" spans="1:15" x14ac:dyDescent="0.2">
      <c r="A18" s="14">
        <f>[1]sales!A23</f>
        <v>46076</v>
      </c>
      <c r="B18" s="188">
        <f>[1]sales!B23</f>
        <v>0.84565972222222219</v>
      </c>
      <c r="C18" s="184" t="s">
        <v>49</v>
      </c>
      <c r="D18" s="14" t="str">
        <f>[1]sales!D23</f>
        <v>BEBIDA - Postobón</v>
      </c>
      <c r="E18" s="3">
        <f>+[1]sales!G23</f>
        <v>1</v>
      </c>
      <c r="F18" s="195">
        <f>+_xlfn.XLOOKUP(sales[[#This Row],[Fecha]],OPEX_SALES!A:A,OPEX_SALES!B:B)</f>
        <v>1</v>
      </c>
      <c r="G18" s="14" t="str">
        <f>+_xlfn.XLOOKUP(sales[[#This Row],[Fecha]],OPEX_SALES!A:A,OPEX_SALES!E:E)</f>
        <v>A) Día hábil</v>
      </c>
      <c r="H18" s="14" t="str">
        <f>+TEXT(sales[[#This Row],[Fecha]],"ddd")</f>
        <v>lun</v>
      </c>
      <c r="I18" s="185">
        <f>+sales[[#This Row],[Venta]]-sales[[#This Row],[costo_venta]]</f>
        <v>1866.67</v>
      </c>
      <c r="J18" s="101">
        <f>[1]sales!K23</f>
        <v>3000</v>
      </c>
      <c r="K18" s="79">
        <f>[1]sales!I23</f>
        <v>3000</v>
      </c>
      <c r="L18" s="52">
        <f>[1]sales!J23</f>
        <v>0</v>
      </c>
      <c r="M18" s="1">
        <f>[1]sales!L23*sales[[#This Row],[cantidad]]</f>
        <v>1133.33</v>
      </c>
      <c r="N18" s="37">
        <f>+(sales[[#This Row],[Venta]]-sales[[#This Row],[costo_venta]])/sales[[#This Row],[Venta]]</f>
        <v>0.62222333333333335</v>
      </c>
    </row>
    <row r="19" spans="1:15" x14ac:dyDescent="0.2">
      <c r="A19" s="14">
        <f>[1]sales!A24</f>
        <v>46076</v>
      </c>
      <c r="B19" s="188">
        <f>[1]sales!B24</f>
        <v>0.85024305555555557</v>
      </c>
      <c r="C19" s="184" t="s">
        <v>49</v>
      </c>
      <c r="D19" s="14" t="str">
        <f>[1]sales!D24</f>
        <v xml:space="preserve"> Chorizo con papa/arepa</v>
      </c>
      <c r="E19" s="3">
        <f>+[1]sales!G24</f>
        <v>3</v>
      </c>
      <c r="F19" s="195">
        <f>+_xlfn.XLOOKUP(sales[[#This Row],[Fecha]],OPEX_SALES!A:A,OPEX_SALES!B:B)</f>
        <v>1</v>
      </c>
      <c r="G19" s="14" t="str">
        <f>+_xlfn.XLOOKUP(sales[[#This Row],[Fecha]],OPEX_SALES!A:A,OPEX_SALES!E:E)</f>
        <v>A) Día hábil</v>
      </c>
      <c r="H19" s="14" t="str">
        <f>+TEXT(sales[[#This Row],[Fecha]],"ddd")</f>
        <v>lun</v>
      </c>
      <c r="I19" s="185">
        <f>+sales[[#This Row],[Venta]]-sales[[#This Row],[costo_venta]]</f>
        <v>10980</v>
      </c>
      <c r="J19" s="101">
        <f>[1]sales!K24</f>
        <v>24000</v>
      </c>
      <c r="K19" s="79">
        <f>[1]sales!I24</f>
        <v>24000</v>
      </c>
      <c r="L19" s="52">
        <f>[1]sales!J24</f>
        <v>0</v>
      </c>
      <c r="M19" s="1">
        <f>[1]sales!L24*sales[[#This Row],[cantidad]]</f>
        <v>13020</v>
      </c>
      <c r="N19" s="37">
        <f>+(sales[[#This Row],[Venta]]-sales[[#This Row],[costo_venta]])/sales[[#This Row],[Venta]]</f>
        <v>0.45750000000000002</v>
      </c>
    </row>
    <row r="20" spans="1:15" x14ac:dyDescent="0.2">
      <c r="A20" s="14">
        <f>[1]sales!A25</f>
        <v>46076</v>
      </c>
      <c r="B20" s="188">
        <f>[1]sales!B25</f>
        <v>0.85265046296296299</v>
      </c>
      <c r="C20" s="184" t="s">
        <v>49</v>
      </c>
      <c r="D20" s="14" t="str">
        <f>[1]sales!D25</f>
        <v xml:space="preserve"> Chorizo con papa/arepa</v>
      </c>
      <c r="E20" s="3">
        <f>+[1]sales!G25</f>
        <v>1</v>
      </c>
      <c r="F20" s="195">
        <f>+_xlfn.XLOOKUP(sales[[#This Row],[Fecha]],OPEX_SALES!A:A,OPEX_SALES!B:B)</f>
        <v>1</v>
      </c>
      <c r="G20" s="14" t="str">
        <f>+_xlfn.XLOOKUP(sales[[#This Row],[Fecha]],OPEX_SALES!A:A,OPEX_SALES!E:E)</f>
        <v>A) Día hábil</v>
      </c>
      <c r="H20" s="14" t="str">
        <f>+TEXT(sales[[#This Row],[Fecha]],"ddd")</f>
        <v>lun</v>
      </c>
      <c r="I20" s="185">
        <f>+sales[[#This Row],[Venta]]-sales[[#This Row],[costo_venta]]</f>
        <v>3660</v>
      </c>
      <c r="J20" s="101">
        <f>[1]sales!K25</f>
        <v>8000</v>
      </c>
      <c r="K20" s="79">
        <f>[1]sales!I25</f>
        <v>8000</v>
      </c>
      <c r="L20" s="52">
        <f>[1]sales!J25</f>
        <v>0</v>
      </c>
      <c r="M20" s="1">
        <f>[1]sales!L25*sales[[#This Row],[cantidad]]</f>
        <v>4340</v>
      </c>
      <c r="N20" s="37">
        <f>+(sales[[#This Row],[Venta]]-sales[[#This Row],[costo_venta]])/sales[[#This Row],[Venta]]</f>
        <v>0.45750000000000002</v>
      </c>
      <c r="O20" s="1"/>
    </row>
    <row r="21" spans="1:15" x14ac:dyDescent="0.2">
      <c r="A21" s="14">
        <f>[1]sales!A26</f>
        <v>46077</v>
      </c>
      <c r="B21" s="188">
        <f>[1]sales!B26</f>
        <v>0.64868055555555559</v>
      </c>
      <c r="C21" s="184" t="s">
        <v>49</v>
      </c>
      <c r="D21" s="14" t="str">
        <f>[1]sales!D26</f>
        <v xml:space="preserve"> Chorizo con papa/arepa</v>
      </c>
      <c r="E21" s="3">
        <f>+[1]sales!G26</f>
        <v>5</v>
      </c>
      <c r="F21" s="195">
        <f>+_xlfn.XLOOKUP(sales[[#This Row],[Fecha]],OPEX_SALES!A:A,OPEX_SALES!B:B)</f>
        <v>1</v>
      </c>
      <c r="G21" s="14" t="str">
        <f>+_xlfn.XLOOKUP(sales[[#This Row],[Fecha]],OPEX_SALES!A:A,OPEX_SALES!E:E)</f>
        <v>A) Día hábil</v>
      </c>
      <c r="H21" s="14" t="str">
        <f>+TEXT(sales[[#This Row],[Fecha]],"ddd")</f>
        <v>mar</v>
      </c>
      <c r="I21" s="185">
        <f>+sales[[#This Row],[Venta]]-sales[[#This Row],[costo_venta]]</f>
        <v>18300</v>
      </c>
      <c r="J21" s="101">
        <f>[1]sales!K26</f>
        <v>40000</v>
      </c>
      <c r="K21" s="79">
        <f>[1]sales!I26</f>
        <v>40000</v>
      </c>
      <c r="L21" s="52">
        <f>[1]sales!J26</f>
        <v>0</v>
      </c>
      <c r="M21" s="1">
        <f>[1]sales!L26*sales[[#This Row],[cantidad]]</f>
        <v>21700</v>
      </c>
      <c r="N21" s="37">
        <f>+(sales[[#This Row],[Venta]]-sales[[#This Row],[costo_venta]])/sales[[#This Row],[Venta]]</f>
        <v>0.45750000000000002</v>
      </c>
    </row>
    <row r="22" spans="1:15" x14ac:dyDescent="0.2">
      <c r="A22" s="14">
        <f>[1]sales!A27</f>
        <v>46077</v>
      </c>
      <c r="B22" s="188">
        <f>[1]sales!B27</f>
        <v>0.64935185185185185</v>
      </c>
      <c r="C22" s="184" t="s">
        <v>49</v>
      </c>
      <c r="D22" s="14" t="str">
        <f>[1]sales!D27</f>
        <v xml:space="preserve"> Chorizo con papa/arepa</v>
      </c>
      <c r="E22" s="3">
        <f>+[1]sales!G27</f>
        <v>3</v>
      </c>
      <c r="F22" s="195">
        <f>+_xlfn.XLOOKUP(sales[[#This Row],[Fecha]],OPEX_SALES!A:A,OPEX_SALES!B:B)</f>
        <v>1</v>
      </c>
      <c r="G22" s="14" t="str">
        <f>+_xlfn.XLOOKUP(sales[[#This Row],[Fecha]],OPEX_SALES!A:A,OPEX_SALES!E:E)</f>
        <v>A) Día hábil</v>
      </c>
      <c r="H22" s="14" t="str">
        <f>+TEXT(sales[[#This Row],[Fecha]],"ddd")</f>
        <v>mar</v>
      </c>
      <c r="I22" s="185">
        <f>+sales[[#This Row],[Venta]]-sales[[#This Row],[costo_venta]]</f>
        <v>10980</v>
      </c>
      <c r="J22" s="101">
        <f>[1]sales!K27</f>
        <v>24000</v>
      </c>
      <c r="K22" s="79">
        <f>[1]sales!I27</f>
        <v>24000</v>
      </c>
      <c r="L22" s="52">
        <f>[1]sales!J27</f>
        <v>0</v>
      </c>
      <c r="M22" s="1">
        <f>[1]sales!L27*sales[[#This Row],[cantidad]]</f>
        <v>13020</v>
      </c>
      <c r="N22" s="37">
        <f>+(sales[[#This Row],[Venta]]-sales[[#This Row],[costo_venta]])/sales[[#This Row],[Venta]]</f>
        <v>0.45750000000000002</v>
      </c>
    </row>
    <row r="23" spans="1:15" x14ac:dyDescent="0.2">
      <c r="A23" s="14">
        <f>[1]sales!A28</f>
        <v>46077</v>
      </c>
      <c r="B23" s="188">
        <f>[1]sales!B28</f>
        <v>0.74003472222222222</v>
      </c>
      <c r="C23" s="184" t="s">
        <v>49</v>
      </c>
      <c r="D23" s="14" t="str">
        <f>[1]sales!D28</f>
        <v xml:space="preserve"> Chorizo con papa/arepa</v>
      </c>
      <c r="E23" s="3">
        <f>+[1]sales!G28</f>
        <v>1</v>
      </c>
      <c r="F23" s="195">
        <f>+_xlfn.XLOOKUP(sales[[#This Row],[Fecha]],OPEX_SALES!A:A,OPEX_SALES!B:B)</f>
        <v>1</v>
      </c>
      <c r="G23" s="14" t="str">
        <f>+_xlfn.XLOOKUP(sales[[#This Row],[Fecha]],OPEX_SALES!A:A,OPEX_SALES!E:E)</f>
        <v>A) Día hábil</v>
      </c>
      <c r="H23" s="14" t="str">
        <f>+TEXT(sales[[#This Row],[Fecha]],"ddd")</f>
        <v>mar</v>
      </c>
      <c r="I23" s="185">
        <f>+sales[[#This Row],[Venta]]-sales[[#This Row],[costo_venta]]</f>
        <v>3660</v>
      </c>
      <c r="J23" s="101">
        <f>[1]sales!K28</f>
        <v>8000</v>
      </c>
      <c r="K23" s="79">
        <f>[1]sales!I28</f>
        <v>8000</v>
      </c>
      <c r="L23" s="52">
        <f>[1]sales!J28</f>
        <v>0</v>
      </c>
      <c r="M23" s="1">
        <f>[1]sales!L28*sales[[#This Row],[cantidad]]</f>
        <v>4340</v>
      </c>
      <c r="N23" s="37">
        <f>+(sales[[#This Row],[Venta]]-sales[[#This Row],[costo_venta]])/sales[[#This Row],[Venta]]</f>
        <v>0.45750000000000002</v>
      </c>
    </row>
    <row r="24" spans="1:15" x14ac:dyDescent="0.2">
      <c r="A24" s="14">
        <f>[1]sales!A29</f>
        <v>46077</v>
      </c>
      <c r="B24" s="188">
        <f>[1]sales!B29</f>
        <v>0.75960648148148147</v>
      </c>
      <c r="C24" s="184" t="s">
        <v>49</v>
      </c>
      <c r="D24" s="14" t="str">
        <f>[1]sales!D29</f>
        <v xml:space="preserve"> Chorizo con papa/arepa</v>
      </c>
      <c r="E24" s="3">
        <f>+[1]sales!G29</f>
        <v>1</v>
      </c>
      <c r="F24" s="195">
        <f>+_xlfn.XLOOKUP(sales[[#This Row],[Fecha]],OPEX_SALES!A:A,OPEX_SALES!B:B)</f>
        <v>1</v>
      </c>
      <c r="G24" s="14" t="str">
        <f>+_xlfn.XLOOKUP(sales[[#This Row],[Fecha]],OPEX_SALES!A:A,OPEX_SALES!E:E)</f>
        <v>A) Día hábil</v>
      </c>
      <c r="H24" s="14" t="str">
        <f>+TEXT(sales[[#This Row],[Fecha]],"ddd")</f>
        <v>mar</v>
      </c>
      <c r="I24" s="185">
        <f>+sales[[#This Row],[Venta]]-sales[[#This Row],[costo_venta]]</f>
        <v>3660</v>
      </c>
      <c r="J24" s="101">
        <f>[1]sales!K29</f>
        <v>8000</v>
      </c>
      <c r="K24" s="79">
        <f>[1]sales!I29</f>
        <v>8000</v>
      </c>
      <c r="L24" s="52">
        <f>[1]sales!J29</f>
        <v>0</v>
      </c>
      <c r="M24" s="1">
        <f>[1]sales!L29*sales[[#This Row],[cantidad]]</f>
        <v>4340</v>
      </c>
      <c r="N24" s="37">
        <f>+(sales[[#This Row],[Venta]]-sales[[#This Row],[costo_venta]])/sales[[#This Row],[Venta]]</f>
        <v>0.45750000000000002</v>
      </c>
    </row>
    <row r="25" spans="1:15" x14ac:dyDescent="0.2">
      <c r="A25" s="14">
        <f>[1]sales!A30</f>
        <v>46077</v>
      </c>
      <c r="B25" s="188">
        <f>[1]sales!B30</f>
        <v>0.77417824074074071</v>
      </c>
      <c r="C25" s="184" t="s">
        <v>49</v>
      </c>
      <c r="D25" s="14" t="str">
        <f>[1]sales!D30</f>
        <v xml:space="preserve"> Chorizo con papa/arepa</v>
      </c>
      <c r="E25" s="3">
        <f>+[1]sales!G30</f>
        <v>2</v>
      </c>
      <c r="F25" s="195">
        <f>+_xlfn.XLOOKUP(sales[[#This Row],[Fecha]],OPEX_SALES!A:A,OPEX_SALES!B:B)</f>
        <v>1</v>
      </c>
      <c r="G25" s="14" t="str">
        <f>+_xlfn.XLOOKUP(sales[[#This Row],[Fecha]],OPEX_SALES!A:A,OPEX_SALES!E:E)</f>
        <v>A) Día hábil</v>
      </c>
      <c r="H25" s="14" t="str">
        <f>+TEXT(sales[[#This Row],[Fecha]],"ddd")</f>
        <v>mar</v>
      </c>
      <c r="I25" s="185">
        <f>+sales[[#This Row],[Venta]]-sales[[#This Row],[costo_venta]]</f>
        <v>7320</v>
      </c>
      <c r="J25" s="101">
        <f>[1]sales!K30</f>
        <v>16000</v>
      </c>
      <c r="K25" s="79">
        <f>[1]sales!I30</f>
        <v>16000</v>
      </c>
      <c r="L25" s="52">
        <f>[1]sales!J30</f>
        <v>0</v>
      </c>
      <c r="M25" s="1">
        <f>[1]sales!L30*sales[[#This Row],[cantidad]]</f>
        <v>8680</v>
      </c>
      <c r="N25" s="37">
        <f>+(sales[[#This Row],[Venta]]-sales[[#This Row],[costo_venta]])/sales[[#This Row],[Venta]]</f>
        <v>0.45750000000000002</v>
      </c>
    </row>
    <row r="26" spans="1:15" x14ac:dyDescent="0.2">
      <c r="A26" s="14">
        <f>[1]sales!A31</f>
        <v>46077</v>
      </c>
      <c r="B26" s="188">
        <f>[1]sales!B31</f>
        <v>0.7751851851851852</v>
      </c>
      <c r="C26" s="184" t="s">
        <v>49</v>
      </c>
      <c r="D26" s="14" t="str">
        <f>[1]sales!D31</f>
        <v xml:space="preserve"> Chorizo con papa/arepa</v>
      </c>
      <c r="E26" s="3">
        <f>+[1]sales!G31</f>
        <v>1</v>
      </c>
      <c r="F26" s="195">
        <f>+_xlfn.XLOOKUP(sales[[#This Row],[Fecha]],OPEX_SALES!A:A,OPEX_SALES!B:B)</f>
        <v>1</v>
      </c>
      <c r="G26" s="14" t="str">
        <f>+_xlfn.XLOOKUP(sales[[#This Row],[Fecha]],OPEX_SALES!A:A,OPEX_SALES!E:E)</f>
        <v>A) Día hábil</v>
      </c>
      <c r="H26" s="14" t="str">
        <f>+TEXT(sales[[#This Row],[Fecha]],"ddd")</f>
        <v>mar</v>
      </c>
      <c r="I26" s="185">
        <f>+sales[[#This Row],[Venta]]-sales[[#This Row],[costo_venta]]</f>
        <v>3660</v>
      </c>
      <c r="J26" s="101">
        <f>[1]sales!K31</f>
        <v>8000</v>
      </c>
      <c r="K26" s="79">
        <f>[1]sales!I31</f>
        <v>8000</v>
      </c>
      <c r="L26" s="52">
        <f>[1]sales!J31</f>
        <v>0</v>
      </c>
      <c r="M26" s="1">
        <f>[1]sales!L31*sales[[#This Row],[cantidad]]</f>
        <v>4340</v>
      </c>
      <c r="N26" s="37">
        <f>+(sales[[#This Row],[Venta]]-sales[[#This Row],[costo_venta]])/sales[[#This Row],[Venta]]</f>
        <v>0.45750000000000002</v>
      </c>
    </row>
    <row r="27" spans="1:15" x14ac:dyDescent="0.2">
      <c r="A27" s="14">
        <f>[1]sales!A32</f>
        <v>46077</v>
      </c>
      <c r="B27" s="188">
        <f>[1]sales!B32</f>
        <v>0.77952546296296299</v>
      </c>
      <c r="C27" s="184" t="s">
        <v>49</v>
      </c>
      <c r="D27" s="14" t="str">
        <f>[1]sales!D32</f>
        <v xml:space="preserve"> Chorizo con papa/arepa</v>
      </c>
      <c r="E27" s="3">
        <f>+[1]sales!G32</f>
        <v>1</v>
      </c>
      <c r="F27" s="195">
        <f>+_xlfn.XLOOKUP(sales[[#This Row],[Fecha]],OPEX_SALES!A:A,OPEX_SALES!B:B)</f>
        <v>1</v>
      </c>
      <c r="G27" s="14" t="str">
        <f>+_xlfn.XLOOKUP(sales[[#This Row],[Fecha]],OPEX_SALES!A:A,OPEX_SALES!E:E)</f>
        <v>A) Día hábil</v>
      </c>
      <c r="H27" s="14" t="str">
        <f>+TEXT(sales[[#This Row],[Fecha]],"ddd")</f>
        <v>mar</v>
      </c>
      <c r="I27" s="185">
        <f>+sales[[#This Row],[Venta]]-sales[[#This Row],[costo_venta]]</f>
        <v>3660</v>
      </c>
      <c r="J27" s="101">
        <f>[1]sales!K32</f>
        <v>8000</v>
      </c>
      <c r="K27" s="79">
        <f>[1]sales!I32</f>
        <v>8000</v>
      </c>
      <c r="L27" s="52">
        <f>[1]sales!J32</f>
        <v>0</v>
      </c>
      <c r="M27" s="1">
        <f>[1]sales!L32*sales[[#This Row],[cantidad]]</f>
        <v>4340</v>
      </c>
      <c r="N27" s="37">
        <f>+(sales[[#This Row],[Venta]]-sales[[#This Row],[costo_venta]])/sales[[#This Row],[Venta]]</f>
        <v>0.45750000000000002</v>
      </c>
    </row>
    <row r="28" spans="1:15" x14ac:dyDescent="0.2">
      <c r="A28" s="14">
        <f>[1]sales!A33</f>
        <v>46077</v>
      </c>
      <c r="B28" s="188">
        <f>[1]sales!B33</f>
        <v>0.77952546296296299</v>
      </c>
      <c r="C28" s="184" t="s">
        <v>49</v>
      </c>
      <c r="D28" s="14" t="str">
        <f>[1]sales!D33</f>
        <v>z. MP -  Chorizo CRUDO</v>
      </c>
      <c r="E28" s="3">
        <f>+[1]sales!G33</f>
        <v>2</v>
      </c>
      <c r="F28" s="195">
        <f>+_xlfn.XLOOKUP(sales[[#This Row],[Fecha]],OPEX_SALES!A:A,OPEX_SALES!B:B)</f>
        <v>1</v>
      </c>
      <c r="G28" s="14" t="str">
        <f>+_xlfn.XLOOKUP(sales[[#This Row],[Fecha]],OPEX_SALES!A:A,OPEX_SALES!E:E)</f>
        <v>A) Día hábil</v>
      </c>
      <c r="H28" s="14" t="str">
        <f>+TEXT(sales[[#This Row],[Fecha]],"ddd")</f>
        <v>mar</v>
      </c>
      <c r="I28" s="185">
        <f>+sales[[#This Row],[Venta]]-sales[[#This Row],[costo_venta]]</f>
        <v>2000</v>
      </c>
      <c r="J28" s="101">
        <f>[1]sales!K33</f>
        <v>9000</v>
      </c>
      <c r="K28" s="79">
        <f>[1]sales!I33</f>
        <v>9000</v>
      </c>
      <c r="L28" s="52">
        <f>[1]sales!J33</f>
        <v>0</v>
      </c>
      <c r="M28" s="1">
        <f>[1]sales!L33*sales[[#This Row],[cantidad]]</f>
        <v>7000</v>
      </c>
      <c r="N28" s="37">
        <f>+(sales[[#This Row],[Venta]]-sales[[#This Row],[costo_venta]])/sales[[#This Row],[Venta]]</f>
        <v>0.22222222222222221</v>
      </c>
    </row>
    <row r="29" spans="1:15" x14ac:dyDescent="0.2">
      <c r="A29" s="14">
        <f>[1]sales!A34</f>
        <v>46077</v>
      </c>
      <c r="B29" s="188">
        <f>[1]sales!B34</f>
        <v>0.79715277777777782</v>
      </c>
      <c r="C29" s="184" t="s">
        <v>49</v>
      </c>
      <c r="D29" s="14" t="str">
        <f>[1]sales!D34</f>
        <v xml:space="preserve"> Chorizo con papa/arepa</v>
      </c>
      <c r="E29" s="3">
        <f>+[1]sales!G34</f>
        <v>1</v>
      </c>
      <c r="F29" s="195">
        <f>+_xlfn.XLOOKUP(sales[[#This Row],[Fecha]],OPEX_SALES!A:A,OPEX_SALES!B:B)</f>
        <v>1</v>
      </c>
      <c r="G29" s="14" t="str">
        <f>+_xlfn.XLOOKUP(sales[[#This Row],[Fecha]],OPEX_SALES!A:A,OPEX_SALES!E:E)</f>
        <v>A) Día hábil</v>
      </c>
      <c r="H29" s="14" t="str">
        <f>+TEXT(sales[[#This Row],[Fecha]],"ddd")</f>
        <v>mar</v>
      </c>
      <c r="I29" s="185">
        <f>+sales[[#This Row],[Venta]]-sales[[#This Row],[costo_venta]]</f>
        <v>3660</v>
      </c>
      <c r="J29" s="101">
        <f>[1]sales!K34</f>
        <v>8000</v>
      </c>
      <c r="K29" s="79">
        <f>[1]sales!I34</f>
        <v>8000</v>
      </c>
      <c r="L29" s="52">
        <f>[1]sales!J34</f>
        <v>0</v>
      </c>
      <c r="M29" s="1">
        <f>[1]sales!L34*sales[[#This Row],[cantidad]]</f>
        <v>4340</v>
      </c>
      <c r="N29" s="37">
        <f>+(sales[[#This Row],[Venta]]-sales[[#This Row],[costo_venta]])/sales[[#This Row],[Venta]]</f>
        <v>0.45750000000000002</v>
      </c>
    </row>
    <row r="30" spans="1:15" x14ac:dyDescent="0.2">
      <c r="A30" s="14">
        <f>[1]sales!A35</f>
        <v>46077</v>
      </c>
      <c r="B30" s="188">
        <f>[1]sales!B35</f>
        <v>0.83438657407407413</v>
      </c>
      <c r="C30" s="184" t="s">
        <v>49</v>
      </c>
      <c r="D30" s="14" t="str">
        <f>[1]sales!D35</f>
        <v xml:space="preserve"> Chorizo con papa/arepa</v>
      </c>
      <c r="E30" s="3">
        <f>+[1]sales!G35</f>
        <v>1</v>
      </c>
      <c r="F30" s="195">
        <f>+_xlfn.XLOOKUP(sales[[#This Row],[Fecha]],OPEX_SALES!A:A,OPEX_SALES!B:B)</f>
        <v>1</v>
      </c>
      <c r="G30" s="14" t="str">
        <f>+_xlfn.XLOOKUP(sales[[#This Row],[Fecha]],OPEX_SALES!A:A,OPEX_SALES!E:E)</f>
        <v>A) Día hábil</v>
      </c>
      <c r="H30" s="14" t="str">
        <f>+TEXT(sales[[#This Row],[Fecha]],"ddd")</f>
        <v>mar</v>
      </c>
      <c r="I30" s="185">
        <f>+sales[[#This Row],[Venta]]-sales[[#This Row],[costo_venta]]</f>
        <v>3660</v>
      </c>
      <c r="J30" s="101">
        <f>[1]sales!K35</f>
        <v>8000</v>
      </c>
      <c r="K30" s="79">
        <f>[1]sales!I35</f>
        <v>0</v>
      </c>
      <c r="L30" s="52">
        <f>[1]sales!J35</f>
        <v>8000</v>
      </c>
      <c r="M30" s="1">
        <f>[1]sales!L35*sales[[#This Row],[cantidad]]</f>
        <v>4340</v>
      </c>
      <c r="N30" s="37">
        <f>+(sales[[#This Row],[Venta]]-sales[[#This Row],[costo_venta]])/sales[[#This Row],[Venta]]</f>
        <v>0.45750000000000002</v>
      </c>
    </row>
    <row r="31" spans="1:15" x14ac:dyDescent="0.2">
      <c r="A31" s="14">
        <f>[1]sales!A36</f>
        <v>46077</v>
      </c>
      <c r="B31" s="188">
        <f>[1]sales!B36</f>
        <v>0.83438657407407413</v>
      </c>
      <c r="C31" s="184" t="s">
        <v>49</v>
      </c>
      <c r="D31" s="14" t="str">
        <f>[1]sales!D36</f>
        <v>BEBIDA - Coca Cola</v>
      </c>
      <c r="E31" s="3">
        <f>+[1]sales!G36</f>
        <v>1</v>
      </c>
      <c r="F31" s="195">
        <f>+_xlfn.XLOOKUP(sales[[#This Row],[Fecha]],OPEX_SALES!A:A,OPEX_SALES!B:B)</f>
        <v>1</v>
      </c>
      <c r="G31" s="14" t="str">
        <f>+_xlfn.XLOOKUP(sales[[#This Row],[Fecha]],OPEX_SALES!A:A,OPEX_SALES!E:E)</f>
        <v>A) Día hábil</v>
      </c>
      <c r="H31" s="14" t="str">
        <f>+TEXT(sales[[#This Row],[Fecha]],"ddd")</f>
        <v>mar</v>
      </c>
      <c r="I31" s="185">
        <f>+sales[[#This Row],[Venta]]-sales[[#This Row],[costo_venta]]</f>
        <v>1800</v>
      </c>
      <c r="J31" s="101">
        <f>[1]sales!K36</f>
        <v>3000</v>
      </c>
      <c r="K31" s="79">
        <f>[1]sales!I36</f>
        <v>0</v>
      </c>
      <c r="L31" s="52">
        <f>[1]sales!J36</f>
        <v>3000</v>
      </c>
      <c r="M31" s="1">
        <f>[1]sales!L36*sales[[#This Row],[cantidad]]</f>
        <v>1200</v>
      </c>
      <c r="N31" s="37">
        <f>+(sales[[#This Row],[Venta]]-sales[[#This Row],[costo_venta]])/sales[[#This Row],[Venta]]</f>
        <v>0.6</v>
      </c>
    </row>
    <row r="32" spans="1:15" x14ac:dyDescent="0.2">
      <c r="A32" s="14">
        <f>[1]sales!A37</f>
        <v>46077</v>
      </c>
      <c r="B32" s="188">
        <f>[1]sales!B37</f>
        <v>0.83687500000000004</v>
      </c>
      <c r="C32" s="184" t="s">
        <v>49</v>
      </c>
      <c r="D32" s="14" t="str">
        <f>[1]sales!D37</f>
        <v xml:space="preserve"> Chorizo con papa/arepa</v>
      </c>
      <c r="E32" s="3">
        <f>+[1]sales!G37</f>
        <v>1</v>
      </c>
      <c r="F32" s="195">
        <f>+_xlfn.XLOOKUP(sales[[#This Row],[Fecha]],OPEX_SALES!A:A,OPEX_SALES!B:B)</f>
        <v>1</v>
      </c>
      <c r="G32" s="14" t="str">
        <f>+_xlfn.XLOOKUP(sales[[#This Row],[Fecha]],OPEX_SALES!A:A,OPEX_SALES!E:E)</f>
        <v>A) Día hábil</v>
      </c>
      <c r="H32" s="14" t="str">
        <f>+TEXT(sales[[#This Row],[Fecha]],"ddd")</f>
        <v>mar</v>
      </c>
      <c r="I32" s="185">
        <f>+sales[[#This Row],[Venta]]-sales[[#This Row],[costo_venta]]</f>
        <v>3660</v>
      </c>
      <c r="J32" s="101">
        <f>[1]sales!K37</f>
        <v>8000</v>
      </c>
      <c r="K32" s="79">
        <f>[1]sales!I37</f>
        <v>8000</v>
      </c>
      <c r="L32" s="52">
        <f>[1]sales!J37</f>
        <v>0</v>
      </c>
      <c r="M32" s="1">
        <f>[1]sales!L37*sales[[#This Row],[cantidad]]</f>
        <v>4340</v>
      </c>
      <c r="N32" s="37">
        <f>+(sales[[#This Row],[Venta]]-sales[[#This Row],[costo_venta]])/sales[[#This Row],[Venta]]</f>
        <v>0.45750000000000002</v>
      </c>
    </row>
    <row r="33" spans="1:14" x14ac:dyDescent="0.2">
      <c r="A33" s="14">
        <f>[1]sales!A38</f>
        <v>46077</v>
      </c>
      <c r="B33" s="188">
        <f>[1]sales!B38</f>
        <v>0.84701388888888884</v>
      </c>
      <c r="C33" s="184" t="s">
        <v>49</v>
      </c>
      <c r="D33" s="14" t="str">
        <f>[1]sales!D38</f>
        <v xml:space="preserve"> Chorizo con papa/arepa</v>
      </c>
      <c r="E33" s="3">
        <f>+[1]sales!G38</f>
        <v>3</v>
      </c>
      <c r="F33" s="195">
        <f>+_xlfn.XLOOKUP(sales[[#This Row],[Fecha]],OPEX_SALES!A:A,OPEX_SALES!B:B)</f>
        <v>1</v>
      </c>
      <c r="G33" s="14" t="str">
        <f>+_xlfn.XLOOKUP(sales[[#This Row],[Fecha]],OPEX_SALES!A:A,OPEX_SALES!E:E)</f>
        <v>A) Día hábil</v>
      </c>
      <c r="H33" s="14" t="str">
        <f>+TEXT(sales[[#This Row],[Fecha]],"ddd")</f>
        <v>mar</v>
      </c>
      <c r="I33" s="185">
        <f>+sales[[#This Row],[Venta]]-sales[[#This Row],[costo_venta]]</f>
        <v>10980</v>
      </c>
      <c r="J33" s="101">
        <f>[1]sales!K38</f>
        <v>24000</v>
      </c>
      <c r="K33" s="79">
        <f>[1]sales!I38</f>
        <v>24000</v>
      </c>
      <c r="L33" s="52">
        <f>[1]sales!J38</f>
        <v>0</v>
      </c>
      <c r="M33" s="1">
        <f>[1]sales!L38*sales[[#This Row],[cantidad]]</f>
        <v>13020</v>
      </c>
      <c r="N33" s="37">
        <f>+(sales[[#This Row],[Venta]]-sales[[#This Row],[costo_venta]])/sales[[#This Row],[Venta]]</f>
        <v>0.45750000000000002</v>
      </c>
    </row>
    <row r="34" spans="1:14" x14ac:dyDescent="0.2">
      <c r="A34" s="14">
        <f>[1]sales!A39</f>
        <v>46077</v>
      </c>
      <c r="B34" s="188">
        <f>[1]sales!B39</f>
        <v>0.84701388888888884</v>
      </c>
      <c r="C34" s="184" t="s">
        <v>49</v>
      </c>
      <c r="D34" s="14" t="str">
        <f>[1]sales!D39</f>
        <v>BEBIDA - Botella de Agua</v>
      </c>
      <c r="E34" s="3">
        <f>+[1]sales!G39</f>
        <v>1</v>
      </c>
      <c r="F34" s="195">
        <f>+_xlfn.XLOOKUP(sales[[#This Row],[Fecha]],OPEX_SALES!A:A,OPEX_SALES!B:B)</f>
        <v>1</v>
      </c>
      <c r="G34" s="14" t="str">
        <f>+_xlfn.XLOOKUP(sales[[#This Row],[Fecha]],OPEX_SALES!A:A,OPEX_SALES!E:E)</f>
        <v>A) Día hábil</v>
      </c>
      <c r="H34" s="14" t="str">
        <f>+TEXT(sales[[#This Row],[Fecha]],"ddd")</f>
        <v>mar</v>
      </c>
      <c r="I34" s="185">
        <f>+sales[[#This Row],[Venta]]-sales[[#This Row],[costo_venta]]</f>
        <v>2083.33</v>
      </c>
      <c r="J34" s="101">
        <f>[1]sales!K39</f>
        <v>3500</v>
      </c>
      <c r="K34" s="79">
        <f>[1]sales!I39</f>
        <v>3500</v>
      </c>
      <c r="L34" s="52">
        <f>[1]sales!J39</f>
        <v>0</v>
      </c>
      <c r="M34" s="1">
        <f>[1]sales!L39*sales[[#This Row],[cantidad]]</f>
        <v>1416.67</v>
      </c>
      <c r="N34" s="37">
        <f>+(sales[[#This Row],[Venta]]-sales[[#This Row],[costo_venta]])/sales[[#This Row],[Venta]]</f>
        <v>0.5952371428571428</v>
      </c>
    </row>
    <row r="35" spans="1:14" x14ac:dyDescent="0.2">
      <c r="A35" s="14">
        <f>[1]sales!A40</f>
        <v>46077</v>
      </c>
      <c r="B35" s="188">
        <f>[1]sales!B40</f>
        <v>0.84701388888888884</v>
      </c>
      <c r="C35" s="184" t="s">
        <v>49</v>
      </c>
      <c r="D35" s="14" t="str">
        <f>[1]sales!D40</f>
        <v>BEBIDA - Postobón</v>
      </c>
      <c r="E35" s="3">
        <f>+[1]sales!G40</f>
        <v>1</v>
      </c>
      <c r="F35" s="195">
        <f>+_xlfn.XLOOKUP(sales[[#This Row],[Fecha]],OPEX_SALES!A:A,OPEX_SALES!B:B)</f>
        <v>1</v>
      </c>
      <c r="G35" s="14" t="str">
        <f>+_xlfn.XLOOKUP(sales[[#This Row],[Fecha]],OPEX_SALES!A:A,OPEX_SALES!E:E)</f>
        <v>A) Día hábil</v>
      </c>
      <c r="H35" s="14" t="str">
        <f>+TEXT(sales[[#This Row],[Fecha]],"ddd")</f>
        <v>mar</v>
      </c>
      <c r="I35" s="185">
        <f>+sales[[#This Row],[Venta]]-sales[[#This Row],[costo_venta]]</f>
        <v>1866.67</v>
      </c>
      <c r="J35" s="101">
        <f>[1]sales!K40</f>
        <v>3000</v>
      </c>
      <c r="K35" s="79">
        <f>[1]sales!I40</f>
        <v>3000</v>
      </c>
      <c r="L35" s="52">
        <f>[1]sales!J40</f>
        <v>0</v>
      </c>
      <c r="M35" s="1">
        <f>[1]sales!L40*sales[[#This Row],[cantidad]]</f>
        <v>1133.33</v>
      </c>
      <c r="N35" s="37">
        <f>+(sales[[#This Row],[Venta]]-sales[[#This Row],[costo_venta]])/sales[[#This Row],[Venta]]</f>
        <v>0.62222333333333335</v>
      </c>
    </row>
    <row r="36" spans="1:14" x14ac:dyDescent="0.2">
      <c r="A36" s="14">
        <f>[1]sales!A41</f>
        <v>46077</v>
      </c>
      <c r="B36" s="188">
        <f>[1]sales!B41</f>
        <v>0.84987268518518522</v>
      </c>
      <c r="C36" s="184" t="s">
        <v>49</v>
      </c>
      <c r="D36" s="14" t="str">
        <f>[1]sales!D41</f>
        <v xml:space="preserve"> Chorizo con papa/arepa</v>
      </c>
      <c r="E36" s="3">
        <f>+[1]sales!G41</f>
        <v>4</v>
      </c>
      <c r="F36" s="195">
        <f>+_xlfn.XLOOKUP(sales[[#This Row],[Fecha]],OPEX_SALES!A:A,OPEX_SALES!B:B)</f>
        <v>1</v>
      </c>
      <c r="G36" s="14" t="str">
        <f>+_xlfn.XLOOKUP(sales[[#This Row],[Fecha]],OPEX_SALES!A:A,OPEX_SALES!E:E)</f>
        <v>A) Día hábil</v>
      </c>
      <c r="H36" s="14" t="str">
        <f>+TEXT(sales[[#This Row],[Fecha]],"ddd")</f>
        <v>mar</v>
      </c>
      <c r="I36" s="185">
        <f>+sales[[#This Row],[Venta]]-sales[[#This Row],[costo_venta]]</f>
        <v>14640</v>
      </c>
      <c r="J36" s="101">
        <f>[1]sales!K41</f>
        <v>32000</v>
      </c>
      <c r="K36" s="79">
        <f>[1]sales!I41</f>
        <v>32000</v>
      </c>
      <c r="L36" s="52">
        <f>[1]sales!J41</f>
        <v>0</v>
      </c>
      <c r="M36" s="1">
        <f>[1]sales!L41*sales[[#This Row],[cantidad]]</f>
        <v>17360</v>
      </c>
      <c r="N36" s="37">
        <f>+(sales[[#This Row],[Venta]]-sales[[#This Row],[costo_venta]])/sales[[#This Row],[Venta]]</f>
        <v>0.45750000000000002</v>
      </c>
    </row>
    <row r="37" spans="1:14" x14ac:dyDescent="0.2">
      <c r="A37" s="14">
        <f>[1]sales!A42</f>
        <v>46077</v>
      </c>
      <c r="B37" s="188">
        <f>[1]sales!B42</f>
        <v>0.84987268518518522</v>
      </c>
      <c r="C37" s="184" t="s">
        <v>49</v>
      </c>
      <c r="D37" s="14" t="str">
        <f>[1]sales!D42</f>
        <v>BEBIDA - Coca Cola</v>
      </c>
      <c r="E37" s="3">
        <f>+[1]sales!G42</f>
        <v>2</v>
      </c>
      <c r="F37" s="195">
        <f>+_xlfn.XLOOKUP(sales[[#This Row],[Fecha]],OPEX_SALES!A:A,OPEX_SALES!B:B)</f>
        <v>1</v>
      </c>
      <c r="G37" s="14" t="str">
        <f>+_xlfn.XLOOKUP(sales[[#This Row],[Fecha]],OPEX_SALES!A:A,OPEX_SALES!E:E)</f>
        <v>A) Día hábil</v>
      </c>
      <c r="H37" s="14" t="str">
        <f>+TEXT(sales[[#This Row],[Fecha]],"ddd")</f>
        <v>mar</v>
      </c>
      <c r="I37" s="185">
        <f>+sales[[#This Row],[Venta]]-sales[[#This Row],[costo_venta]]</f>
        <v>3600</v>
      </c>
      <c r="J37" s="101">
        <f>[1]sales!K42</f>
        <v>6000</v>
      </c>
      <c r="K37" s="79">
        <f>[1]sales!I42</f>
        <v>6000</v>
      </c>
      <c r="L37" s="52">
        <f>[1]sales!J42</f>
        <v>0</v>
      </c>
      <c r="M37" s="1">
        <f>[1]sales!L42*sales[[#This Row],[cantidad]]</f>
        <v>2400</v>
      </c>
      <c r="N37" s="37">
        <f>+(sales[[#This Row],[Venta]]-sales[[#This Row],[costo_venta]])/sales[[#This Row],[Venta]]</f>
        <v>0.6</v>
      </c>
    </row>
    <row r="38" spans="1:14" x14ac:dyDescent="0.2">
      <c r="A38" s="14">
        <f>[1]sales!A43</f>
        <v>46077</v>
      </c>
      <c r="B38" s="188">
        <f>[1]sales!B43</f>
        <v>0.86760416666666662</v>
      </c>
      <c r="C38" s="184" t="s">
        <v>49</v>
      </c>
      <c r="D38" s="14" t="str">
        <f>[1]sales!D43</f>
        <v xml:space="preserve"> Chorizo con papa/arepa</v>
      </c>
      <c r="E38" s="3">
        <f>+[1]sales!G43</f>
        <v>1</v>
      </c>
      <c r="F38" s="195">
        <f>+_xlfn.XLOOKUP(sales[[#This Row],[Fecha]],OPEX_SALES!A:A,OPEX_SALES!B:B)</f>
        <v>1</v>
      </c>
      <c r="G38" s="14" t="str">
        <f>+_xlfn.XLOOKUP(sales[[#This Row],[Fecha]],OPEX_SALES!A:A,OPEX_SALES!E:E)</f>
        <v>A) Día hábil</v>
      </c>
      <c r="H38" s="14" t="str">
        <f>+TEXT(sales[[#This Row],[Fecha]],"ddd")</f>
        <v>mar</v>
      </c>
      <c r="I38" s="185">
        <f>+sales[[#This Row],[Venta]]-sales[[#This Row],[costo_venta]]</f>
        <v>3660</v>
      </c>
      <c r="J38" s="101">
        <f>[1]sales!K43</f>
        <v>8000</v>
      </c>
      <c r="K38" s="79">
        <f>[1]sales!I43</f>
        <v>8000</v>
      </c>
      <c r="L38" s="52">
        <f>[1]sales!J43</f>
        <v>0</v>
      </c>
      <c r="M38" s="1">
        <f>[1]sales!L43*sales[[#This Row],[cantidad]]</f>
        <v>4340</v>
      </c>
      <c r="N38" s="37">
        <f>+(sales[[#This Row],[Venta]]-sales[[#This Row],[costo_venta]])/sales[[#This Row],[Venta]]</f>
        <v>0.45750000000000002</v>
      </c>
    </row>
    <row r="39" spans="1:14" x14ac:dyDescent="0.2">
      <c r="A39" s="14">
        <f>[1]sales!A44</f>
        <v>46078</v>
      </c>
      <c r="B39" s="188">
        <f>[1]sales!B44</f>
        <v>0.57804398148148151</v>
      </c>
      <c r="C39" s="184" t="s">
        <v>49</v>
      </c>
      <c r="D39" s="14" t="str">
        <f>[1]sales!D44</f>
        <v xml:space="preserve"> Chorizo con papa/arepa</v>
      </c>
      <c r="E39" s="3">
        <f>+[1]sales!G44</f>
        <v>1</v>
      </c>
      <c r="F39" s="195">
        <f>+_xlfn.XLOOKUP(sales[[#This Row],[Fecha]],OPEX_SALES!A:A,OPEX_SALES!B:B)</f>
        <v>1</v>
      </c>
      <c r="G39" s="14" t="str">
        <f>+_xlfn.XLOOKUP(sales[[#This Row],[Fecha]],OPEX_SALES!A:A,OPEX_SALES!E:E)</f>
        <v>A) Día hábil</v>
      </c>
      <c r="H39" s="14" t="str">
        <f>+TEXT(sales[[#This Row],[Fecha]],"ddd")</f>
        <v>mié</v>
      </c>
      <c r="I39" s="185">
        <f>+sales[[#This Row],[Venta]]-sales[[#This Row],[costo_venta]]</f>
        <v>3660</v>
      </c>
      <c r="J39" s="101">
        <f>[1]sales!K44</f>
        <v>8000</v>
      </c>
      <c r="K39" s="79">
        <f>[1]sales!I44</f>
        <v>8000</v>
      </c>
      <c r="L39" s="52">
        <f>[1]sales!J44</f>
        <v>0</v>
      </c>
      <c r="M39" s="1">
        <f>[1]sales!L44*sales[[#This Row],[cantidad]]</f>
        <v>4340</v>
      </c>
      <c r="N39" s="37">
        <f>+(sales[[#This Row],[Venta]]-sales[[#This Row],[costo_venta]])/sales[[#This Row],[Venta]]</f>
        <v>0.45750000000000002</v>
      </c>
    </row>
    <row r="40" spans="1:14" x14ac:dyDescent="0.2">
      <c r="A40" s="14">
        <f>[1]sales!A45</f>
        <v>46078</v>
      </c>
      <c r="B40" s="188">
        <f>[1]sales!B45</f>
        <v>0.57990740740740743</v>
      </c>
      <c r="C40" s="184" t="s">
        <v>49</v>
      </c>
      <c r="D40" s="14" t="str">
        <f>[1]sales!D45</f>
        <v xml:space="preserve"> Chorizo con papa/arepa</v>
      </c>
      <c r="E40" s="3">
        <f>+[1]sales!G45</f>
        <v>1</v>
      </c>
      <c r="F40" s="195">
        <f>+_xlfn.XLOOKUP(sales[[#This Row],[Fecha]],OPEX_SALES!A:A,OPEX_SALES!B:B)</f>
        <v>1</v>
      </c>
      <c r="G40" s="14" t="str">
        <f>+_xlfn.XLOOKUP(sales[[#This Row],[Fecha]],OPEX_SALES!A:A,OPEX_SALES!E:E)</f>
        <v>A) Día hábil</v>
      </c>
      <c r="H40" s="14" t="str">
        <f>+TEXT(sales[[#This Row],[Fecha]],"ddd")</f>
        <v>mié</v>
      </c>
      <c r="I40" s="185">
        <f>+sales[[#This Row],[Venta]]-sales[[#This Row],[costo_venta]]</f>
        <v>3660</v>
      </c>
      <c r="J40" s="101">
        <f>[1]sales!K45</f>
        <v>8000</v>
      </c>
      <c r="K40" s="79">
        <f>[1]sales!I45</f>
        <v>8000</v>
      </c>
      <c r="L40" s="52">
        <f>[1]sales!J45</f>
        <v>0</v>
      </c>
      <c r="M40" s="1">
        <f>[1]sales!L45*sales[[#This Row],[cantidad]]</f>
        <v>4340</v>
      </c>
      <c r="N40" s="37">
        <f>+(sales[[#This Row],[Venta]]-sales[[#This Row],[costo_venta]])/sales[[#This Row],[Venta]]</f>
        <v>0.45750000000000002</v>
      </c>
    </row>
    <row r="41" spans="1:14" x14ac:dyDescent="0.2">
      <c r="A41" s="14">
        <f>[1]sales!A46</f>
        <v>46078</v>
      </c>
      <c r="B41" s="188">
        <f>[1]sales!B46</f>
        <v>0.58693287037037034</v>
      </c>
      <c r="C41" s="184" t="s">
        <v>49</v>
      </c>
      <c r="D41" s="14" t="str">
        <f>[1]sales!D46</f>
        <v xml:space="preserve"> Chorizo con papa/arepa</v>
      </c>
      <c r="E41" s="3">
        <f>+[1]sales!G46</f>
        <v>1</v>
      </c>
      <c r="F41" s="195">
        <f>+_xlfn.XLOOKUP(sales[[#This Row],[Fecha]],OPEX_SALES!A:A,OPEX_SALES!B:B)</f>
        <v>1</v>
      </c>
      <c r="G41" s="14" t="str">
        <f>+_xlfn.XLOOKUP(sales[[#This Row],[Fecha]],OPEX_SALES!A:A,OPEX_SALES!E:E)</f>
        <v>A) Día hábil</v>
      </c>
      <c r="H41" s="14" t="str">
        <f>+TEXT(sales[[#This Row],[Fecha]],"ddd")</f>
        <v>mié</v>
      </c>
      <c r="I41" s="185">
        <f>+sales[[#This Row],[Venta]]-sales[[#This Row],[costo_venta]]</f>
        <v>3660</v>
      </c>
      <c r="J41" s="101">
        <f>[1]sales!K46</f>
        <v>8000</v>
      </c>
      <c r="K41" s="79">
        <f>[1]sales!I46</f>
        <v>8000</v>
      </c>
      <c r="L41" s="52">
        <f>[1]sales!J46</f>
        <v>0</v>
      </c>
      <c r="M41" s="1">
        <f>[1]sales!L46*sales[[#This Row],[cantidad]]</f>
        <v>4340</v>
      </c>
      <c r="N41" s="37">
        <f>+(sales[[#This Row],[Venta]]-sales[[#This Row],[costo_venta]])/sales[[#This Row],[Venta]]</f>
        <v>0.45750000000000002</v>
      </c>
    </row>
    <row r="42" spans="1:14" x14ac:dyDescent="0.2">
      <c r="A42" s="14">
        <f>[1]sales!A47</f>
        <v>46078</v>
      </c>
      <c r="B42" s="188">
        <f>[1]sales!B47</f>
        <v>0.59138888888888885</v>
      </c>
      <c r="C42" s="184" t="s">
        <v>49</v>
      </c>
      <c r="D42" s="14" t="str">
        <f>[1]sales!D47</f>
        <v>Parrillada de 35</v>
      </c>
      <c r="E42" s="3">
        <f>+[1]sales!G47</f>
        <v>1</v>
      </c>
      <c r="F42" s="195">
        <f>+_xlfn.XLOOKUP(sales[[#This Row],[Fecha]],OPEX_SALES!A:A,OPEX_SALES!B:B)</f>
        <v>1</v>
      </c>
      <c r="G42" s="14" t="str">
        <f>+_xlfn.XLOOKUP(sales[[#This Row],[Fecha]],OPEX_SALES!A:A,OPEX_SALES!E:E)</f>
        <v>A) Día hábil</v>
      </c>
      <c r="H42" s="14" t="str">
        <f>+TEXT(sales[[#This Row],[Fecha]],"ddd")</f>
        <v>mié</v>
      </c>
      <c r="I42" s="185">
        <f>+sales[[#This Row],[Venta]]-sales[[#This Row],[costo_venta]]</f>
        <v>-965000</v>
      </c>
      <c r="J42" s="101">
        <f>[1]sales!K47</f>
        <v>35000</v>
      </c>
      <c r="K42" s="79">
        <f>[1]sales!I47</f>
        <v>35000</v>
      </c>
      <c r="L42" s="52">
        <f>[1]sales!J47</f>
        <v>0</v>
      </c>
      <c r="M42" s="1">
        <f>[1]sales!L47*sales[[#This Row],[cantidad]]</f>
        <v>1000000</v>
      </c>
      <c r="N42" s="37">
        <f>+(sales[[#This Row],[Venta]]-sales[[#This Row],[costo_venta]])/sales[[#This Row],[Venta]]</f>
        <v>-27.571428571428573</v>
      </c>
    </row>
    <row r="43" spans="1:14" x14ac:dyDescent="0.2">
      <c r="A43" s="14">
        <f>[1]sales!A48</f>
        <v>46078</v>
      </c>
      <c r="B43" s="188">
        <f>[1]sales!B48</f>
        <v>0.60063657407407411</v>
      </c>
      <c r="C43" s="184" t="s">
        <v>49</v>
      </c>
      <c r="D43" s="14" t="str">
        <f>[1]sales!D48</f>
        <v>Parrillada de 35</v>
      </c>
      <c r="E43" s="3">
        <f>+[1]sales!G48</f>
        <v>1</v>
      </c>
      <c r="F43" s="195">
        <f>+_xlfn.XLOOKUP(sales[[#This Row],[Fecha]],OPEX_SALES!A:A,OPEX_SALES!B:B)</f>
        <v>1</v>
      </c>
      <c r="G43" s="14" t="str">
        <f>+_xlfn.XLOOKUP(sales[[#This Row],[Fecha]],OPEX_SALES!A:A,OPEX_SALES!E:E)</f>
        <v>A) Día hábil</v>
      </c>
      <c r="H43" s="14" t="str">
        <f>+TEXT(sales[[#This Row],[Fecha]],"ddd")</f>
        <v>mié</v>
      </c>
      <c r="I43" s="185">
        <f>+sales[[#This Row],[Venta]]-sales[[#This Row],[costo_venta]]</f>
        <v>-965000</v>
      </c>
      <c r="J43" s="101">
        <f>[1]sales!K48</f>
        <v>35000</v>
      </c>
      <c r="K43" s="79">
        <f>[1]sales!I48</f>
        <v>35000</v>
      </c>
      <c r="L43" s="52">
        <f>[1]sales!J48</f>
        <v>0</v>
      </c>
      <c r="M43" s="1">
        <f>[1]sales!L48*sales[[#This Row],[cantidad]]</f>
        <v>1000000</v>
      </c>
      <c r="N43" s="37">
        <f>+(sales[[#This Row],[Venta]]-sales[[#This Row],[costo_venta]])/sales[[#This Row],[Venta]]</f>
        <v>-27.571428571428573</v>
      </c>
    </row>
    <row r="44" spans="1:14" x14ac:dyDescent="0.2">
      <c r="A44" s="14">
        <f>[1]sales!A49</f>
        <v>46078</v>
      </c>
      <c r="B44" s="188">
        <f>[1]sales!B49</f>
        <v>0.6012615740740741</v>
      </c>
      <c r="C44" s="184" t="s">
        <v>49</v>
      </c>
      <c r="D44" s="14" t="str">
        <f>[1]sales!D49</f>
        <v xml:space="preserve"> Chorizo con papa/arepa</v>
      </c>
      <c r="E44" s="3">
        <f>+[1]sales!G49</f>
        <v>2</v>
      </c>
      <c r="F44" s="195">
        <f>+_xlfn.XLOOKUP(sales[[#This Row],[Fecha]],OPEX_SALES!A:A,OPEX_SALES!B:B)</f>
        <v>1</v>
      </c>
      <c r="G44" s="14" t="str">
        <f>+_xlfn.XLOOKUP(sales[[#This Row],[Fecha]],OPEX_SALES!A:A,OPEX_SALES!E:E)</f>
        <v>A) Día hábil</v>
      </c>
      <c r="H44" s="14" t="str">
        <f>+TEXT(sales[[#This Row],[Fecha]],"ddd")</f>
        <v>mié</v>
      </c>
      <c r="I44" s="185">
        <f>+sales[[#This Row],[Venta]]-sales[[#This Row],[costo_venta]]</f>
        <v>7320</v>
      </c>
      <c r="J44" s="101">
        <f>[1]sales!K49</f>
        <v>16000</v>
      </c>
      <c r="K44" s="79">
        <f>[1]sales!I49</f>
        <v>16000</v>
      </c>
      <c r="L44" s="52">
        <f>[1]sales!J49</f>
        <v>0</v>
      </c>
      <c r="M44" s="1">
        <f>[1]sales!L49*sales[[#This Row],[cantidad]]</f>
        <v>8680</v>
      </c>
      <c r="N44" s="37">
        <f>+(sales[[#This Row],[Venta]]-sales[[#This Row],[costo_venta]])/sales[[#This Row],[Venta]]</f>
        <v>0.45750000000000002</v>
      </c>
    </row>
    <row r="45" spans="1:14" x14ac:dyDescent="0.2">
      <c r="A45" s="14">
        <f>[1]sales!A50</f>
        <v>46078</v>
      </c>
      <c r="B45" s="188">
        <f>[1]sales!B50</f>
        <v>0.69451388888888888</v>
      </c>
      <c r="C45" s="184" t="s">
        <v>49</v>
      </c>
      <c r="D45" s="14" t="str">
        <f>[1]sales!D50</f>
        <v xml:space="preserve"> Chorizo con papa/arepa</v>
      </c>
      <c r="E45" s="3">
        <f>+[1]sales!G50</f>
        <v>1</v>
      </c>
      <c r="F45" s="195">
        <f>+_xlfn.XLOOKUP(sales[[#This Row],[Fecha]],OPEX_SALES!A:A,OPEX_SALES!B:B)</f>
        <v>1</v>
      </c>
      <c r="G45" s="14" t="str">
        <f>+_xlfn.XLOOKUP(sales[[#This Row],[Fecha]],OPEX_SALES!A:A,OPEX_SALES!E:E)</f>
        <v>A) Día hábil</v>
      </c>
      <c r="H45" s="14" t="str">
        <f>+TEXT(sales[[#This Row],[Fecha]],"ddd")</f>
        <v>mié</v>
      </c>
      <c r="I45" s="185">
        <f>+sales[[#This Row],[Venta]]-sales[[#This Row],[costo_venta]]</f>
        <v>3660</v>
      </c>
      <c r="J45" s="101">
        <f>[1]sales!K50</f>
        <v>8000</v>
      </c>
      <c r="K45" s="79">
        <f>[1]sales!I50</f>
        <v>8000</v>
      </c>
      <c r="L45" s="52">
        <f>[1]sales!J50</f>
        <v>0</v>
      </c>
      <c r="M45" s="1">
        <f>[1]sales!L50*sales[[#This Row],[cantidad]]</f>
        <v>4340</v>
      </c>
      <c r="N45" s="37">
        <f>+(sales[[#This Row],[Venta]]-sales[[#This Row],[costo_venta]])/sales[[#This Row],[Venta]]</f>
        <v>0.45750000000000002</v>
      </c>
    </row>
    <row r="46" spans="1:14" x14ac:dyDescent="0.2">
      <c r="A46" s="14">
        <f>[1]sales!A51</f>
        <v>46078</v>
      </c>
      <c r="B46" s="188">
        <f>[1]sales!B51</f>
        <v>0.69530092592592596</v>
      </c>
      <c r="C46" s="184" t="s">
        <v>49</v>
      </c>
      <c r="D46" s="14" t="str">
        <f>[1]sales!D51</f>
        <v xml:space="preserve"> Chorizo con papa/arepa</v>
      </c>
      <c r="E46" s="3">
        <f>+[1]sales!G51</f>
        <v>1</v>
      </c>
      <c r="F46" s="195">
        <f>+_xlfn.XLOOKUP(sales[[#This Row],[Fecha]],OPEX_SALES!A:A,OPEX_SALES!B:B)</f>
        <v>1</v>
      </c>
      <c r="G46" s="14" t="str">
        <f>+_xlfn.XLOOKUP(sales[[#This Row],[Fecha]],OPEX_SALES!A:A,OPEX_SALES!E:E)</f>
        <v>A) Día hábil</v>
      </c>
      <c r="H46" s="14" t="str">
        <f>+TEXT(sales[[#This Row],[Fecha]],"ddd")</f>
        <v>mié</v>
      </c>
      <c r="I46" s="185">
        <f>+sales[[#This Row],[Venta]]-sales[[#This Row],[costo_venta]]</f>
        <v>3660</v>
      </c>
      <c r="J46" s="101">
        <f>[1]sales!K51</f>
        <v>8000</v>
      </c>
      <c r="K46" s="79">
        <f>[1]sales!I51</f>
        <v>0</v>
      </c>
      <c r="L46" s="52">
        <f>[1]sales!J51</f>
        <v>8000</v>
      </c>
      <c r="M46" s="1">
        <f>[1]sales!L51*sales[[#This Row],[cantidad]]</f>
        <v>4340</v>
      </c>
      <c r="N46" s="37">
        <f>+(sales[[#This Row],[Venta]]-sales[[#This Row],[costo_venta]])/sales[[#This Row],[Venta]]</f>
        <v>0.45750000000000002</v>
      </c>
    </row>
    <row r="47" spans="1:14" x14ac:dyDescent="0.2">
      <c r="A47" s="14">
        <f>[1]sales!A52</f>
        <v>46078</v>
      </c>
      <c r="B47" s="188">
        <f>[1]sales!B52</f>
        <v>0.76214120370370375</v>
      </c>
      <c r="C47" s="184" t="s">
        <v>49</v>
      </c>
      <c r="D47" s="14" t="str">
        <f>[1]sales!D52</f>
        <v xml:space="preserve"> Chorizo con papa/arepa</v>
      </c>
      <c r="E47" s="3">
        <f>+[1]sales!G52</f>
        <v>1</v>
      </c>
      <c r="F47" s="195">
        <f>+_xlfn.XLOOKUP(sales[[#This Row],[Fecha]],OPEX_SALES!A:A,OPEX_SALES!B:B)</f>
        <v>1</v>
      </c>
      <c r="G47" s="14" t="str">
        <f>+_xlfn.XLOOKUP(sales[[#This Row],[Fecha]],OPEX_SALES!A:A,OPEX_SALES!E:E)</f>
        <v>A) Día hábil</v>
      </c>
      <c r="H47" s="14" t="str">
        <f>+TEXT(sales[[#This Row],[Fecha]],"ddd")</f>
        <v>mié</v>
      </c>
      <c r="I47" s="185">
        <f>+sales[[#This Row],[Venta]]-sales[[#This Row],[costo_venta]]</f>
        <v>3660</v>
      </c>
      <c r="J47" s="101">
        <f>[1]sales!K52</f>
        <v>8000</v>
      </c>
      <c r="K47" s="79">
        <f>[1]sales!I52</f>
        <v>8000</v>
      </c>
      <c r="L47" s="52">
        <f>[1]sales!J52</f>
        <v>0</v>
      </c>
      <c r="M47" s="1">
        <f>[1]sales!L52*sales[[#This Row],[cantidad]]</f>
        <v>4340</v>
      </c>
      <c r="N47" s="37">
        <f>+(sales[[#This Row],[Venta]]-sales[[#This Row],[costo_venta]])/sales[[#This Row],[Venta]]</f>
        <v>0.45750000000000002</v>
      </c>
    </row>
    <row r="48" spans="1:14" x14ac:dyDescent="0.2">
      <c r="A48" s="14">
        <f>[1]sales!A53</f>
        <v>46078</v>
      </c>
      <c r="B48" s="188">
        <f>[1]sales!B53</f>
        <v>0.76402777777777775</v>
      </c>
      <c r="C48" s="184" t="s">
        <v>49</v>
      </c>
      <c r="D48" s="14" t="str">
        <f>[1]sales!D53</f>
        <v xml:space="preserve"> Chorizo con papa/arepa</v>
      </c>
      <c r="E48" s="3">
        <f>+[1]sales!G53</f>
        <v>1</v>
      </c>
      <c r="F48" s="195">
        <f>+_xlfn.XLOOKUP(sales[[#This Row],[Fecha]],OPEX_SALES!A:A,OPEX_SALES!B:B)</f>
        <v>1</v>
      </c>
      <c r="G48" s="14" t="str">
        <f>+_xlfn.XLOOKUP(sales[[#This Row],[Fecha]],OPEX_SALES!A:A,OPEX_SALES!E:E)</f>
        <v>A) Día hábil</v>
      </c>
      <c r="H48" s="14" t="str">
        <f>+TEXT(sales[[#This Row],[Fecha]],"ddd")</f>
        <v>mié</v>
      </c>
      <c r="I48" s="185">
        <f>+sales[[#This Row],[Venta]]-sales[[#This Row],[costo_venta]]</f>
        <v>3660</v>
      </c>
      <c r="J48" s="101">
        <f>[1]sales!K53</f>
        <v>8000</v>
      </c>
      <c r="K48" s="79">
        <f>[1]sales!I53</f>
        <v>8000</v>
      </c>
      <c r="L48" s="52">
        <f>[1]sales!J53</f>
        <v>0</v>
      </c>
      <c r="M48" s="1">
        <f>[1]sales!L53*sales[[#This Row],[cantidad]]</f>
        <v>4340</v>
      </c>
      <c r="N48" s="37">
        <f>+(sales[[#This Row],[Venta]]-sales[[#This Row],[costo_venta]])/sales[[#This Row],[Venta]]</f>
        <v>0.45750000000000002</v>
      </c>
    </row>
    <row r="49" spans="1:14" x14ac:dyDescent="0.2">
      <c r="A49" s="14">
        <f>[1]sales!A54</f>
        <v>46078</v>
      </c>
      <c r="B49" s="188">
        <f>[1]sales!B54</f>
        <v>0.76837962962962958</v>
      </c>
      <c r="C49" s="184" t="s">
        <v>49</v>
      </c>
      <c r="D49" s="14" t="str">
        <f>[1]sales!D54</f>
        <v xml:space="preserve"> Chorizo con papa/arepa</v>
      </c>
      <c r="E49" s="3">
        <f>+[1]sales!G54</f>
        <v>1</v>
      </c>
      <c r="F49" s="195">
        <f>+_xlfn.XLOOKUP(sales[[#This Row],[Fecha]],OPEX_SALES!A:A,OPEX_SALES!B:B)</f>
        <v>1</v>
      </c>
      <c r="G49" s="14" t="str">
        <f>+_xlfn.XLOOKUP(sales[[#This Row],[Fecha]],OPEX_SALES!A:A,OPEX_SALES!E:E)</f>
        <v>A) Día hábil</v>
      </c>
      <c r="H49" s="14" t="str">
        <f>+TEXT(sales[[#This Row],[Fecha]],"ddd")</f>
        <v>mié</v>
      </c>
      <c r="I49" s="185">
        <f>+sales[[#This Row],[Venta]]-sales[[#This Row],[costo_venta]]</f>
        <v>3660</v>
      </c>
      <c r="J49" s="101">
        <f>[1]sales!K54</f>
        <v>8000</v>
      </c>
      <c r="K49" s="79">
        <f>[1]sales!I54</f>
        <v>8000</v>
      </c>
      <c r="L49" s="52">
        <f>[1]sales!J54</f>
        <v>0</v>
      </c>
      <c r="M49" s="1">
        <f>[1]sales!L54*sales[[#This Row],[cantidad]]</f>
        <v>4340</v>
      </c>
      <c r="N49" s="37">
        <f>+(sales[[#This Row],[Venta]]-sales[[#This Row],[costo_venta]])/sales[[#This Row],[Venta]]</f>
        <v>0.45750000000000002</v>
      </c>
    </row>
    <row r="50" spans="1:14" x14ac:dyDescent="0.2">
      <c r="A50" s="14">
        <f>[1]sales!A55</f>
        <v>46078</v>
      </c>
      <c r="B50" s="188">
        <f>[1]sales!B55</f>
        <v>0.77375000000000005</v>
      </c>
      <c r="C50" s="184" t="s">
        <v>49</v>
      </c>
      <c r="D50" s="14" t="str">
        <f>[1]sales!D55</f>
        <v xml:space="preserve"> Chorizo con papa/arepa</v>
      </c>
      <c r="E50" s="3">
        <f>+[1]sales!G55</f>
        <v>5</v>
      </c>
      <c r="F50" s="195">
        <f>+_xlfn.XLOOKUP(sales[[#This Row],[Fecha]],OPEX_SALES!A:A,OPEX_SALES!B:B)</f>
        <v>1</v>
      </c>
      <c r="G50" s="14" t="str">
        <f>+_xlfn.XLOOKUP(sales[[#This Row],[Fecha]],OPEX_SALES!A:A,OPEX_SALES!E:E)</f>
        <v>A) Día hábil</v>
      </c>
      <c r="H50" s="14" t="str">
        <f>+TEXT(sales[[#This Row],[Fecha]],"ddd")</f>
        <v>mié</v>
      </c>
      <c r="I50" s="185">
        <f>+sales[[#This Row],[Venta]]-sales[[#This Row],[costo_venta]]</f>
        <v>18300</v>
      </c>
      <c r="J50" s="101">
        <f>[1]sales!K55</f>
        <v>40000</v>
      </c>
      <c r="K50" s="79">
        <f>[1]sales!I55</f>
        <v>40000</v>
      </c>
      <c r="L50" s="52">
        <f>[1]sales!J55</f>
        <v>0</v>
      </c>
      <c r="M50" s="1">
        <f>[1]sales!L55*sales[[#This Row],[cantidad]]</f>
        <v>21700</v>
      </c>
      <c r="N50" s="37">
        <f>+(sales[[#This Row],[Venta]]-sales[[#This Row],[costo_venta]])/sales[[#This Row],[Venta]]</f>
        <v>0.45750000000000002</v>
      </c>
    </row>
    <row r="51" spans="1:14" x14ac:dyDescent="0.2">
      <c r="A51" s="14">
        <f>[1]sales!A56</f>
        <v>46078</v>
      </c>
      <c r="B51" s="188">
        <f>[1]sales!B56</f>
        <v>0.77424768518518516</v>
      </c>
      <c r="C51" s="184" t="s">
        <v>49</v>
      </c>
      <c r="D51" s="14" t="str">
        <f>[1]sales!D56</f>
        <v>BEBIDA - Coca Cola</v>
      </c>
      <c r="E51" s="3">
        <f>+[1]sales!G56</f>
        <v>2</v>
      </c>
      <c r="F51" s="195">
        <f>+_xlfn.XLOOKUP(sales[[#This Row],[Fecha]],OPEX_SALES!A:A,OPEX_SALES!B:B)</f>
        <v>1</v>
      </c>
      <c r="G51" s="14" t="str">
        <f>+_xlfn.XLOOKUP(sales[[#This Row],[Fecha]],OPEX_SALES!A:A,OPEX_SALES!E:E)</f>
        <v>A) Día hábil</v>
      </c>
      <c r="H51" s="14" t="str">
        <f>+TEXT(sales[[#This Row],[Fecha]],"ddd")</f>
        <v>mié</v>
      </c>
      <c r="I51" s="185">
        <f>+sales[[#This Row],[Venta]]-sales[[#This Row],[costo_venta]]</f>
        <v>3600</v>
      </c>
      <c r="J51" s="101">
        <f>[1]sales!K56</f>
        <v>6000</v>
      </c>
      <c r="K51" s="79">
        <f>[1]sales!I56</f>
        <v>6000</v>
      </c>
      <c r="L51" s="52">
        <f>[1]sales!J56</f>
        <v>0</v>
      </c>
      <c r="M51" s="1">
        <f>[1]sales!L56*sales[[#This Row],[cantidad]]</f>
        <v>2400</v>
      </c>
      <c r="N51" s="37">
        <f>+(sales[[#This Row],[Venta]]-sales[[#This Row],[costo_venta]])/sales[[#This Row],[Venta]]</f>
        <v>0.6</v>
      </c>
    </row>
    <row r="52" spans="1:14" x14ac:dyDescent="0.2">
      <c r="A52" s="14">
        <f>[1]sales!A57</f>
        <v>46078</v>
      </c>
      <c r="B52" s="188">
        <f>[1]sales!B57</f>
        <v>0.77424768518518516</v>
      </c>
      <c r="C52" s="184" t="s">
        <v>49</v>
      </c>
      <c r="D52" s="14" t="str">
        <f>[1]sales!D57</f>
        <v>BEBIDA - Postobón</v>
      </c>
      <c r="E52" s="3">
        <f>+[1]sales!G57</f>
        <v>1</v>
      </c>
      <c r="F52" s="195">
        <f>+_xlfn.XLOOKUP(sales[[#This Row],[Fecha]],OPEX_SALES!A:A,OPEX_SALES!B:B)</f>
        <v>1</v>
      </c>
      <c r="G52" s="14" t="str">
        <f>+_xlfn.XLOOKUP(sales[[#This Row],[Fecha]],OPEX_SALES!A:A,OPEX_SALES!E:E)</f>
        <v>A) Día hábil</v>
      </c>
      <c r="H52" s="14" t="str">
        <f>+TEXT(sales[[#This Row],[Fecha]],"ddd")</f>
        <v>mié</v>
      </c>
      <c r="I52" s="185">
        <f>+sales[[#This Row],[Venta]]-sales[[#This Row],[costo_venta]]</f>
        <v>1866.67</v>
      </c>
      <c r="J52" s="101">
        <f>[1]sales!K57</f>
        <v>3000</v>
      </c>
      <c r="K52" s="79">
        <f>[1]sales!I57</f>
        <v>3000</v>
      </c>
      <c r="L52" s="52">
        <f>[1]sales!J57</f>
        <v>0</v>
      </c>
      <c r="M52" s="1">
        <f>[1]sales!L57*sales[[#This Row],[cantidad]]</f>
        <v>1133.33</v>
      </c>
      <c r="N52" s="37">
        <f>+(sales[[#This Row],[Venta]]-sales[[#This Row],[costo_venta]])/sales[[#This Row],[Venta]]</f>
        <v>0.62222333333333335</v>
      </c>
    </row>
    <row r="53" spans="1:14" x14ac:dyDescent="0.2">
      <c r="A53" s="14">
        <f>[1]sales!A58</f>
        <v>46078</v>
      </c>
      <c r="B53" s="188">
        <f>[1]sales!B58</f>
        <v>0.77776620370370375</v>
      </c>
      <c r="C53" s="184" t="s">
        <v>49</v>
      </c>
      <c r="D53" s="14" t="str">
        <f>[1]sales!D58</f>
        <v xml:space="preserve"> Chorizo con papa/arepa</v>
      </c>
      <c r="E53" s="3">
        <f>+[1]sales!G58</f>
        <v>3</v>
      </c>
      <c r="F53" s="195">
        <f>+_xlfn.XLOOKUP(sales[[#This Row],[Fecha]],OPEX_SALES!A:A,OPEX_SALES!B:B)</f>
        <v>1</v>
      </c>
      <c r="G53" s="14" t="str">
        <f>+_xlfn.XLOOKUP(sales[[#This Row],[Fecha]],OPEX_SALES!A:A,OPEX_SALES!E:E)</f>
        <v>A) Día hábil</v>
      </c>
      <c r="H53" s="14" t="str">
        <f>+TEXT(sales[[#This Row],[Fecha]],"ddd")</f>
        <v>mié</v>
      </c>
      <c r="I53" s="185">
        <f>+sales[[#This Row],[Venta]]-sales[[#This Row],[costo_venta]]</f>
        <v>10980</v>
      </c>
      <c r="J53" s="101">
        <f>[1]sales!K58</f>
        <v>24000</v>
      </c>
      <c r="K53" s="79">
        <f>[1]sales!I58</f>
        <v>24000</v>
      </c>
      <c r="L53" s="52">
        <f>[1]sales!J58</f>
        <v>0</v>
      </c>
      <c r="M53" s="1">
        <f>[1]sales!L58*sales[[#This Row],[cantidad]]</f>
        <v>13020</v>
      </c>
      <c r="N53" s="37">
        <f>+(sales[[#This Row],[Venta]]-sales[[#This Row],[costo_venta]])/sales[[#This Row],[Venta]]</f>
        <v>0.45750000000000002</v>
      </c>
    </row>
    <row r="54" spans="1:14" x14ac:dyDescent="0.2">
      <c r="A54" s="14">
        <f>[1]sales!A59</f>
        <v>46078</v>
      </c>
      <c r="B54" s="188">
        <f>[1]sales!B59</f>
        <v>0.79901620370370374</v>
      </c>
      <c r="C54" s="184" t="s">
        <v>49</v>
      </c>
      <c r="D54" s="14" t="str">
        <f>[1]sales!D59</f>
        <v xml:space="preserve"> Chorizo con papa/arepa</v>
      </c>
      <c r="E54" s="3">
        <f>+[1]sales!G59</f>
        <v>1</v>
      </c>
      <c r="F54" s="195">
        <f>+_xlfn.XLOOKUP(sales[[#This Row],[Fecha]],OPEX_SALES!A:A,OPEX_SALES!B:B)</f>
        <v>1</v>
      </c>
      <c r="G54" s="14" t="str">
        <f>+_xlfn.XLOOKUP(sales[[#This Row],[Fecha]],OPEX_SALES!A:A,OPEX_SALES!E:E)</f>
        <v>A) Día hábil</v>
      </c>
      <c r="H54" s="14" t="str">
        <f>+TEXT(sales[[#This Row],[Fecha]],"ddd")</f>
        <v>mié</v>
      </c>
      <c r="I54" s="185">
        <f>+sales[[#This Row],[Venta]]-sales[[#This Row],[costo_venta]]</f>
        <v>3660</v>
      </c>
      <c r="J54" s="101">
        <f>[1]sales!K59</f>
        <v>8000</v>
      </c>
      <c r="K54" s="79">
        <f>[1]sales!I59</f>
        <v>0</v>
      </c>
      <c r="L54" s="52">
        <f>[1]sales!J59</f>
        <v>8000</v>
      </c>
      <c r="M54" s="1">
        <f>[1]sales!L59*sales[[#This Row],[cantidad]]</f>
        <v>4340</v>
      </c>
      <c r="N54" s="37">
        <f>+(sales[[#This Row],[Venta]]-sales[[#This Row],[costo_venta]])/sales[[#This Row],[Venta]]</f>
        <v>0.45750000000000002</v>
      </c>
    </row>
    <row r="55" spans="1:14" x14ac:dyDescent="0.2">
      <c r="A55" s="14">
        <f>[1]sales!A60</f>
        <v>46078</v>
      </c>
      <c r="B55" s="188">
        <f>[1]sales!B60</f>
        <v>0.80049768518518516</v>
      </c>
      <c r="C55" s="184" t="s">
        <v>49</v>
      </c>
      <c r="D55" s="14" t="str">
        <f>[1]sales!D60</f>
        <v xml:space="preserve"> Chorizo con papa/arepa</v>
      </c>
      <c r="E55" s="3">
        <f>+[1]sales!G60</f>
        <v>1</v>
      </c>
      <c r="F55" s="195">
        <f>+_xlfn.XLOOKUP(sales[[#This Row],[Fecha]],OPEX_SALES!A:A,OPEX_SALES!B:B)</f>
        <v>1</v>
      </c>
      <c r="G55" s="14" t="str">
        <f>+_xlfn.XLOOKUP(sales[[#This Row],[Fecha]],OPEX_SALES!A:A,OPEX_SALES!E:E)</f>
        <v>A) Día hábil</v>
      </c>
      <c r="H55" s="14" t="str">
        <f>+TEXT(sales[[#This Row],[Fecha]],"ddd")</f>
        <v>mié</v>
      </c>
      <c r="I55" s="185">
        <f>+sales[[#This Row],[Venta]]-sales[[#This Row],[costo_venta]]</f>
        <v>3660</v>
      </c>
      <c r="J55" s="101">
        <f>[1]sales!K60</f>
        <v>8000</v>
      </c>
      <c r="K55" s="79">
        <f>[1]sales!I60</f>
        <v>8000</v>
      </c>
      <c r="L55" s="52">
        <f>[1]sales!J60</f>
        <v>0</v>
      </c>
      <c r="M55" s="1">
        <f>[1]sales!L60*sales[[#This Row],[cantidad]]</f>
        <v>4340</v>
      </c>
      <c r="N55" s="37">
        <f>+(sales[[#This Row],[Venta]]-sales[[#This Row],[costo_venta]])/sales[[#This Row],[Venta]]</f>
        <v>0.45750000000000002</v>
      </c>
    </row>
    <row r="56" spans="1:14" x14ac:dyDescent="0.2">
      <c r="A56" s="14">
        <f>[1]sales!A61</f>
        <v>46078</v>
      </c>
      <c r="B56" s="188">
        <f>[1]sales!B61</f>
        <v>0.80049768518518516</v>
      </c>
      <c r="C56" s="184" t="s">
        <v>49</v>
      </c>
      <c r="D56" s="14" t="str">
        <f>[1]sales!D61</f>
        <v>BEBIDA - Coca Cola</v>
      </c>
      <c r="E56" s="3">
        <f>+[1]sales!G61</f>
        <v>1</v>
      </c>
      <c r="F56" s="195">
        <f>+_xlfn.XLOOKUP(sales[[#This Row],[Fecha]],OPEX_SALES!A:A,OPEX_SALES!B:B)</f>
        <v>1</v>
      </c>
      <c r="G56" s="14" t="str">
        <f>+_xlfn.XLOOKUP(sales[[#This Row],[Fecha]],OPEX_SALES!A:A,OPEX_SALES!E:E)</f>
        <v>A) Día hábil</v>
      </c>
      <c r="H56" s="14" t="str">
        <f>+TEXT(sales[[#This Row],[Fecha]],"ddd")</f>
        <v>mié</v>
      </c>
      <c r="I56" s="185">
        <f>+sales[[#This Row],[Venta]]-sales[[#This Row],[costo_venta]]</f>
        <v>1800</v>
      </c>
      <c r="J56" s="101">
        <f>[1]sales!K61</f>
        <v>3000</v>
      </c>
      <c r="K56" s="79">
        <f>[1]sales!I61</f>
        <v>3000</v>
      </c>
      <c r="L56" s="52">
        <f>[1]sales!J61</f>
        <v>0</v>
      </c>
      <c r="M56" s="1">
        <f>[1]sales!L61*sales[[#This Row],[cantidad]]</f>
        <v>1200</v>
      </c>
      <c r="N56" s="37">
        <f>+(sales[[#This Row],[Venta]]-sales[[#This Row],[costo_venta]])/sales[[#This Row],[Venta]]</f>
        <v>0.6</v>
      </c>
    </row>
    <row r="57" spans="1:14" x14ac:dyDescent="0.2">
      <c r="A57" s="14">
        <f>[1]sales!A62</f>
        <v>46078</v>
      </c>
      <c r="B57" s="188">
        <f>[1]sales!B62</f>
        <v>0.80687500000000001</v>
      </c>
      <c r="C57" s="184" t="s">
        <v>49</v>
      </c>
      <c r="D57" s="14" t="str">
        <f>[1]sales!D62</f>
        <v>z. MP -  Chorizo CRUDO</v>
      </c>
      <c r="E57" s="3">
        <f>+[1]sales!G62</f>
        <v>5</v>
      </c>
      <c r="F57" s="195">
        <f>+_xlfn.XLOOKUP(sales[[#This Row],[Fecha]],OPEX_SALES!A:A,OPEX_SALES!B:B)</f>
        <v>1</v>
      </c>
      <c r="G57" s="14" t="str">
        <f>+_xlfn.XLOOKUP(sales[[#This Row],[Fecha]],OPEX_SALES!A:A,OPEX_SALES!E:E)</f>
        <v>A) Día hábil</v>
      </c>
      <c r="H57" s="14" t="str">
        <f>+TEXT(sales[[#This Row],[Fecha]],"ddd")</f>
        <v>mié</v>
      </c>
      <c r="I57" s="185">
        <f>+sales[[#This Row],[Venta]]-sales[[#This Row],[costo_venta]]</f>
        <v>5000</v>
      </c>
      <c r="J57" s="101">
        <f>[1]sales!K62</f>
        <v>22500</v>
      </c>
      <c r="K57" s="79">
        <f>[1]sales!I62</f>
        <v>0</v>
      </c>
      <c r="L57" s="52">
        <f>[1]sales!J62</f>
        <v>22500</v>
      </c>
      <c r="M57" s="1">
        <f>[1]sales!L62*sales[[#This Row],[cantidad]]</f>
        <v>17500</v>
      </c>
      <c r="N57" s="37">
        <f>+(sales[[#This Row],[Venta]]-sales[[#This Row],[costo_venta]])/sales[[#This Row],[Venta]]</f>
        <v>0.22222222222222221</v>
      </c>
    </row>
    <row r="58" spans="1:14" x14ac:dyDescent="0.2">
      <c r="A58" s="14">
        <f>[1]sales!A63</f>
        <v>46078</v>
      </c>
      <c r="B58" s="188">
        <f>[1]sales!B63</f>
        <v>0.81111111111111112</v>
      </c>
      <c r="C58" s="184" t="s">
        <v>49</v>
      </c>
      <c r="D58" s="14" t="str">
        <f>[1]sales!D63</f>
        <v xml:space="preserve"> Chorizo con papa/arepa</v>
      </c>
      <c r="E58" s="3">
        <f>+[1]sales!G63</f>
        <v>2</v>
      </c>
      <c r="F58" s="195">
        <f>+_xlfn.XLOOKUP(sales[[#This Row],[Fecha]],OPEX_SALES!A:A,OPEX_SALES!B:B)</f>
        <v>1</v>
      </c>
      <c r="G58" s="14" t="str">
        <f>+_xlfn.XLOOKUP(sales[[#This Row],[Fecha]],OPEX_SALES!A:A,OPEX_SALES!E:E)</f>
        <v>A) Día hábil</v>
      </c>
      <c r="H58" s="14" t="str">
        <f>+TEXT(sales[[#This Row],[Fecha]],"ddd")</f>
        <v>mié</v>
      </c>
      <c r="I58" s="185">
        <f>+sales[[#This Row],[Venta]]-sales[[#This Row],[costo_venta]]</f>
        <v>7320</v>
      </c>
      <c r="J58" s="101">
        <f>[1]sales!K63</f>
        <v>16000</v>
      </c>
      <c r="K58" s="79">
        <f>[1]sales!I63</f>
        <v>0</v>
      </c>
      <c r="L58" s="52">
        <f>[1]sales!J63</f>
        <v>16000</v>
      </c>
      <c r="M58" s="1">
        <f>[1]sales!L63*sales[[#This Row],[cantidad]]</f>
        <v>8680</v>
      </c>
      <c r="N58" s="37">
        <f>+(sales[[#This Row],[Venta]]-sales[[#This Row],[costo_venta]])/sales[[#This Row],[Venta]]</f>
        <v>0.45750000000000002</v>
      </c>
    </row>
    <row r="59" spans="1:14" x14ac:dyDescent="0.2">
      <c r="A59" s="14">
        <f>[1]sales!A64</f>
        <v>46078</v>
      </c>
      <c r="B59" s="188">
        <f>[1]sales!B64</f>
        <v>0.8189467592592593</v>
      </c>
      <c r="C59" s="184" t="s">
        <v>49</v>
      </c>
      <c r="D59" s="14" t="str">
        <f>[1]sales!D64</f>
        <v>BEBIDA - Postobón</v>
      </c>
      <c r="E59" s="3">
        <f>+[1]sales!G64</f>
        <v>1</v>
      </c>
      <c r="F59" s="195">
        <f>+_xlfn.XLOOKUP(sales[[#This Row],[Fecha]],OPEX_SALES!A:A,OPEX_SALES!B:B)</f>
        <v>1</v>
      </c>
      <c r="G59" s="14" t="str">
        <f>+_xlfn.XLOOKUP(sales[[#This Row],[Fecha]],OPEX_SALES!A:A,OPEX_SALES!E:E)</f>
        <v>A) Día hábil</v>
      </c>
      <c r="H59" s="14" t="str">
        <f>+TEXT(sales[[#This Row],[Fecha]],"ddd")</f>
        <v>mié</v>
      </c>
      <c r="I59" s="185">
        <f>+sales[[#This Row],[Venta]]-sales[[#This Row],[costo_venta]]</f>
        <v>1866.67</v>
      </c>
      <c r="J59" s="101">
        <f>[1]sales!K64</f>
        <v>3000</v>
      </c>
      <c r="K59" s="79">
        <f>[1]sales!I64</f>
        <v>3000</v>
      </c>
      <c r="L59" s="52">
        <f>[1]sales!J64</f>
        <v>0</v>
      </c>
      <c r="M59" s="1">
        <f>[1]sales!L64*sales[[#This Row],[cantidad]]</f>
        <v>1133.33</v>
      </c>
      <c r="N59" s="37">
        <f>+(sales[[#This Row],[Venta]]-sales[[#This Row],[costo_venta]])/sales[[#This Row],[Venta]]</f>
        <v>0.62222333333333335</v>
      </c>
    </row>
    <row r="60" spans="1:14" x14ac:dyDescent="0.2">
      <c r="A60" s="14">
        <f>[1]sales!A65</f>
        <v>46078</v>
      </c>
      <c r="B60" s="188">
        <f>[1]sales!B65</f>
        <v>0.8189467592592593</v>
      </c>
      <c r="C60" s="184" t="s">
        <v>49</v>
      </c>
      <c r="D60" s="14" t="str">
        <f>[1]sales!D65</f>
        <v>Parrillada de 35</v>
      </c>
      <c r="E60" s="3">
        <f>+[1]sales!G65</f>
        <v>1</v>
      </c>
      <c r="F60" s="195">
        <f>+_xlfn.XLOOKUP(sales[[#This Row],[Fecha]],OPEX_SALES!A:A,OPEX_SALES!B:B)</f>
        <v>1</v>
      </c>
      <c r="G60" s="14" t="str">
        <f>+_xlfn.XLOOKUP(sales[[#This Row],[Fecha]],OPEX_SALES!A:A,OPEX_SALES!E:E)</f>
        <v>A) Día hábil</v>
      </c>
      <c r="H60" s="14" t="str">
        <f>+TEXT(sales[[#This Row],[Fecha]],"ddd")</f>
        <v>mié</v>
      </c>
      <c r="I60" s="185">
        <f>+sales[[#This Row],[Venta]]-sales[[#This Row],[costo_venta]]</f>
        <v>-965000</v>
      </c>
      <c r="J60" s="101">
        <f>[1]sales!K65</f>
        <v>35000</v>
      </c>
      <c r="K60" s="79">
        <f>[1]sales!I65</f>
        <v>35000</v>
      </c>
      <c r="L60" s="52">
        <f>[1]sales!J65</f>
        <v>0</v>
      </c>
      <c r="M60" s="1">
        <f>[1]sales!L65*sales[[#This Row],[cantidad]]</f>
        <v>1000000</v>
      </c>
      <c r="N60" s="37">
        <f>+(sales[[#This Row],[Venta]]-sales[[#This Row],[costo_venta]])/sales[[#This Row],[Venta]]</f>
        <v>-27.571428571428573</v>
      </c>
    </row>
    <row r="61" spans="1:14" x14ac:dyDescent="0.2">
      <c r="A61" s="14">
        <f>[1]sales!A66</f>
        <v>46078</v>
      </c>
      <c r="B61" s="188">
        <f>[1]sales!B66</f>
        <v>0.8197916666666667</v>
      </c>
      <c r="C61" s="184" t="s">
        <v>49</v>
      </c>
      <c r="D61" s="14" t="str">
        <f>[1]sales!D66</f>
        <v xml:space="preserve"> Chorizo con papa/arepa</v>
      </c>
      <c r="E61" s="3">
        <f>+[1]sales!G66</f>
        <v>2</v>
      </c>
      <c r="F61" s="195">
        <f>+_xlfn.XLOOKUP(sales[[#This Row],[Fecha]],OPEX_SALES!A:A,OPEX_SALES!B:B)</f>
        <v>1</v>
      </c>
      <c r="G61" s="14" t="str">
        <f>+_xlfn.XLOOKUP(sales[[#This Row],[Fecha]],OPEX_SALES!A:A,OPEX_SALES!E:E)</f>
        <v>A) Día hábil</v>
      </c>
      <c r="H61" s="14" t="str">
        <f>+TEXT(sales[[#This Row],[Fecha]],"ddd")</f>
        <v>mié</v>
      </c>
      <c r="I61" s="185">
        <f>+sales[[#This Row],[Venta]]-sales[[#This Row],[costo_venta]]</f>
        <v>7320</v>
      </c>
      <c r="J61" s="101">
        <f>[1]sales!K66</f>
        <v>16000</v>
      </c>
      <c r="K61" s="79">
        <f>[1]sales!I66</f>
        <v>16000</v>
      </c>
      <c r="L61" s="52">
        <f>[1]sales!J66</f>
        <v>0</v>
      </c>
      <c r="M61" s="1">
        <f>[1]sales!L66*sales[[#This Row],[cantidad]]</f>
        <v>8680</v>
      </c>
      <c r="N61" s="37">
        <f>+(sales[[#This Row],[Venta]]-sales[[#This Row],[costo_venta]])/sales[[#This Row],[Venta]]</f>
        <v>0.45750000000000002</v>
      </c>
    </row>
    <row r="62" spans="1:14" x14ac:dyDescent="0.2">
      <c r="A62" s="14">
        <f>[1]sales!A67</f>
        <v>46078</v>
      </c>
      <c r="B62" s="188">
        <f>[1]sales!B67</f>
        <v>0.83253472222222225</v>
      </c>
      <c r="C62" s="184" t="s">
        <v>49</v>
      </c>
      <c r="D62" s="14" t="str">
        <f>[1]sales!D67</f>
        <v xml:space="preserve"> Chorizo con papa/arepa</v>
      </c>
      <c r="E62" s="3">
        <f>+[1]sales!G67</f>
        <v>2</v>
      </c>
      <c r="F62" s="195">
        <f>+_xlfn.XLOOKUP(sales[[#This Row],[Fecha]],OPEX_SALES!A:A,OPEX_SALES!B:B)</f>
        <v>1</v>
      </c>
      <c r="G62" s="14" t="str">
        <f>+_xlfn.XLOOKUP(sales[[#This Row],[Fecha]],OPEX_SALES!A:A,OPEX_SALES!E:E)</f>
        <v>A) Día hábil</v>
      </c>
      <c r="H62" s="14" t="str">
        <f>+TEXT(sales[[#This Row],[Fecha]],"ddd")</f>
        <v>mié</v>
      </c>
      <c r="I62" s="185">
        <f>+sales[[#This Row],[Venta]]-sales[[#This Row],[costo_venta]]</f>
        <v>7320</v>
      </c>
      <c r="J62" s="101">
        <f>[1]sales!K67</f>
        <v>16000</v>
      </c>
      <c r="K62" s="79">
        <f>[1]sales!I67</f>
        <v>16000</v>
      </c>
      <c r="L62" s="52">
        <f>[1]sales!J67</f>
        <v>0</v>
      </c>
      <c r="M62" s="1">
        <f>[1]sales!L67*sales[[#This Row],[cantidad]]</f>
        <v>8680</v>
      </c>
      <c r="N62" s="37">
        <f>+(sales[[#This Row],[Venta]]-sales[[#This Row],[costo_venta]])/sales[[#This Row],[Venta]]</f>
        <v>0.45750000000000002</v>
      </c>
    </row>
    <row r="63" spans="1:14" x14ac:dyDescent="0.2">
      <c r="A63" s="14">
        <f>[1]sales!A68</f>
        <v>46078</v>
      </c>
      <c r="B63" s="188">
        <f>[1]sales!B68</f>
        <v>0.83809027777777778</v>
      </c>
      <c r="C63" s="184" t="s">
        <v>49</v>
      </c>
      <c r="D63" s="14" t="str">
        <f>[1]sales!D68</f>
        <v xml:space="preserve"> Chorizo con papa/arepa</v>
      </c>
      <c r="E63" s="3">
        <f>+[1]sales!G68</f>
        <v>4</v>
      </c>
      <c r="F63" s="195">
        <f>+_xlfn.XLOOKUP(sales[[#This Row],[Fecha]],OPEX_SALES!A:A,OPEX_SALES!B:B)</f>
        <v>1</v>
      </c>
      <c r="G63" s="14" t="str">
        <f>+_xlfn.XLOOKUP(sales[[#This Row],[Fecha]],OPEX_SALES!A:A,OPEX_SALES!E:E)</f>
        <v>A) Día hábil</v>
      </c>
      <c r="H63" s="14" t="str">
        <f>+TEXT(sales[[#This Row],[Fecha]],"ddd")</f>
        <v>mié</v>
      </c>
      <c r="I63" s="185">
        <f>+sales[[#This Row],[Venta]]-sales[[#This Row],[costo_venta]]</f>
        <v>14640</v>
      </c>
      <c r="J63" s="101">
        <f>[1]sales!K68</f>
        <v>32000</v>
      </c>
      <c r="K63" s="79">
        <f>[1]sales!I68</f>
        <v>32000</v>
      </c>
      <c r="L63" s="52">
        <f>[1]sales!J68</f>
        <v>0</v>
      </c>
      <c r="M63" s="1">
        <f>[1]sales!L68*sales[[#This Row],[cantidad]]</f>
        <v>17360</v>
      </c>
      <c r="N63" s="37">
        <f>+(sales[[#This Row],[Venta]]-sales[[#This Row],[costo_venta]])/sales[[#This Row],[Venta]]</f>
        <v>0.45750000000000002</v>
      </c>
    </row>
    <row r="64" spans="1:14" x14ac:dyDescent="0.2">
      <c r="A64" s="14">
        <f>[1]sales!A69</f>
        <v>46078</v>
      </c>
      <c r="B64" s="188">
        <f>[1]sales!B69</f>
        <v>0.84167824074074071</v>
      </c>
      <c r="C64" s="184" t="s">
        <v>49</v>
      </c>
      <c r="D64" s="14" t="str">
        <f>[1]sales!D69</f>
        <v xml:space="preserve"> Chorizo con papa/arepa</v>
      </c>
      <c r="E64" s="3">
        <f>+[1]sales!G69</f>
        <v>1</v>
      </c>
      <c r="F64" s="195">
        <f>+_xlfn.XLOOKUP(sales[[#This Row],[Fecha]],OPEX_SALES!A:A,OPEX_SALES!B:B)</f>
        <v>1</v>
      </c>
      <c r="G64" s="14" t="str">
        <f>+_xlfn.XLOOKUP(sales[[#This Row],[Fecha]],OPEX_SALES!A:A,OPEX_SALES!E:E)</f>
        <v>A) Día hábil</v>
      </c>
      <c r="H64" s="14" t="str">
        <f>+TEXT(sales[[#This Row],[Fecha]],"ddd")</f>
        <v>mié</v>
      </c>
      <c r="I64" s="185">
        <f>+sales[[#This Row],[Venta]]-sales[[#This Row],[costo_venta]]</f>
        <v>3660</v>
      </c>
      <c r="J64" s="101">
        <f>[1]sales!K69</f>
        <v>8000</v>
      </c>
      <c r="K64" s="79">
        <f>[1]sales!I69</f>
        <v>0</v>
      </c>
      <c r="L64" s="52">
        <f>[1]sales!J69</f>
        <v>8000</v>
      </c>
      <c r="M64" s="1">
        <f>[1]sales!L69*sales[[#This Row],[cantidad]]</f>
        <v>4340</v>
      </c>
      <c r="N64" s="37">
        <f>+(sales[[#This Row],[Venta]]-sales[[#This Row],[costo_venta]])/sales[[#This Row],[Venta]]</f>
        <v>0.45750000000000002</v>
      </c>
    </row>
    <row r="65" spans="1:14" x14ac:dyDescent="0.2">
      <c r="A65" s="14">
        <f>[1]sales!A70</f>
        <v>46078</v>
      </c>
      <c r="B65" s="188">
        <f>[1]sales!B70</f>
        <v>0.84804398148148152</v>
      </c>
      <c r="C65" s="184" t="s">
        <v>49</v>
      </c>
      <c r="D65" s="14" t="str">
        <f>[1]sales!D70</f>
        <v xml:space="preserve"> Chorizo con papa/arepa</v>
      </c>
      <c r="E65" s="3">
        <f>+[1]sales!G70</f>
        <v>2</v>
      </c>
      <c r="F65" s="195">
        <f>+_xlfn.XLOOKUP(sales[[#This Row],[Fecha]],OPEX_SALES!A:A,OPEX_SALES!B:B)</f>
        <v>1</v>
      </c>
      <c r="G65" s="14" t="str">
        <f>+_xlfn.XLOOKUP(sales[[#This Row],[Fecha]],OPEX_SALES!A:A,OPEX_SALES!E:E)</f>
        <v>A) Día hábil</v>
      </c>
      <c r="H65" s="14" t="str">
        <f>+TEXT(sales[[#This Row],[Fecha]],"ddd")</f>
        <v>mié</v>
      </c>
      <c r="I65" s="185">
        <f>+sales[[#This Row],[Venta]]-sales[[#This Row],[costo_venta]]</f>
        <v>7320</v>
      </c>
      <c r="J65" s="101">
        <f>[1]sales!K70</f>
        <v>16000</v>
      </c>
      <c r="K65" s="79">
        <f>[1]sales!I70</f>
        <v>16000</v>
      </c>
      <c r="L65" s="52">
        <f>[1]sales!J70</f>
        <v>0</v>
      </c>
      <c r="M65" s="1">
        <f>[1]sales!L70*sales[[#This Row],[cantidad]]</f>
        <v>8680</v>
      </c>
      <c r="N65" s="37">
        <f>+(sales[[#This Row],[Venta]]-sales[[#This Row],[costo_venta]])/sales[[#This Row],[Venta]]</f>
        <v>0.45750000000000002</v>
      </c>
    </row>
    <row r="66" spans="1:14" x14ac:dyDescent="0.2">
      <c r="A66" s="14">
        <f>[1]sales!A71</f>
        <v>46079</v>
      </c>
      <c r="B66" s="188">
        <f>[1]sales!B71</f>
        <v>0.55702546296296296</v>
      </c>
      <c r="C66" s="184" t="s">
        <v>49</v>
      </c>
      <c r="D66" s="14" t="str">
        <f>[1]sales!D71</f>
        <v>z. MP -  Chorizo CRUDO</v>
      </c>
      <c r="E66" s="3">
        <f>+[1]sales!G71</f>
        <v>2</v>
      </c>
      <c r="F66" s="195">
        <f>+_xlfn.XLOOKUP(sales[[#This Row],[Fecha]],OPEX_SALES!A:A,OPEX_SALES!B:B)</f>
        <v>1</v>
      </c>
      <c r="G66" s="14" t="str">
        <f>+_xlfn.XLOOKUP(sales[[#This Row],[Fecha]],OPEX_SALES!A:A,OPEX_SALES!E:E)</f>
        <v>A) Día hábil</v>
      </c>
      <c r="H66" s="14" t="str">
        <f>+TEXT(sales[[#This Row],[Fecha]],"ddd")</f>
        <v>jue</v>
      </c>
      <c r="I66" s="185">
        <f>+sales[[#This Row],[Venta]]-sales[[#This Row],[costo_venta]]</f>
        <v>2000</v>
      </c>
      <c r="J66" s="101">
        <f>[1]sales!K71</f>
        <v>9000</v>
      </c>
      <c r="K66" s="79">
        <f>[1]sales!I71</f>
        <v>9000</v>
      </c>
      <c r="L66" s="52">
        <f>[1]sales!J71</f>
        <v>0</v>
      </c>
      <c r="M66" s="1">
        <f>[1]sales!L71*sales[[#This Row],[cantidad]]</f>
        <v>7000</v>
      </c>
      <c r="N66" s="37">
        <f>+(sales[[#This Row],[Venta]]-sales[[#This Row],[costo_venta]])/sales[[#This Row],[Venta]]</f>
        <v>0.22222222222222221</v>
      </c>
    </row>
    <row r="67" spans="1:14" x14ac:dyDescent="0.2">
      <c r="A67" s="14">
        <f>[1]sales!A72</f>
        <v>46079</v>
      </c>
      <c r="B67" s="188">
        <f>[1]sales!B72</f>
        <v>0.56067129629629631</v>
      </c>
      <c r="C67" s="184" t="s">
        <v>49</v>
      </c>
      <c r="D67" s="14" t="str">
        <f>[1]sales!D72</f>
        <v xml:space="preserve"> Chorizo con papa/arepa</v>
      </c>
      <c r="E67" s="3">
        <f>+[1]sales!G72</f>
        <v>2</v>
      </c>
      <c r="F67" s="195">
        <f>+_xlfn.XLOOKUP(sales[[#This Row],[Fecha]],OPEX_SALES!A:A,OPEX_SALES!B:B)</f>
        <v>1</v>
      </c>
      <c r="G67" s="14" t="str">
        <f>+_xlfn.XLOOKUP(sales[[#This Row],[Fecha]],OPEX_SALES!A:A,OPEX_SALES!E:E)</f>
        <v>A) Día hábil</v>
      </c>
      <c r="H67" s="14" t="str">
        <f>+TEXT(sales[[#This Row],[Fecha]],"ddd")</f>
        <v>jue</v>
      </c>
      <c r="I67" s="185">
        <f>+sales[[#This Row],[Venta]]-sales[[#This Row],[costo_venta]]</f>
        <v>7320</v>
      </c>
      <c r="J67" s="101">
        <f>[1]sales!K72</f>
        <v>16000</v>
      </c>
      <c r="K67" s="79">
        <f>[1]sales!I72</f>
        <v>16000</v>
      </c>
      <c r="L67" s="52">
        <f>[1]sales!J72</f>
        <v>0</v>
      </c>
      <c r="M67" s="1">
        <f>[1]sales!L72*sales[[#This Row],[cantidad]]</f>
        <v>8680</v>
      </c>
      <c r="N67" s="37">
        <f>+(sales[[#This Row],[Venta]]-sales[[#This Row],[costo_venta]])/sales[[#This Row],[Venta]]</f>
        <v>0.45750000000000002</v>
      </c>
    </row>
    <row r="68" spans="1:14" x14ac:dyDescent="0.2">
      <c r="A68" s="14">
        <f>[1]sales!A73</f>
        <v>46079</v>
      </c>
      <c r="B68" s="188">
        <f>[1]sales!B73</f>
        <v>0.63410879629629635</v>
      </c>
      <c r="C68" s="184" t="s">
        <v>49</v>
      </c>
      <c r="D68" s="14" t="str">
        <f>[1]sales!D73</f>
        <v>Bandeja Choriboni - 25</v>
      </c>
      <c r="E68" s="3">
        <f>+[1]sales!G73</f>
        <v>1</v>
      </c>
      <c r="F68" s="195">
        <f>+_xlfn.XLOOKUP(sales[[#This Row],[Fecha]],OPEX_SALES!A:A,OPEX_SALES!B:B)</f>
        <v>1</v>
      </c>
      <c r="G68" s="14" t="str">
        <f>+_xlfn.XLOOKUP(sales[[#This Row],[Fecha]],OPEX_SALES!A:A,OPEX_SALES!E:E)</f>
        <v>A) Día hábil</v>
      </c>
      <c r="H68" s="14" t="str">
        <f>+TEXT(sales[[#This Row],[Fecha]],"ddd")</f>
        <v>jue</v>
      </c>
      <c r="I68" s="185">
        <f>+sales[[#This Row],[Venta]]-sales[[#This Row],[costo_venta]]</f>
        <v>20660</v>
      </c>
      <c r="J68" s="101">
        <f>[1]sales!K73</f>
        <v>25000</v>
      </c>
      <c r="K68" s="79">
        <f>[1]sales!I73</f>
        <v>0</v>
      </c>
      <c r="L68" s="52">
        <f>[1]sales!J73</f>
        <v>25000</v>
      </c>
      <c r="M68" s="1">
        <f>[1]sales!L73*sales[[#This Row],[cantidad]]</f>
        <v>4340</v>
      </c>
      <c r="N68" s="37">
        <f>+(sales[[#This Row],[Venta]]-sales[[#This Row],[costo_venta]])/sales[[#This Row],[Venta]]</f>
        <v>0.82640000000000002</v>
      </c>
    </row>
    <row r="69" spans="1:14" x14ac:dyDescent="0.2">
      <c r="A69" s="14">
        <f>[1]sales!A74</f>
        <v>46079</v>
      </c>
      <c r="B69" s="188">
        <f>[1]sales!B74</f>
        <v>0.72755787037037034</v>
      </c>
      <c r="C69" s="184" t="s">
        <v>49</v>
      </c>
      <c r="D69" s="14" t="str">
        <f>[1]sales!D74</f>
        <v xml:space="preserve"> Chorizo con papa/arepa</v>
      </c>
      <c r="E69" s="3">
        <f>+[1]sales!G74</f>
        <v>5</v>
      </c>
      <c r="F69" s="195">
        <f>+_xlfn.XLOOKUP(sales[[#This Row],[Fecha]],OPEX_SALES!A:A,OPEX_SALES!B:B)</f>
        <v>1</v>
      </c>
      <c r="G69" s="14" t="str">
        <f>+_xlfn.XLOOKUP(sales[[#This Row],[Fecha]],OPEX_SALES!A:A,OPEX_SALES!E:E)</f>
        <v>A) Día hábil</v>
      </c>
      <c r="H69" s="14" t="str">
        <f>+TEXT(sales[[#This Row],[Fecha]],"ddd")</f>
        <v>jue</v>
      </c>
      <c r="I69" s="185">
        <f>+sales[[#This Row],[Venta]]-sales[[#This Row],[costo_venta]]</f>
        <v>18300</v>
      </c>
      <c r="J69" s="101">
        <f>[1]sales!K74</f>
        <v>40000</v>
      </c>
      <c r="K69" s="79">
        <f>[1]sales!I74</f>
        <v>0</v>
      </c>
      <c r="L69" s="52">
        <f>[1]sales!J74</f>
        <v>40000</v>
      </c>
      <c r="M69" s="1">
        <f>[1]sales!L74*sales[[#This Row],[cantidad]]</f>
        <v>21700</v>
      </c>
      <c r="N69" s="37">
        <f>+(sales[[#This Row],[Venta]]-sales[[#This Row],[costo_venta]])/sales[[#This Row],[Venta]]</f>
        <v>0.45750000000000002</v>
      </c>
    </row>
    <row r="70" spans="1:14" x14ac:dyDescent="0.2">
      <c r="A70" s="14">
        <f>[1]sales!A75</f>
        <v>46079</v>
      </c>
      <c r="B70" s="188">
        <f>[1]sales!B75</f>
        <v>0.72755787037037034</v>
      </c>
      <c r="C70" s="184" t="s">
        <v>49</v>
      </c>
      <c r="D70" s="14" t="str">
        <f>[1]sales!D75</f>
        <v>BEBIDA - Postobón</v>
      </c>
      <c r="E70" s="3">
        <f>+[1]sales!G75</f>
        <v>3</v>
      </c>
      <c r="F70" s="195">
        <f>+_xlfn.XLOOKUP(sales[[#This Row],[Fecha]],OPEX_SALES!A:A,OPEX_SALES!B:B)</f>
        <v>1</v>
      </c>
      <c r="G70" s="14" t="str">
        <f>+_xlfn.XLOOKUP(sales[[#This Row],[Fecha]],OPEX_SALES!A:A,OPEX_SALES!E:E)</f>
        <v>A) Día hábil</v>
      </c>
      <c r="H70" s="14" t="str">
        <f>+TEXT(sales[[#This Row],[Fecha]],"ddd")</f>
        <v>jue</v>
      </c>
      <c r="I70" s="185">
        <f>+sales[[#This Row],[Venta]]-sales[[#This Row],[costo_venta]]</f>
        <v>5600.01</v>
      </c>
      <c r="J70" s="101">
        <f>[1]sales!K75</f>
        <v>9000</v>
      </c>
      <c r="K70" s="79">
        <f>[1]sales!I75</f>
        <v>0</v>
      </c>
      <c r="L70" s="52">
        <f>[1]sales!J75</f>
        <v>9000</v>
      </c>
      <c r="M70" s="1">
        <f>[1]sales!L75*sales[[#This Row],[cantidad]]</f>
        <v>3399.99</v>
      </c>
      <c r="N70" s="37">
        <f>+(sales[[#This Row],[Venta]]-sales[[#This Row],[costo_venta]])/sales[[#This Row],[Venta]]</f>
        <v>0.62222333333333335</v>
      </c>
    </row>
    <row r="71" spans="1:14" x14ac:dyDescent="0.2">
      <c r="A71" s="14">
        <f>[1]sales!A76</f>
        <v>46079</v>
      </c>
      <c r="B71" s="188">
        <f>[1]sales!B76</f>
        <v>0.75289351851851849</v>
      </c>
      <c r="C71" s="184" t="s">
        <v>49</v>
      </c>
      <c r="D71" s="14" t="str">
        <f>[1]sales!D76</f>
        <v xml:space="preserve"> Chorizo con papa/arepa</v>
      </c>
      <c r="E71" s="3">
        <f>+[1]sales!G76</f>
        <v>1</v>
      </c>
      <c r="F71" s="195">
        <f>+_xlfn.XLOOKUP(sales[[#This Row],[Fecha]],OPEX_SALES!A:A,OPEX_SALES!B:B)</f>
        <v>1</v>
      </c>
      <c r="G71" s="14" t="str">
        <f>+_xlfn.XLOOKUP(sales[[#This Row],[Fecha]],OPEX_SALES!A:A,OPEX_SALES!E:E)</f>
        <v>A) Día hábil</v>
      </c>
      <c r="H71" s="14" t="str">
        <f>+TEXT(sales[[#This Row],[Fecha]],"ddd")</f>
        <v>jue</v>
      </c>
      <c r="I71" s="185">
        <f>+sales[[#This Row],[Venta]]-sales[[#This Row],[costo_venta]]</f>
        <v>3660</v>
      </c>
      <c r="J71" s="101">
        <f>[1]sales!K76</f>
        <v>8000</v>
      </c>
      <c r="K71" s="79">
        <f>[1]sales!I76</f>
        <v>8000</v>
      </c>
      <c r="L71" s="52">
        <f>[1]sales!J76</f>
        <v>0</v>
      </c>
      <c r="M71" s="1">
        <f>[1]sales!L76*sales[[#This Row],[cantidad]]</f>
        <v>4340</v>
      </c>
      <c r="N71" s="37">
        <f>+(sales[[#This Row],[Venta]]-sales[[#This Row],[costo_venta]])/sales[[#This Row],[Venta]]</f>
        <v>0.45750000000000002</v>
      </c>
    </row>
    <row r="72" spans="1:14" x14ac:dyDescent="0.2">
      <c r="A72" s="14">
        <f>[1]sales!A77</f>
        <v>46079</v>
      </c>
      <c r="B72" s="188">
        <f>[1]sales!B77</f>
        <v>0.7630555555555556</v>
      </c>
      <c r="C72" s="184" t="s">
        <v>49</v>
      </c>
      <c r="D72" s="14" t="str">
        <f>[1]sales!D77</f>
        <v xml:space="preserve"> Chorizo con papa/arepa</v>
      </c>
      <c r="E72" s="3">
        <f>+[1]sales!G77</f>
        <v>1</v>
      </c>
      <c r="F72" s="195">
        <f>+_xlfn.XLOOKUP(sales[[#This Row],[Fecha]],OPEX_SALES!A:A,OPEX_SALES!B:B)</f>
        <v>1</v>
      </c>
      <c r="G72" s="14" t="str">
        <f>+_xlfn.XLOOKUP(sales[[#This Row],[Fecha]],OPEX_SALES!A:A,OPEX_SALES!E:E)</f>
        <v>A) Día hábil</v>
      </c>
      <c r="H72" s="14" t="str">
        <f>+TEXT(sales[[#This Row],[Fecha]],"ddd")</f>
        <v>jue</v>
      </c>
      <c r="I72" s="185">
        <f>+sales[[#This Row],[Venta]]-sales[[#This Row],[costo_venta]]</f>
        <v>3660</v>
      </c>
      <c r="J72" s="101">
        <f>[1]sales!K77</f>
        <v>8000</v>
      </c>
      <c r="K72" s="79">
        <f>[1]sales!I77</f>
        <v>0</v>
      </c>
      <c r="L72" s="52">
        <f>[1]sales!J77</f>
        <v>8000</v>
      </c>
      <c r="M72" s="1">
        <f>[1]sales!L77*sales[[#This Row],[cantidad]]</f>
        <v>4340</v>
      </c>
      <c r="N72" s="37">
        <f>+(sales[[#This Row],[Venta]]-sales[[#This Row],[costo_venta]])/sales[[#This Row],[Venta]]</f>
        <v>0.45750000000000002</v>
      </c>
    </row>
    <row r="73" spans="1:14" x14ac:dyDescent="0.2">
      <c r="A73" s="14">
        <f>[1]sales!A78</f>
        <v>46079</v>
      </c>
      <c r="B73" s="188">
        <f>[1]sales!B78</f>
        <v>0.76405092592592594</v>
      </c>
      <c r="C73" s="184" t="s">
        <v>49</v>
      </c>
      <c r="D73" s="14" t="str">
        <f>[1]sales!D78</f>
        <v xml:space="preserve"> Chorizo con papa/arepa</v>
      </c>
      <c r="E73" s="3">
        <f>+[1]sales!G78</f>
        <v>1</v>
      </c>
      <c r="F73" s="195">
        <f>+_xlfn.XLOOKUP(sales[[#This Row],[Fecha]],OPEX_SALES!A:A,OPEX_SALES!B:B)</f>
        <v>1</v>
      </c>
      <c r="G73" s="14" t="str">
        <f>+_xlfn.XLOOKUP(sales[[#This Row],[Fecha]],OPEX_SALES!A:A,OPEX_SALES!E:E)</f>
        <v>A) Día hábil</v>
      </c>
      <c r="H73" s="14" t="str">
        <f>+TEXT(sales[[#This Row],[Fecha]],"ddd")</f>
        <v>jue</v>
      </c>
      <c r="I73" s="185">
        <f>+sales[[#This Row],[Venta]]-sales[[#This Row],[costo_venta]]</f>
        <v>3660</v>
      </c>
      <c r="J73" s="101">
        <f>[1]sales!K78</f>
        <v>8000</v>
      </c>
      <c r="K73" s="79">
        <f>[1]sales!I78</f>
        <v>8000</v>
      </c>
      <c r="L73" s="52">
        <f>[1]sales!J78</f>
        <v>0</v>
      </c>
      <c r="M73" s="1">
        <f>[1]sales!L78*sales[[#This Row],[cantidad]]</f>
        <v>4340</v>
      </c>
      <c r="N73" s="37">
        <f>+(sales[[#This Row],[Venta]]-sales[[#This Row],[costo_venta]])/sales[[#This Row],[Venta]]</f>
        <v>0.45750000000000002</v>
      </c>
    </row>
    <row r="74" spans="1:14" x14ac:dyDescent="0.2">
      <c r="A74" s="14">
        <f>[1]sales!A79</f>
        <v>46079</v>
      </c>
      <c r="B74" s="188">
        <f>[1]sales!B79</f>
        <v>0.77359953703703699</v>
      </c>
      <c r="C74" s="184" t="s">
        <v>49</v>
      </c>
      <c r="D74" s="14" t="str">
        <f>[1]sales!D79</f>
        <v xml:space="preserve"> Chorizo con papa/arepa</v>
      </c>
      <c r="E74" s="3">
        <f>+[1]sales!G79</f>
        <v>1</v>
      </c>
      <c r="F74" s="195">
        <f>+_xlfn.XLOOKUP(sales[[#This Row],[Fecha]],OPEX_SALES!A:A,OPEX_SALES!B:B)</f>
        <v>1</v>
      </c>
      <c r="G74" s="14" t="str">
        <f>+_xlfn.XLOOKUP(sales[[#This Row],[Fecha]],OPEX_SALES!A:A,OPEX_SALES!E:E)</f>
        <v>A) Día hábil</v>
      </c>
      <c r="H74" s="14" t="str">
        <f>+TEXT(sales[[#This Row],[Fecha]],"ddd")</f>
        <v>jue</v>
      </c>
      <c r="I74" s="185">
        <f>+sales[[#This Row],[Venta]]-sales[[#This Row],[costo_venta]]</f>
        <v>3660</v>
      </c>
      <c r="J74" s="101">
        <f>[1]sales!K79</f>
        <v>8000</v>
      </c>
      <c r="K74" s="79">
        <f>[1]sales!I79</f>
        <v>0</v>
      </c>
      <c r="L74" s="52">
        <f>[1]sales!J79</f>
        <v>8000</v>
      </c>
      <c r="M74" s="1">
        <f>[1]sales!L79*sales[[#This Row],[cantidad]]</f>
        <v>4340</v>
      </c>
      <c r="N74" s="37">
        <f>+(sales[[#This Row],[Venta]]-sales[[#This Row],[costo_venta]])/sales[[#This Row],[Venta]]</f>
        <v>0.45750000000000002</v>
      </c>
    </row>
    <row r="75" spans="1:14" x14ac:dyDescent="0.2">
      <c r="A75" s="14">
        <f>[1]sales!A80</f>
        <v>46079</v>
      </c>
      <c r="B75" s="188">
        <f>[1]sales!B80</f>
        <v>0.79465277777777776</v>
      </c>
      <c r="C75" s="184" t="s">
        <v>49</v>
      </c>
      <c r="D75" s="14" t="str">
        <f>[1]sales!D80</f>
        <v xml:space="preserve"> Chorizo con papa/arepa</v>
      </c>
      <c r="E75" s="3">
        <f>+[1]sales!G80</f>
        <v>2</v>
      </c>
      <c r="F75" s="195">
        <f>+_xlfn.XLOOKUP(sales[[#This Row],[Fecha]],OPEX_SALES!A:A,OPEX_SALES!B:B)</f>
        <v>1</v>
      </c>
      <c r="G75" s="14" t="str">
        <f>+_xlfn.XLOOKUP(sales[[#This Row],[Fecha]],OPEX_SALES!A:A,OPEX_SALES!E:E)</f>
        <v>A) Día hábil</v>
      </c>
      <c r="H75" s="14" t="str">
        <f>+TEXT(sales[[#This Row],[Fecha]],"ddd")</f>
        <v>jue</v>
      </c>
      <c r="I75" s="185">
        <f>+sales[[#This Row],[Venta]]-sales[[#This Row],[costo_venta]]</f>
        <v>7320</v>
      </c>
      <c r="J75" s="101">
        <f>[1]sales!K80</f>
        <v>16000</v>
      </c>
      <c r="K75" s="79">
        <f>[1]sales!I80</f>
        <v>16000</v>
      </c>
      <c r="L75" s="52">
        <f>[1]sales!J80</f>
        <v>0</v>
      </c>
      <c r="M75" s="1">
        <f>[1]sales!L80*sales[[#This Row],[cantidad]]</f>
        <v>8680</v>
      </c>
      <c r="N75" s="37">
        <f>+(sales[[#This Row],[Venta]]-sales[[#This Row],[costo_venta]])/sales[[#This Row],[Venta]]</f>
        <v>0.45750000000000002</v>
      </c>
    </row>
    <row r="76" spans="1:14" x14ac:dyDescent="0.2">
      <c r="A76" s="14">
        <f>[1]sales!A81</f>
        <v>46079</v>
      </c>
      <c r="B76" s="188">
        <f>[1]sales!B81</f>
        <v>0.81241898148148151</v>
      </c>
      <c r="C76" s="184" t="s">
        <v>49</v>
      </c>
      <c r="D76" s="14" t="str">
        <f>[1]sales!D81</f>
        <v xml:space="preserve"> Chorizo con papa/arepa</v>
      </c>
      <c r="E76" s="3">
        <f>+[1]sales!G81</f>
        <v>2</v>
      </c>
      <c r="F76" s="195">
        <f>+_xlfn.XLOOKUP(sales[[#This Row],[Fecha]],OPEX_SALES!A:A,OPEX_SALES!B:B)</f>
        <v>1</v>
      </c>
      <c r="G76" s="14" t="str">
        <f>+_xlfn.XLOOKUP(sales[[#This Row],[Fecha]],OPEX_SALES!A:A,OPEX_SALES!E:E)</f>
        <v>A) Día hábil</v>
      </c>
      <c r="H76" s="14" t="str">
        <f>+TEXT(sales[[#This Row],[Fecha]],"ddd")</f>
        <v>jue</v>
      </c>
      <c r="I76" s="185">
        <f>+sales[[#This Row],[Venta]]-sales[[#This Row],[costo_venta]]</f>
        <v>7320</v>
      </c>
      <c r="J76" s="101">
        <f>[1]sales!K81</f>
        <v>16000</v>
      </c>
      <c r="K76" s="79">
        <f>[1]sales!I81</f>
        <v>0</v>
      </c>
      <c r="L76" s="52">
        <f>[1]sales!J81</f>
        <v>16000</v>
      </c>
      <c r="M76" s="1">
        <f>[1]sales!L81*sales[[#This Row],[cantidad]]</f>
        <v>8680</v>
      </c>
      <c r="N76" s="37">
        <f>+(sales[[#This Row],[Venta]]-sales[[#This Row],[costo_venta]])/sales[[#This Row],[Venta]]</f>
        <v>0.45750000000000002</v>
      </c>
    </row>
    <row r="77" spans="1:14" x14ac:dyDescent="0.2">
      <c r="A77" s="14">
        <f>[1]sales!A82</f>
        <v>46079</v>
      </c>
      <c r="B77" s="188">
        <f>[1]sales!B82</f>
        <v>0.81241898148148151</v>
      </c>
      <c r="C77" s="184" t="s">
        <v>49</v>
      </c>
      <c r="D77" s="14" t="str">
        <f>[1]sales!D82</f>
        <v>BEBIDA - Coca Cola</v>
      </c>
      <c r="E77" s="3">
        <f>+[1]sales!G82</f>
        <v>1</v>
      </c>
      <c r="F77" s="195">
        <f>+_xlfn.XLOOKUP(sales[[#This Row],[Fecha]],OPEX_SALES!A:A,OPEX_SALES!B:B)</f>
        <v>1</v>
      </c>
      <c r="G77" s="14" t="str">
        <f>+_xlfn.XLOOKUP(sales[[#This Row],[Fecha]],OPEX_SALES!A:A,OPEX_SALES!E:E)</f>
        <v>A) Día hábil</v>
      </c>
      <c r="H77" s="14" t="str">
        <f>+TEXT(sales[[#This Row],[Fecha]],"ddd")</f>
        <v>jue</v>
      </c>
      <c r="I77" s="185">
        <f>+sales[[#This Row],[Venta]]-sales[[#This Row],[costo_venta]]</f>
        <v>1800</v>
      </c>
      <c r="J77" s="101">
        <f>[1]sales!K82</f>
        <v>3000</v>
      </c>
      <c r="K77" s="79">
        <f>[1]sales!I82</f>
        <v>0</v>
      </c>
      <c r="L77" s="52">
        <f>[1]sales!J82</f>
        <v>3000</v>
      </c>
      <c r="M77" s="1">
        <f>[1]sales!L82*sales[[#This Row],[cantidad]]</f>
        <v>1200</v>
      </c>
      <c r="N77" s="37">
        <f>+(sales[[#This Row],[Venta]]-sales[[#This Row],[costo_venta]])/sales[[#This Row],[Venta]]</f>
        <v>0.6</v>
      </c>
    </row>
    <row r="78" spans="1:14" x14ac:dyDescent="0.2">
      <c r="A78" s="14">
        <f>[1]sales!A83</f>
        <v>46079</v>
      </c>
      <c r="B78" s="188">
        <f>[1]sales!B83</f>
        <v>0.81355324074074076</v>
      </c>
      <c r="C78" s="184" t="s">
        <v>49</v>
      </c>
      <c r="D78" s="14" t="str">
        <f>[1]sales!D83</f>
        <v xml:space="preserve"> Chorizo con papa/arepa</v>
      </c>
      <c r="E78" s="3">
        <f>+[1]sales!G83</f>
        <v>1</v>
      </c>
      <c r="F78" s="195">
        <f>+_xlfn.XLOOKUP(sales[[#This Row],[Fecha]],OPEX_SALES!A:A,OPEX_SALES!B:B)</f>
        <v>1</v>
      </c>
      <c r="G78" s="14" t="str">
        <f>+_xlfn.XLOOKUP(sales[[#This Row],[Fecha]],OPEX_SALES!A:A,OPEX_SALES!E:E)</f>
        <v>A) Día hábil</v>
      </c>
      <c r="H78" s="14" t="str">
        <f>+TEXT(sales[[#This Row],[Fecha]],"ddd")</f>
        <v>jue</v>
      </c>
      <c r="I78" s="185">
        <f>+sales[[#This Row],[Venta]]-sales[[#This Row],[costo_venta]]</f>
        <v>3660</v>
      </c>
      <c r="J78" s="101">
        <f>[1]sales!K83</f>
        <v>8000</v>
      </c>
      <c r="K78" s="79">
        <f>[1]sales!I83</f>
        <v>8000</v>
      </c>
      <c r="L78" s="52">
        <f>[1]sales!J83</f>
        <v>0</v>
      </c>
      <c r="M78" s="1">
        <f>[1]sales!L83*sales[[#This Row],[cantidad]]</f>
        <v>4340</v>
      </c>
      <c r="N78" s="37">
        <f>+(sales[[#This Row],[Venta]]-sales[[#This Row],[costo_venta]])/sales[[#This Row],[Venta]]</f>
        <v>0.45750000000000002</v>
      </c>
    </row>
    <row r="79" spans="1:14" x14ac:dyDescent="0.2">
      <c r="A79" s="14">
        <f>[1]sales!A84</f>
        <v>46079</v>
      </c>
      <c r="B79" s="188">
        <f>[1]sales!B84</f>
        <v>0.81472222222222224</v>
      </c>
      <c r="C79" s="184" t="s">
        <v>49</v>
      </c>
      <c r="D79" s="14" t="str">
        <f>[1]sales!D84</f>
        <v xml:space="preserve"> Chorizo con papa/arepa</v>
      </c>
      <c r="E79" s="3">
        <f>+[1]sales!G84</f>
        <v>1</v>
      </c>
      <c r="F79" s="195">
        <f>+_xlfn.XLOOKUP(sales[[#This Row],[Fecha]],OPEX_SALES!A:A,OPEX_SALES!B:B)</f>
        <v>1</v>
      </c>
      <c r="G79" s="14" t="str">
        <f>+_xlfn.XLOOKUP(sales[[#This Row],[Fecha]],OPEX_SALES!A:A,OPEX_SALES!E:E)</f>
        <v>A) Día hábil</v>
      </c>
      <c r="H79" s="14" t="str">
        <f>+TEXT(sales[[#This Row],[Fecha]],"ddd")</f>
        <v>jue</v>
      </c>
      <c r="I79" s="185">
        <f>+sales[[#This Row],[Venta]]-sales[[#This Row],[costo_venta]]</f>
        <v>3660</v>
      </c>
      <c r="J79" s="101">
        <f>[1]sales!K84</f>
        <v>8000</v>
      </c>
      <c r="K79" s="79">
        <f>[1]sales!I84</f>
        <v>8000</v>
      </c>
      <c r="L79" s="52">
        <f>[1]sales!J84</f>
        <v>0</v>
      </c>
      <c r="M79" s="1">
        <f>[1]sales!L84*sales[[#This Row],[cantidad]]</f>
        <v>4340</v>
      </c>
      <c r="N79" s="37">
        <f>+(sales[[#This Row],[Venta]]-sales[[#This Row],[costo_venta]])/sales[[#This Row],[Venta]]</f>
        <v>0.45750000000000002</v>
      </c>
    </row>
    <row r="80" spans="1:14" x14ac:dyDescent="0.2">
      <c r="A80" s="14">
        <f>[1]sales!A85</f>
        <v>46079</v>
      </c>
      <c r="B80" s="188">
        <f>[1]sales!B85</f>
        <v>0.84375</v>
      </c>
      <c r="C80" s="184" t="s">
        <v>49</v>
      </c>
      <c r="D80" s="14" t="str">
        <f>[1]sales!D85</f>
        <v xml:space="preserve"> Chorizo con papa/arepa</v>
      </c>
      <c r="E80" s="3">
        <f>+[1]sales!G85</f>
        <v>1</v>
      </c>
      <c r="F80" s="195">
        <f>+_xlfn.XLOOKUP(sales[[#This Row],[Fecha]],OPEX_SALES!A:A,OPEX_SALES!B:B)</f>
        <v>1</v>
      </c>
      <c r="G80" s="14" t="str">
        <f>+_xlfn.XLOOKUP(sales[[#This Row],[Fecha]],OPEX_SALES!A:A,OPEX_SALES!E:E)</f>
        <v>A) Día hábil</v>
      </c>
      <c r="H80" s="14" t="str">
        <f>+TEXT(sales[[#This Row],[Fecha]],"ddd")</f>
        <v>jue</v>
      </c>
      <c r="I80" s="185">
        <f>+sales[[#This Row],[Venta]]-sales[[#This Row],[costo_venta]]</f>
        <v>3660</v>
      </c>
      <c r="J80" s="101">
        <f>[1]sales!K85</f>
        <v>8000</v>
      </c>
      <c r="K80" s="79">
        <f>[1]sales!I85</f>
        <v>8000</v>
      </c>
      <c r="L80" s="52">
        <f>[1]sales!J85</f>
        <v>0</v>
      </c>
      <c r="M80" s="1">
        <f>[1]sales!L85*sales[[#This Row],[cantidad]]</f>
        <v>4340</v>
      </c>
      <c r="N80" s="37">
        <f>+(sales[[#This Row],[Venta]]-sales[[#This Row],[costo_venta]])/sales[[#This Row],[Venta]]</f>
        <v>0.45750000000000002</v>
      </c>
    </row>
    <row r="81" spans="1:14" x14ac:dyDescent="0.2">
      <c r="A81" s="14">
        <f>[1]sales!A86</f>
        <v>46079</v>
      </c>
      <c r="B81" s="188">
        <f>[1]sales!B86</f>
        <v>0.84375</v>
      </c>
      <c r="C81" s="184" t="s">
        <v>49</v>
      </c>
      <c r="D81" s="14" t="str">
        <f>[1]sales!D86</f>
        <v>BEBIDA - Postobón</v>
      </c>
      <c r="E81" s="3">
        <f>+[1]sales!G86</f>
        <v>1</v>
      </c>
      <c r="F81" s="195">
        <f>+_xlfn.XLOOKUP(sales[[#This Row],[Fecha]],OPEX_SALES!A:A,OPEX_SALES!B:B)</f>
        <v>1</v>
      </c>
      <c r="G81" s="14" t="str">
        <f>+_xlfn.XLOOKUP(sales[[#This Row],[Fecha]],OPEX_SALES!A:A,OPEX_SALES!E:E)</f>
        <v>A) Día hábil</v>
      </c>
      <c r="H81" s="14" t="str">
        <f>+TEXT(sales[[#This Row],[Fecha]],"ddd")</f>
        <v>jue</v>
      </c>
      <c r="I81" s="185">
        <f>+sales[[#This Row],[Venta]]-sales[[#This Row],[costo_venta]]</f>
        <v>1866.67</v>
      </c>
      <c r="J81" s="101">
        <f>[1]sales!K86</f>
        <v>3000</v>
      </c>
      <c r="K81" s="79">
        <f>[1]sales!I86</f>
        <v>3000</v>
      </c>
      <c r="L81" s="52">
        <f>[1]sales!J86</f>
        <v>0</v>
      </c>
      <c r="M81" s="1">
        <f>[1]sales!L86*sales[[#This Row],[cantidad]]</f>
        <v>1133.33</v>
      </c>
      <c r="N81" s="37">
        <f>+(sales[[#This Row],[Venta]]-sales[[#This Row],[costo_venta]])/sales[[#This Row],[Venta]]</f>
        <v>0.62222333333333335</v>
      </c>
    </row>
    <row r="82" spans="1:14" x14ac:dyDescent="0.2">
      <c r="A82" s="14">
        <f>[1]sales!A87</f>
        <v>46079</v>
      </c>
      <c r="B82" s="188">
        <f>[1]sales!B87</f>
        <v>0.84394675925925922</v>
      </c>
      <c r="C82" s="184" t="s">
        <v>49</v>
      </c>
      <c r="D82" s="14" t="str">
        <f>[1]sales!D87</f>
        <v xml:space="preserve"> Chorizo con papa/arepa</v>
      </c>
      <c r="E82" s="3">
        <f>+[1]sales!G87</f>
        <v>1</v>
      </c>
      <c r="F82" s="195">
        <f>+_xlfn.XLOOKUP(sales[[#This Row],[Fecha]],OPEX_SALES!A:A,OPEX_SALES!B:B)</f>
        <v>1</v>
      </c>
      <c r="G82" s="14" t="str">
        <f>+_xlfn.XLOOKUP(sales[[#This Row],[Fecha]],OPEX_SALES!A:A,OPEX_SALES!E:E)</f>
        <v>A) Día hábil</v>
      </c>
      <c r="H82" s="14" t="str">
        <f>+TEXT(sales[[#This Row],[Fecha]],"ddd")</f>
        <v>jue</v>
      </c>
      <c r="I82" s="185">
        <f>+sales[[#This Row],[Venta]]-sales[[#This Row],[costo_venta]]</f>
        <v>3660</v>
      </c>
      <c r="J82" s="101">
        <f>[1]sales!K87</f>
        <v>8000</v>
      </c>
      <c r="K82" s="79">
        <f>[1]sales!I87</f>
        <v>0</v>
      </c>
      <c r="L82" s="52">
        <f>[1]sales!J87</f>
        <v>8000</v>
      </c>
      <c r="M82" s="1">
        <f>[1]sales!L87*sales[[#This Row],[cantidad]]</f>
        <v>4340</v>
      </c>
      <c r="N82" s="37">
        <f>+(sales[[#This Row],[Venta]]-sales[[#This Row],[costo_venta]])/sales[[#This Row],[Venta]]</f>
        <v>0.45750000000000002</v>
      </c>
    </row>
    <row r="83" spans="1:14" x14ac:dyDescent="0.2">
      <c r="A83" s="14">
        <f>[1]sales!A88</f>
        <v>46079</v>
      </c>
      <c r="B83" s="188">
        <f>[1]sales!B88</f>
        <v>0.84410879629629632</v>
      </c>
      <c r="C83" s="184" t="s">
        <v>49</v>
      </c>
      <c r="D83" s="14" t="str">
        <f>[1]sales!D88</f>
        <v xml:space="preserve"> Chorizo con papa/arepa</v>
      </c>
      <c r="E83" s="3">
        <f>+[1]sales!G88</f>
        <v>1</v>
      </c>
      <c r="F83" s="195">
        <f>+_xlfn.XLOOKUP(sales[[#This Row],[Fecha]],OPEX_SALES!A:A,OPEX_SALES!B:B)</f>
        <v>1</v>
      </c>
      <c r="G83" s="14" t="str">
        <f>+_xlfn.XLOOKUP(sales[[#This Row],[Fecha]],OPEX_SALES!A:A,OPEX_SALES!E:E)</f>
        <v>A) Día hábil</v>
      </c>
      <c r="H83" s="14" t="str">
        <f>+TEXT(sales[[#This Row],[Fecha]],"ddd")</f>
        <v>jue</v>
      </c>
      <c r="I83" s="185">
        <f>+sales[[#This Row],[Venta]]-sales[[#This Row],[costo_venta]]</f>
        <v>3660</v>
      </c>
      <c r="J83" s="101">
        <f>[1]sales!K88</f>
        <v>8000</v>
      </c>
      <c r="K83" s="79">
        <f>[1]sales!I88</f>
        <v>0</v>
      </c>
      <c r="L83" s="52">
        <f>[1]sales!J88</f>
        <v>8000</v>
      </c>
      <c r="M83" s="1">
        <f>[1]sales!L88*sales[[#This Row],[cantidad]]</f>
        <v>4340</v>
      </c>
      <c r="N83" s="37">
        <f>+(sales[[#This Row],[Venta]]-sales[[#This Row],[costo_venta]])/sales[[#This Row],[Venta]]</f>
        <v>0.45750000000000002</v>
      </c>
    </row>
    <row r="84" spans="1:14" x14ac:dyDescent="0.2">
      <c r="A84" s="14">
        <f>[1]sales!A89</f>
        <v>46080</v>
      </c>
      <c r="B84" s="188">
        <f>[1]sales!B89</f>
        <v>0.63017361111111114</v>
      </c>
      <c r="C84" s="184" t="s">
        <v>49</v>
      </c>
      <c r="D84" s="14" t="str">
        <f>[1]sales!D89</f>
        <v xml:space="preserve"> Chorizo con papa/arepa</v>
      </c>
      <c r="E84" s="3">
        <f>+[1]sales!G89</f>
        <v>1</v>
      </c>
      <c r="F84" s="195">
        <f>+_xlfn.XLOOKUP(sales[[#This Row],[Fecha]],OPEX_SALES!A:A,OPEX_SALES!B:B)</f>
        <v>1</v>
      </c>
      <c r="G84" s="14" t="str">
        <f>+_xlfn.XLOOKUP(sales[[#This Row],[Fecha]],OPEX_SALES!A:A,OPEX_SALES!E:E)</f>
        <v>B) Viernes</v>
      </c>
      <c r="H84" s="14" t="str">
        <f>+TEXT(sales[[#This Row],[Fecha]],"ddd")</f>
        <v>vie</v>
      </c>
      <c r="I84" s="185">
        <f>+sales[[#This Row],[Venta]]-sales[[#This Row],[costo_venta]]</f>
        <v>3660</v>
      </c>
      <c r="J84" s="101">
        <f>[1]sales!K89</f>
        <v>8000</v>
      </c>
      <c r="K84" s="79">
        <f>[1]sales!I89</f>
        <v>0</v>
      </c>
      <c r="L84" s="52">
        <f>[1]sales!J89</f>
        <v>8000</v>
      </c>
      <c r="M84" s="1">
        <f>[1]sales!L89*sales[[#This Row],[cantidad]]</f>
        <v>4340</v>
      </c>
      <c r="N84" s="37">
        <f>+(sales[[#This Row],[Venta]]-sales[[#This Row],[costo_venta]])/sales[[#This Row],[Venta]]</f>
        <v>0.45750000000000002</v>
      </c>
    </row>
    <row r="85" spans="1:14" x14ac:dyDescent="0.2">
      <c r="A85" s="14">
        <f>[1]sales!A90</f>
        <v>46080</v>
      </c>
      <c r="B85" s="188">
        <f>[1]sales!B90</f>
        <v>0.63017361111111114</v>
      </c>
      <c r="C85" s="184" t="s">
        <v>49</v>
      </c>
      <c r="D85" s="14" t="str">
        <f>[1]sales!D90</f>
        <v>BEBIDA - Postobón</v>
      </c>
      <c r="E85" s="3">
        <f>+[1]sales!G90</f>
        <v>1</v>
      </c>
      <c r="F85" s="195">
        <f>+_xlfn.XLOOKUP(sales[[#This Row],[Fecha]],OPEX_SALES!A:A,OPEX_SALES!B:B)</f>
        <v>1</v>
      </c>
      <c r="G85" s="14" t="str">
        <f>+_xlfn.XLOOKUP(sales[[#This Row],[Fecha]],OPEX_SALES!A:A,OPEX_SALES!E:E)</f>
        <v>B) Viernes</v>
      </c>
      <c r="H85" s="14" t="str">
        <f>+TEXT(sales[[#This Row],[Fecha]],"ddd")</f>
        <v>vie</v>
      </c>
      <c r="I85" s="185">
        <f>+sales[[#This Row],[Venta]]-sales[[#This Row],[costo_venta]]</f>
        <v>1866.67</v>
      </c>
      <c r="J85" s="101">
        <f>[1]sales!K90</f>
        <v>3000</v>
      </c>
      <c r="K85" s="79">
        <f>[1]sales!I90</f>
        <v>0</v>
      </c>
      <c r="L85" s="52">
        <f>[1]sales!J90</f>
        <v>3000</v>
      </c>
      <c r="M85" s="1">
        <f>[1]sales!L90*sales[[#This Row],[cantidad]]</f>
        <v>1133.33</v>
      </c>
      <c r="N85" s="37">
        <f>+(sales[[#This Row],[Venta]]-sales[[#This Row],[costo_venta]])/sales[[#This Row],[Venta]]</f>
        <v>0.62222333333333335</v>
      </c>
    </row>
    <row r="86" spans="1:14" x14ac:dyDescent="0.2">
      <c r="A86" s="14">
        <f>[1]sales!A91</f>
        <v>46080</v>
      </c>
      <c r="B86" s="188">
        <f>[1]sales!B91</f>
        <v>0.63124999999999998</v>
      </c>
      <c r="C86" s="184" t="s">
        <v>49</v>
      </c>
      <c r="D86" s="14" t="str">
        <f>[1]sales!D91</f>
        <v xml:space="preserve"> Chorizo con papa/arepa</v>
      </c>
      <c r="E86" s="3">
        <f>+[1]sales!G91</f>
        <v>1</v>
      </c>
      <c r="F86" s="195">
        <f>+_xlfn.XLOOKUP(sales[[#This Row],[Fecha]],OPEX_SALES!A:A,OPEX_SALES!B:B)</f>
        <v>1</v>
      </c>
      <c r="G86" s="14" t="str">
        <f>+_xlfn.XLOOKUP(sales[[#This Row],[Fecha]],OPEX_SALES!A:A,OPEX_SALES!E:E)</f>
        <v>B) Viernes</v>
      </c>
      <c r="H86" s="14" t="str">
        <f>+TEXT(sales[[#This Row],[Fecha]],"ddd")</f>
        <v>vie</v>
      </c>
      <c r="I86" s="185">
        <f>+sales[[#This Row],[Venta]]-sales[[#This Row],[costo_venta]]</f>
        <v>3660</v>
      </c>
      <c r="J86" s="101">
        <f>[1]sales!K91</f>
        <v>8000</v>
      </c>
      <c r="K86" s="79">
        <f>[1]sales!I91</f>
        <v>8000</v>
      </c>
      <c r="L86" s="52">
        <f>[1]sales!J91</f>
        <v>0</v>
      </c>
      <c r="M86" s="1">
        <f>[1]sales!L91*sales[[#This Row],[cantidad]]</f>
        <v>4340</v>
      </c>
      <c r="N86" s="37">
        <f>+(sales[[#This Row],[Venta]]-sales[[#This Row],[costo_venta]])/sales[[#This Row],[Venta]]</f>
        <v>0.45750000000000002</v>
      </c>
    </row>
    <row r="87" spans="1:14" x14ac:dyDescent="0.2">
      <c r="A87" s="14">
        <f>[1]sales!A92</f>
        <v>46080</v>
      </c>
      <c r="B87" s="188">
        <f>[1]sales!B92</f>
        <v>0.71579861111111109</v>
      </c>
      <c r="C87" s="184" t="s">
        <v>49</v>
      </c>
      <c r="D87" s="14" t="str">
        <f>[1]sales!D92</f>
        <v xml:space="preserve"> Chorizo con papa/arepa</v>
      </c>
      <c r="E87" s="3">
        <f>+[1]sales!G92</f>
        <v>1</v>
      </c>
      <c r="F87" s="195">
        <f>+_xlfn.XLOOKUP(sales[[#This Row],[Fecha]],OPEX_SALES!A:A,OPEX_SALES!B:B)</f>
        <v>1</v>
      </c>
      <c r="G87" s="14" t="str">
        <f>+_xlfn.XLOOKUP(sales[[#This Row],[Fecha]],OPEX_SALES!A:A,OPEX_SALES!E:E)</f>
        <v>B) Viernes</v>
      </c>
      <c r="H87" s="14" t="str">
        <f>+TEXT(sales[[#This Row],[Fecha]],"ddd")</f>
        <v>vie</v>
      </c>
      <c r="I87" s="185">
        <f>+sales[[#This Row],[Venta]]-sales[[#This Row],[costo_venta]]</f>
        <v>3660</v>
      </c>
      <c r="J87" s="101">
        <f>[1]sales!K92</f>
        <v>8000</v>
      </c>
      <c r="K87" s="79">
        <f>[1]sales!I92</f>
        <v>8000</v>
      </c>
      <c r="L87" s="52">
        <f>[1]sales!J92</f>
        <v>0</v>
      </c>
      <c r="M87" s="1">
        <f>[1]sales!L92*sales[[#This Row],[cantidad]]</f>
        <v>4340</v>
      </c>
      <c r="N87" s="37">
        <f>+(sales[[#This Row],[Venta]]-sales[[#This Row],[costo_venta]])/sales[[#This Row],[Venta]]</f>
        <v>0.45750000000000002</v>
      </c>
    </row>
    <row r="88" spans="1:14" x14ac:dyDescent="0.2">
      <c r="A88" s="14">
        <f>[1]sales!A93</f>
        <v>46080</v>
      </c>
      <c r="B88" s="188">
        <f>[1]sales!B93</f>
        <v>0.71579861111111109</v>
      </c>
      <c r="C88" s="184" t="s">
        <v>49</v>
      </c>
      <c r="D88" s="14" t="str">
        <f>[1]sales!D93</f>
        <v>Parrillada de 35</v>
      </c>
      <c r="E88" s="3">
        <f>+[1]sales!G93</f>
        <v>1</v>
      </c>
      <c r="F88" s="195">
        <f>+_xlfn.XLOOKUP(sales[[#This Row],[Fecha]],OPEX_SALES!A:A,OPEX_SALES!B:B)</f>
        <v>1</v>
      </c>
      <c r="G88" s="14" t="str">
        <f>+_xlfn.XLOOKUP(sales[[#This Row],[Fecha]],OPEX_SALES!A:A,OPEX_SALES!E:E)</f>
        <v>B) Viernes</v>
      </c>
      <c r="H88" s="14" t="str">
        <f>+TEXT(sales[[#This Row],[Fecha]],"ddd")</f>
        <v>vie</v>
      </c>
      <c r="I88" s="185">
        <f>+sales[[#This Row],[Venta]]-sales[[#This Row],[costo_venta]]</f>
        <v>-965000</v>
      </c>
      <c r="J88" s="101">
        <f>[1]sales!K93</f>
        <v>35000</v>
      </c>
      <c r="K88" s="79">
        <f>[1]sales!I93</f>
        <v>35000</v>
      </c>
      <c r="L88" s="52">
        <f>[1]sales!J93</f>
        <v>0</v>
      </c>
      <c r="M88" s="1">
        <f>[1]sales!L93*sales[[#This Row],[cantidad]]</f>
        <v>1000000</v>
      </c>
      <c r="N88" s="37">
        <f>+(sales[[#This Row],[Venta]]-sales[[#This Row],[costo_venta]])/sales[[#This Row],[Venta]]</f>
        <v>-27.571428571428573</v>
      </c>
    </row>
    <row r="89" spans="1:14" x14ac:dyDescent="0.2">
      <c r="A89" s="14">
        <f>[1]sales!A94</f>
        <v>46080</v>
      </c>
      <c r="B89" s="188">
        <f>[1]sales!B94</f>
        <v>0.71579861111111109</v>
      </c>
      <c r="C89" s="184" t="s">
        <v>49</v>
      </c>
      <c r="D89" s="14" t="str">
        <f>[1]sales!D94</f>
        <v>Tinto</v>
      </c>
      <c r="E89" s="3">
        <f>+[1]sales!G94</f>
        <v>1</v>
      </c>
      <c r="F89" s="195">
        <f>+_xlfn.XLOOKUP(sales[[#This Row],[Fecha]],OPEX_SALES!A:A,OPEX_SALES!B:B)</f>
        <v>1</v>
      </c>
      <c r="G89" s="14" t="str">
        <f>+_xlfn.XLOOKUP(sales[[#This Row],[Fecha]],OPEX_SALES!A:A,OPEX_SALES!E:E)</f>
        <v>B) Viernes</v>
      </c>
      <c r="H89" s="14" t="str">
        <f>+TEXT(sales[[#This Row],[Fecha]],"ddd")</f>
        <v>vie</v>
      </c>
      <c r="I89" s="185">
        <f>+sales[[#This Row],[Venta]]-sales[[#This Row],[costo_venta]]</f>
        <v>-998000</v>
      </c>
      <c r="J89" s="101">
        <f>[1]sales!K94</f>
        <v>2000</v>
      </c>
      <c r="K89" s="79">
        <f>[1]sales!I94</f>
        <v>2000</v>
      </c>
      <c r="L89" s="52">
        <f>[1]sales!J94</f>
        <v>0</v>
      </c>
      <c r="M89" s="1">
        <f>[1]sales!L94*sales[[#This Row],[cantidad]]</f>
        <v>1000000</v>
      </c>
      <c r="N89" s="37">
        <f>+(sales[[#This Row],[Venta]]-sales[[#This Row],[costo_venta]])/sales[[#This Row],[Venta]]</f>
        <v>-499</v>
      </c>
    </row>
    <row r="90" spans="1:14" x14ac:dyDescent="0.2">
      <c r="A90" s="14">
        <f>[1]sales!A95</f>
        <v>46080</v>
      </c>
      <c r="B90" s="188">
        <f>[1]sales!B95</f>
        <v>0.72542824074074075</v>
      </c>
      <c r="C90" s="184" t="s">
        <v>49</v>
      </c>
      <c r="D90" s="14" t="str">
        <f>[1]sales!D95</f>
        <v xml:space="preserve"> Chorizo con papa/arepa</v>
      </c>
      <c r="E90" s="3">
        <f>+[1]sales!G95</f>
        <v>3</v>
      </c>
      <c r="F90" s="195">
        <f>+_xlfn.XLOOKUP(sales[[#This Row],[Fecha]],OPEX_SALES!A:A,OPEX_SALES!B:B)</f>
        <v>1</v>
      </c>
      <c r="G90" s="14" t="str">
        <f>+_xlfn.XLOOKUP(sales[[#This Row],[Fecha]],OPEX_SALES!A:A,OPEX_SALES!E:E)</f>
        <v>B) Viernes</v>
      </c>
      <c r="H90" s="14" t="str">
        <f>+TEXT(sales[[#This Row],[Fecha]],"ddd")</f>
        <v>vie</v>
      </c>
      <c r="I90" s="185">
        <f>+sales[[#This Row],[Venta]]-sales[[#This Row],[costo_venta]]</f>
        <v>10980</v>
      </c>
      <c r="J90" s="101">
        <f>[1]sales!K95</f>
        <v>24000</v>
      </c>
      <c r="K90" s="79">
        <f>[1]sales!I95</f>
        <v>24000</v>
      </c>
      <c r="L90" s="52">
        <f>[1]sales!J95</f>
        <v>0</v>
      </c>
      <c r="M90" s="1">
        <f>[1]sales!L95*sales[[#This Row],[cantidad]]</f>
        <v>13020</v>
      </c>
      <c r="N90" s="37">
        <f>+(sales[[#This Row],[Venta]]-sales[[#This Row],[costo_venta]])/sales[[#This Row],[Venta]]</f>
        <v>0.45750000000000002</v>
      </c>
    </row>
    <row r="91" spans="1:14" x14ac:dyDescent="0.2">
      <c r="A91" s="14">
        <f>[1]sales!A96</f>
        <v>46080</v>
      </c>
      <c r="B91" s="188">
        <f>[1]sales!B96</f>
        <v>0.72542824074074075</v>
      </c>
      <c r="C91" s="184" t="s">
        <v>49</v>
      </c>
      <c r="D91" s="14" t="str">
        <f>[1]sales!D96</f>
        <v>BEBIDA - Coca Cola</v>
      </c>
      <c r="E91" s="3">
        <f>+[1]sales!G96</f>
        <v>2</v>
      </c>
      <c r="F91" s="195">
        <f>+_xlfn.XLOOKUP(sales[[#This Row],[Fecha]],OPEX_SALES!A:A,OPEX_SALES!B:B)</f>
        <v>1</v>
      </c>
      <c r="G91" s="14" t="str">
        <f>+_xlfn.XLOOKUP(sales[[#This Row],[Fecha]],OPEX_SALES!A:A,OPEX_SALES!E:E)</f>
        <v>B) Viernes</v>
      </c>
      <c r="H91" s="14" t="str">
        <f>+TEXT(sales[[#This Row],[Fecha]],"ddd")</f>
        <v>vie</v>
      </c>
      <c r="I91" s="185">
        <f>+sales[[#This Row],[Venta]]-sales[[#This Row],[costo_venta]]</f>
        <v>3600</v>
      </c>
      <c r="J91" s="101">
        <f>[1]sales!K96</f>
        <v>6000</v>
      </c>
      <c r="K91" s="79">
        <f>[1]sales!I96</f>
        <v>6000</v>
      </c>
      <c r="L91" s="52">
        <f>[1]sales!J96</f>
        <v>0</v>
      </c>
      <c r="M91" s="1">
        <f>[1]sales!L96*sales[[#This Row],[cantidad]]</f>
        <v>2400</v>
      </c>
      <c r="N91" s="37">
        <f>+(sales[[#This Row],[Venta]]-sales[[#This Row],[costo_venta]])/sales[[#This Row],[Venta]]</f>
        <v>0.6</v>
      </c>
    </row>
    <row r="92" spans="1:14" x14ac:dyDescent="0.2">
      <c r="A92" s="14">
        <f>[1]sales!A97</f>
        <v>46080</v>
      </c>
      <c r="B92" s="188">
        <f>[1]sales!B97</f>
        <v>0.72542824074074075</v>
      </c>
      <c r="C92" s="184" t="s">
        <v>49</v>
      </c>
      <c r="D92" s="14" t="str">
        <f>[1]sales!D97</f>
        <v>Parrillada de 35</v>
      </c>
      <c r="E92" s="3">
        <f>+[1]sales!G97</f>
        <v>1</v>
      </c>
      <c r="F92" s="195">
        <f>+_xlfn.XLOOKUP(sales[[#This Row],[Fecha]],OPEX_SALES!A:A,OPEX_SALES!B:B)</f>
        <v>1</v>
      </c>
      <c r="G92" s="14" t="str">
        <f>+_xlfn.XLOOKUP(sales[[#This Row],[Fecha]],OPEX_SALES!A:A,OPEX_SALES!E:E)</f>
        <v>B) Viernes</v>
      </c>
      <c r="H92" s="14" t="str">
        <f>+TEXT(sales[[#This Row],[Fecha]],"ddd")</f>
        <v>vie</v>
      </c>
      <c r="I92" s="185">
        <f>+sales[[#This Row],[Venta]]-sales[[#This Row],[costo_venta]]</f>
        <v>-965000</v>
      </c>
      <c r="J92" s="101">
        <f>[1]sales!K97</f>
        <v>35000</v>
      </c>
      <c r="K92" s="79">
        <f>[1]sales!I97</f>
        <v>35000</v>
      </c>
      <c r="L92" s="52">
        <f>[1]sales!J97</f>
        <v>0</v>
      </c>
      <c r="M92" s="1">
        <f>[1]sales!L97*sales[[#This Row],[cantidad]]</f>
        <v>1000000</v>
      </c>
      <c r="N92" s="37">
        <f>+(sales[[#This Row],[Venta]]-sales[[#This Row],[costo_venta]])/sales[[#This Row],[Venta]]</f>
        <v>-27.571428571428573</v>
      </c>
    </row>
    <row r="93" spans="1:14" x14ac:dyDescent="0.2">
      <c r="A93" s="14">
        <f>[1]sales!A98</f>
        <v>46080</v>
      </c>
      <c r="B93" s="188">
        <f>[1]sales!B98</f>
        <v>0.74226851851851849</v>
      </c>
      <c r="C93" s="184" t="s">
        <v>49</v>
      </c>
      <c r="D93" s="14" t="str">
        <f>[1]sales!D98</f>
        <v xml:space="preserve"> Chorizo con papa/arepa</v>
      </c>
      <c r="E93" s="3">
        <f>+[1]sales!G98</f>
        <v>2</v>
      </c>
      <c r="F93" s="195">
        <f>+_xlfn.XLOOKUP(sales[[#This Row],[Fecha]],OPEX_SALES!A:A,OPEX_SALES!B:B)</f>
        <v>1</v>
      </c>
      <c r="G93" s="14" t="str">
        <f>+_xlfn.XLOOKUP(sales[[#This Row],[Fecha]],OPEX_SALES!A:A,OPEX_SALES!E:E)</f>
        <v>B) Viernes</v>
      </c>
      <c r="H93" s="14" t="str">
        <f>+TEXT(sales[[#This Row],[Fecha]],"ddd")</f>
        <v>vie</v>
      </c>
      <c r="I93" s="185">
        <f>+sales[[#This Row],[Venta]]-sales[[#This Row],[costo_venta]]</f>
        <v>7320</v>
      </c>
      <c r="J93" s="101">
        <f>[1]sales!K98</f>
        <v>16000</v>
      </c>
      <c r="K93" s="79">
        <f>[1]sales!I98</f>
        <v>16000</v>
      </c>
      <c r="L93" s="52">
        <f>[1]sales!J98</f>
        <v>0</v>
      </c>
      <c r="M93" s="1">
        <f>[1]sales!L98*sales[[#This Row],[cantidad]]</f>
        <v>8680</v>
      </c>
      <c r="N93" s="37">
        <f>+(sales[[#This Row],[Venta]]-sales[[#This Row],[costo_venta]])/sales[[#This Row],[Venta]]</f>
        <v>0.45750000000000002</v>
      </c>
    </row>
    <row r="94" spans="1:14" x14ac:dyDescent="0.2">
      <c r="A94" s="14">
        <f>[1]sales!A99</f>
        <v>46080</v>
      </c>
      <c r="B94" s="188">
        <f>[1]sales!B99</f>
        <v>0.74226851851851849</v>
      </c>
      <c r="C94" s="184" t="s">
        <v>49</v>
      </c>
      <c r="D94" s="14" t="str">
        <f>[1]sales!D99</f>
        <v>BEBIDA - Coca Cola</v>
      </c>
      <c r="E94" s="3">
        <f>+[1]sales!G99</f>
        <v>1</v>
      </c>
      <c r="F94" s="195">
        <f>+_xlfn.XLOOKUP(sales[[#This Row],[Fecha]],OPEX_SALES!A:A,OPEX_SALES!B:B)</f>
        <v>1</v>
      </c>
      <c r="G94" s="14" t="str">
        <f>+_xlfn.XLOOKUP(sales[[#This Row],[Fecha]],OPEX_SALES!A:A,OPEX_SALES!E:E)</f>
        <v>B) Viernes</v>
      </c>
      <c r="H94" s="14" t="str">
        <f>+TEXT(sales[[#This Row],[Fecha]],"ddd")</f>
        <v>vie</v>
      </c>
      <c r="I94" s="185">
        <f>+sales[[#This Row],[Venta]]-sales[[#This Row],[costo_venta]]</f>
        <v>1800</v>
      </c>
      <c r="J94" s="101">
        <f>[1]sales!K99</f>
        <v>3000</v>
      </c>
      <c r="K94" s="79">
        <f>[1]sales!I99</f>
        <v>3000</v>
      </c>
      <c r="L94" s="52">
        <f>[1]sales!J99</f>
        <v>0</v>
      </c>
      <c r="M94" s="1">
        <f>[1]sales!L99*sales[[#This Row],[cantidad]]</f>
        <v>1200</v>
      </c>
      <c r="N94" s="37">
        <f>+(sales[[#This Row],[Venta]]-sales[[#This Row],[costo_venta]])/sales[[#This Row],[Venta]]</f>
        <v>0.6</v>
      </c>
    </row>
    <row r="95" spans="1:14" x14ac:dyDescent="0.2">
      <c r="A95" s="14">
        <f>[1]sales!A100</f>
        <v>46080</v>
      </c>
      <c r="B95" s="188">
        <f>[1]sales!B100</f>
        <v>0.76141203703703708</v>
      </c>
      <c r="C95" s="184" t="s">
        <v>49</v>
      </c>
      <c r="D95" s="14" t="str">
        <f>[1]sales!D100</f>
        <v xml:space="preserve"> Chorizo con papa/arepa</v>
      </c>
      <c r="E95" s="3">
        <f>+[1]sales!G100</f>
        <v>3</v>
      </c>
      <c r="F95" s="195">
        <f>+_xlfn.XLOOKUP(sales[[#This Row],[Fecha]],OPEX_SALES!A:A,OPEX_SALES!B:B)</f>
        <v>1</v>
      </c>
      <c r="G95" s="14" t="str">
        <f>+_xlfn.XLOOKUP(sales[[#This Row],[Fecha]],OPEX_SALES!A:A,OPEX_SALES!E:E)</f>
        <v>B) Viernes</v>
      </c>
      <c r="H95" s="14" t="str">
        <f>+TEXT(sales[[#This Row],[Fecha]],"ddd")</f>
        <v>vie</v>
      </c>
      <c r="I95" s="185">
        <f>+sales[[#This Row],[Venta]]-sales[[#This Row],[costo_venta]]</f>
        <v>10980</v>
      </c>
      <c r="J95" s="101">
        <f>[1]sales!K100</f>
        <v>24000</v>
      </c>
      <c r="K95" s="79">
        <f>[1]sales!I100</f>
        <v>0</v>
      </c>
      <c r="L95" s="52">
        <f>[1]sales!J100</f>
        <v>24000</v>
      </c>
      <c r="M95" s="1">
        <f>[1]sales!L100*sales[[#This Row],[cantidad]]</f>
        <v>13020</v>
      </c>
      <c r="N95" s="37">
        <f>+(sales[[#This Row],[Venta]]-sales[[#This Row],[costo_venta]])/sales[[#This Row],[Venta]]</f>
        <v>0.45750000000000002</v>
      </c>
    </row>
    <row r="96" spans="1:14" x14ac:dyDescent="0.2">
      <c r="A96" s="14">
        <f>[1]sales!A101</f>
        <v>46080</v>
      </c>
      <c r="B96" s="188">
        <f>[1]sales!B101</f>
        <v>0.82401620370370365</v>
      </c>
      <c r="C96" s="184" t="s">
        <v>49</v>
      </c>
      <c r="D96" s="14" t="str">
        <f>[1]sales!D101</f>
        <v xml:space="preserve"> Chorizo con papa/arepa</v>
      </c>
      <c r="E96" s="3">
        <f>+[1]sales!G101</f>
        <v>1</v>
      </c>
      <c r="F96" s="195">
        <f>+_xlfn.XLOOKUP(sales[[#This Row],[Fecha]],OPEX_SALES!A:A,OPEX_SALES!B:B)</f>
        <v>1</v>
      </c>
      <c r="G96" s="14" t="str">
        <f>+_xlfn.XLOOKUP(sales[[#This Row],[Fecha]],OPEX_SALES!A:A,OPEX_SALES!E:E)</f>
        <v>B) Viernes</v>
      </c>
      <c r="H96" s="14" t="str">
        <f>+TEXT(sales[[#This Row],[Fecha]],"ddd")</f>
        <v>vie</v>
      </c>
      <c r="I96" s="185">
        <f>+sales[[#This Row],[Venta]]-sales[[#This Row],[costo_venta]]</f>
        <v>3660</v>
      </c>
      <c r="J96" s="101">
        <f>[1]sales!K101</f>
        <v>8000</v>
      </c>
      <c r="K96" s="79">
        <f>[1]sales!I101</f>
        <v>0</v>
      </c>
      <c r="L96" s="52">
        <f>[1]sales!J101</f>
        <v>8000</v>
      </c>
      <c r="M96" s="1">
        <f>[1]sales!L101*sales[[#This Row],[cantidad]]</f>
        <v>4340</v>
      </c>
      <c r="N96" s="37">
        <f>+(sales[[#This Row],[Venta]]-sales[[#This Row],[costo_venta]])/sales[[#This Row],[Venta]]</f>
        <v>0.45750000000000002</v>
      </c>
    </row>
    <row r="97" spans="1:14" x14ac:dyDescent="0.2">
      <c r="A97" s="14">
        <f>[1]sales!A102</f>
        <v>46080</v>
      </c>
      <c r="B97" s="188">
        <f>[1]sales!B102</f>
        <v>0.82401620370370365</v>
      </c>
      <c r="C97" s="184" t="s">
        <v>49</v>
      </c>
      <c r="D97" s="14" t="str">
        <f>[1]sales!D102</f>
        <v>BEBIDA - Botella de Agua</v>
      </c>
      <c r="E97" s="3">
        <f>+[1]sales!G102</f>
        <v>1</v>
      </c>
      <c r="F97" s="195">
        <f>+_xlfn.XLOOKUP(sales[[#This Row],[Fecha]],OPEX_SALES!A:A,OPEX_SALES!B:B)</f>
        <v>1</v>
      </c>
      <c r="G97" s="14" t="str">
        <f>+_xlfn.XLOOKUP(sales[[#This Row],[Fecha]],OPEX_SALES!A:A,OPEX_SALES!E:E)</f>
        <v>B) Viernes</v>
      </c>
      <c r="H97" s="14" t="str">
        <f>+TEXT(sales[[#This Row],[Fecha]],"ddd")</f>
        <v>vie</v>
      </c>
      <c r="I97" s="185">
        <f>+sales[[#This Row],[Venta]]-sales[[#This Row],[costo_venta]]</f>
        <v>2083.33</v>
      </c>
      <c r="J97" s="101">
        <f>[1]sales!K102</f>
        <v>3500</v>
      </c>
      <c r="K97" s="79">
        <f>[1]sales!I102</f>
        <v>0</v>
      </c>
      <c r="L97" s="52">
        <f>[1]sales!J102</f>
        <v>3500</v>
      </c>
      <c r="M97" s="1">
        <f>[1]sales!L102*sales[[#This Row],[cantidad]]</f>
        <v>1416.67</v>
      </c>
      <c r="N97" s="37">
        <f>+(sales[[#This Row],[Venta]]-sales[[#This Row],[costo_venta]])/sales[[#This Row],[Venta]]</f>
        <v>0.5952371428571428</v>
      </c>
    </row>
    <row r="98" spans="1:14" x14ac:dyDescent="0.2">
      <c r="A98" s="14">
        <f>[1]sales!A103</f>
        <v>46080</v>
      </c>
      <c r="B98" s="188">
        <f>[1]sales!B103</f>
        <v>0.83636574074074077</v>
      </c>
      <c r="C98" s="184" t="s">
        <v>49</v>
      </c>
      <c r="D98" s="14" t="str">
        <f>[1]sales!D103</f>
        <v xml:space="preserve"> Chorizo con papa/arepa</v>
      </c>
      <c r="E98" s="3">
        <f>+[1]sales!G103</f>
        <v>2</v>
      </c>
      <c r="F98" s="195">
        <f>+_xlfn.XLOOKUP(sales[[#This Row],[Fecha]],OPEX_SALES!A:A,OPEX_SALES!B:B)</f>
        <v>1</v>
      </c>
      <c r="G98" s="14" t="str">
        <f>+_xlfn.XLOOKUP(sales[[#This Row],[Fecha]],OPEX_SALES!A:A,OPEX_SALES!E:E)</f>
        <v>B) Viernes</v>
      </c>
      <c r="H98" s="14" t="str">
        <f>+TEXT(sales[[#This Row],[Fecha]],"ddd")</f>
        <v>vie</v>
      </c>
      <c r="I98" s="185">
        <f>+sales[[#This Row],[Venta]]-sales[[#This Row],[costo_venta]]</f>
        <v>7320</v>
      </c>
      <c r="J98" s="101">
        <f>[1]sales!K103</f>
        <v>16000</v>
      </c>
      <c r="K98" s="79">
        <f>[1]sales!I103</f>
        <v>0</v>
      </c>
      <c r="L98" s="52">
        <f>[1]sales!J103</f>
        <v>16000</v>
      </c>
      <c r="M98" s="1">
        <f>[1]sales!L103*sales[[#This Row],[cantidad]]</f>
        <v>8680</v>
      </c>
      <c r="N98" s="37">
        <f>+(sales[[#This Row],[Venta]]-sales[[#This Row],[costo_venta]])/sales[[#This Row],[Venta]]</f>
        <v>0.45750000000000002</v>
      </c>
    </row>
    <row r="99" spans="1:14" x14ac:dyDescent="0.2">
      <c r="A99" s="14">
        <f>[1]sales!A104</f>
        <v>46080</v>
      </c>
      <c r="B99" s="188">
        <f>[1]sales!B104</f>
        <v>0.83721064814814816</v>
      </c>
      <c r="C99" s="184" t="s">
        <v>49</v>
      </c>
      <c r="D99" s="14" t="str">
        <f>[1]sales!D104</f>
        <v xml:space="preserve"> Chorizo con papa/arepa</v>
      </c>
      <c r="E99" s="3">
        <f>+[1]sales!G104</f>
        <v>4</v>
      </c>
      <c r="F99" s="195">
        <f>+_xlfn.XLOOKUP(sales[[#This Row],[Fecha]],OPEX_SALES!A:A,OPEX_SALES!B:B)</f>
        <v>1</v>
      </c>
      <c r="G99" s="14" t="str">
        <f>+_xlfn.XLOOKUP(sales[[#This Row],[Fecha]],OPEX_SALES!A:A,OPEX_SALES!E:E)</f>
        <v>B) Viernes</v>
      </c>
      <c r="H99" s="14" t="str">
        <f>+TEXT(sales[[#This Row],[Fecha]],"ddd")</f>
        <v>vie</v>
      </c>
      <c r="I99" s="185">
        <f>+sales[[#This Row],[Venta]]-sales[[#This Row],[costo_venta]]</f>
        <v>14640</v>
      </c>
      <c r="J99" s="101">
        <f>[1]sales!K104</f>
        <v>32000</v>
      </c>
      <c r="K99" s="79">
        <f>[1]sales!I104</f>
        <v>32000</v>
      </c>
      <c r="L99" s="52">
        <f>[1]sales!J104</f>
        <v>0</v>
      </c>
      <c r="M99" s="1">
        <f>[1]sales!L104*sales[[#This Row],[cantidad]]</f>
        <v>17360</v>
      </c>
      <c r="N99" s="37">
        <f>+(sales[[#This Row],[Venta]]-sales[[#This Row],[costo_venta]])/sales[[#This Row],[Venta]]</f>
        <v>0.45750000000000002</v>
      </c>
    </row>
    <row r="100" spans="1:14" x14ac:dyDescent="0.2">
      <c r="A100" s="14">
        <f>[1]sales!A105</f>
        <v>46080</v>
      </c>
      <c r="B100" s="188">
        <f>[1]sales!B105</f>
        <v>0.83721064814814816</v>
      </c>
      <c r="C100" s="184" t="s">
        <v>49</v>
      </c>
      <c r="D100" s="14" t="str">
        <f>[1]sales!D105</f>
        <v>BEBIDA - Coca Cola</v>
      </c>
      <c r="E100" s="3">
        <f>+[1]sales!G105</f>
        <v>3</v>
      </c>
      <c r="F100" s="195">
        <f>+_xlfn.XLOOKUP(sales[[#This Row],[Fecha]],OPEX_SALES!A:A,OPEX_SALES!B:B)</f>
        <v>1</v>
      </c>
      <c r="G100" s="14" t="str">
        <f>+_xlfn.XLOOKUP(sales[[#This Row],[Fecha]],OPEX_SALES!A:A,OPEX_SALES!E:E)</f>
        <v>B) Viernes</v>
      </c>
      <c r="H100" s="14" t="str">
        <f>+TEXT(sales[[#This Row],[Fecha]],"ddd")</f>
        <v>vie</v>
      </c>
      <c r="I100" s="185">
        <f>+sales[[#This Row],[Venta]]-sales[[#This Row],[costo_venta]]</f>
        <v>5400</v>
      </c>
      <c r="J100" s="101">
        <f>[1]sales!K105</f>
        <v>9000</v>
      </c>
      <c r="K100" s="79">
        <f>[1]sales!I105</f>
        <v>9000</v>
      </c>
      <c r="L100" s="52">
        <f>[1]sales!J105</f>
        <v>0</v>
      </c>
      <c r="M100" s="1">
        <f>[1]sales!L105*sales[[#This Row],[cantidad]]</f>
        <v>3600</v>
      </c>
      <c r="N100" s="37">
        <f>+(sales[[#This Row],[Venta]]-sales[[#This Row],[costo_venta]])/sales[[#This Row],[Venta]]</f>
        <v>0.6</v>
      </c>
    </row>
    <row r="101" spans="1:14" x14ac:dyDescent="0.2">
      <c r="A101" s="14">
        <f>[1]sales!A106</f>
        <v>46080</v>
      </c>
      <c r="B101" s="188">
        <f>[1]sales!B106</f>
        <v>0.83902777777777782</v>
      </c>
      <c r="C101" s="184" t="s">
        <v>49</v>
      </c>
      <c r="D101" s="14" t="str">
        <f>[1]sales!D106</f>
        <v xml:space="preserve"> Chorizo con papa/arepa</v>
      </c>
      <c r="E101" s="3">
        <f>+[1]sales!G106</f>
        <v>1</v>
      </c>
      <c r="F101" s="195">
        <f>+_xlfn.XLOOKUP(sales[[#This Row],[Fecha]],OPEX_SALES!A:A,OPEX_SALES!B:B)</f>
        <v>1</v>
      </c>
      <c r="G101" s="14" t="str">
        <f>+_xlfn.XLOOKUP(sales[[#This Row],[Fecha]],OPEX_SALES!A:A,OPEX_SALES!E:E)</f>
        <v>B) Viernes</v>
      </c>
      <c r="H101" s="14" t="str">
        <f>+TEXT(sales[[#This Row],[Fecha]],"ddd")</f>
        <v>vie</v>
      </c>
      <c r="I101" s="185">
        <f>+sales[[#This Row],[Venta]]-sales[[#This Row],[costo_venta]]</f>
        <v>3660</v>
      </c>
      <c r="J101" s="101">
        <f>[1]sales!K106</f>
        <v>8000</v>
      </c>
      <c r="K101" s="79">
        <f>[1]sales!I106</f>
        <v>8000</v>
      </c>
      <c r="L101" s="52">
        <f>[1]sales!J106</f>
        <v>0</v>
      </c>
      <c r="M101" s="1">
        <f>[1]sales!L106*sales[[#This Row],[cantidad]]</f>
        <v>4340</v>
      </c>
      <c r="N101" s="37">
        <f>+(sales[[#This Row],[Venta]]-sales[[#This Row],[costo_venta]])/sales[[#This Row],[Venta]]</f>
        <v>0.45750000000000002</v>
      </c>
    </row>
    <row r="102" spans="1:14" x14ac:dyDescent="0.2">
      <c r="A102" s="14">
        <f>[1]sales!A107</f>
        <v>46081</v>
      </c>
      <c r="B102" s="188">
        <f>[1]sales!B107</f>
        <v>0.78979166666666667</v>
      </c>
      <c r="C102" s="184" t="s">
        <v>49</v>
      </c>
      <c r="D102" s="14" t="str">
        <f>[1]sales!D107</f>
        <v>z. MP -  Chorizo CRUDO</v>
      </c>
      <c r="E102" s="3">
        <f>+[1]sales!G107</f>
        <v>6</v>
      </c>
      <c r="F102" s="195">
        <f>+_xlfn.XLOOKUP(sales[[#This Row],[Fecha]],OPEX_SALES!A:A,OPEX_SALES!B:B)</f>
        <v>1</v>
      </c>
      <c r="G102" s="14" t="str">
        <f>+_xlfn.XLOOKUP(sales[[#This Row],[Fecha]],OPEX_SALES!A:A,OPEX_SALES!E:E)</f>
        <v>C) Sábado</v>
      </c>
      <c r="H102" s="14" t="str">
        <f>+TEXT(sales[[#This Row],[Fecha]],"ddd")</f>
        <v>sáb</v>
      </c>
      <c r="I102" s="185">
        <f>+sales[[#This Row],[Venta]]-sales[[#This Row],[costo_venta]]</f>
        <v>6000</v>
      </c>
      <c r="J102" s="101">
        <f>[1]sales!K107</f>
        <v>27000</v>
      </c>
      <c r="K102" s="79">
        <f>[1]sales!I107</f>
        <v>27000</v>
      </c>
      <c r="L102" s="52">
        <f>[1]sales!J107</f>
        <v>0</v>
      </c>
      <c r="M102" s="1">
        <f>[1]sales!L107*sales[[#This Row],[cantidad]]</f>
        <v>21000</v>
      </c>
      <c r="N102" s="37">
        <f>+(sales[[#This Row],[Venta]]-sales[[#This Row],[costo_venta]])/sales[[#This Row],[Venta]]</f>
        <v>0.22222222222222221</v>
      </c>
    </row>
    <row r="103" spans="1:14" x14ac:dyDescent="0.2">
      <c r="A103" s="14">
        <f>[1]sales!A108</f>
        <v>46081</v>
      </c>
      <c r="B103" s="188">
        <f>[1]sales!B108</f>
        <v>0.79023148148148148</v>
      </c>
      <c r="C103" s="184" t="s">
        <v>49</v>
      </c>
      <c r="D103" s="14" t="str">
        <f>[1]sales!D108</f>
        <v xml:space="preserve"> Chorizo con papa/arepa</v>
      </c>
      <c r="E103" s="3">
        <f>+[1]sales!G108</f>
        <v>2</v>
      </c>
      <c r="F103" s="195">
        <f>+_xlfn.XLOOKUP(sales[[#This Row],[Fecha]],OPEX_SALES!A:A,OPEX_SALES!B:B)</f>
        <v>1</v>
      </c>
      <c r="G103" s="14" t="str">
        <f>+_xlfn.XLOOKUP(sales[[#This Row],[Fecha]],OPEX_SALES!A:A,OPEX_SALES!E:E)</f>
        <v>C) Sábado</v>
      </c>
      <c r="H103" s="14" t="str">
        <f>+TEXT(sales[[#This Row],[Fecha]],"ddd")</f>
        <v>sáb</v>
      </c>
      <c r="I103" s="185">
        <f>+sales[[#This Row],[Venta]]-sales[[#This Row],[costo_venta]]</f>
        <v>7320</v>
      </c>
      <c r="J103" s="101">
        <f>[1]sales!K108</f>
        <v>16000</v>
      </c>
      <c r="K103" s="79">
        <f>[1]sales!I108</f>
        <v>0</v>
      </c>
      <c r="L103" s="52">
        <f>[1]sales!J108</f>
        <v>16000</v>
      </c>
      <c r="M103" s="1">
        <f>[1]sales!L108*sales[[#This Row],[cantidad]]</f>
        <v>8680</v>
      </c>
      <c r="N103" s="37">
        <f>+(sales[[#This Row],[Venta]]-sales[[#This Row],[costo_venta]])/sales[[#This Row],[Venta]]</f>
        <v>0.45750000000000002</v>
      </c>
    </row>
    <row r="104" spans="1:14" x14ac:dyDescent="0.2">
      <c r="A104" s="14">
        <f>[1]sales!A109</f>
        <v>46081</v>
      </c>
      <c r="B104" s="188">
        <f>[1]sales!B109</f>
        <v>0.79096064814814815</v>
      </c>
      <c r="C104" s="184" t="s">
        <v>49</v>
      </c>
      <c r="D104" s="14" t="str">
        <f>[1]sales!D109</f>
        <v xml:space="preserve"> Chorizo con papa/arepa</v>
      </c>
      <c r="E104" s="3">
        <f>+[1]sales!G109</f>
        <v>1</v>
      </c>
      <c r="F104" s="195">
        <f>+_xlfn.XLOOKUP(sales[[#This Row],[Fecha]],OPEX_SALES!A:A,OPEX_SALES!B:B)</f>
        <v>1</v>
      </c>
      <c r="G104" s="14" t="str">
        <f>+_xlfn.XLOOKUP(sales[[#This Row],[Fecha]],OPEX_SALES!A:A,OPEX_SALES!E:E)</f>
        <v>C) Sábado</v>
      </c>
      <c r="H104" s="14" t="str">
        <f>+TEXT(sales[[#This Row],[Fecha]],"ddd")</f>
        <v>sáb</v>
      </c>
      <c r="I104" s="185">
        <f>+sales[[#This Row],[Venta]]-sales[[#This Row],[costo_venta]]</f>
        <v>3660</v>
      </c>
      <c r="J104" s="101">
        <f>[1]sales!K109</f>
        <v>8000</v>
      </c>
      <c r="K104" s="79">
        <f>[1]sales!I109</f>
        <v>0</v>
      </c>
      <c r="L104" s="52">
        <f>[1]sales!J109</f>
        <v>8000</v>
      </c>
      <c r="M104" s="1">
        <f>[1]sales!L109*sales[[#This Row],[cantidad]]</f>
        <v>4340</v>
      </c>
      <c r="N104" s="37">
        <f>+(sales[[#This Row],[Venta]]-sales[[#This Row],[costo_venta]])/sales[[#This Row],[Venta]]</f>
        <v>0.45750000000000002</v>
      </c>
    </row>
    <row r="105" spans="1:14" x14ac:dyDescent="0.2">
      <c r="A105" s="14">
        <f>[1]sales!A110</f>
        <v>46081</v>
      </c>
      <c r="B105" s="188">
        <f>[1]sales!B110</f>
        <v>0.79096064814814815</v>
      </c>
      <c r="C105" s="184" t="s">
        <v>49</v>
      </c>
      <c r="D105" s="14" t="str">
        <f>[1]sales!D110</f>
        <v>BEBIDA - Botella de Agua</v>
      </c>
      <c r="E105" s="3">
        <f>+[1]sales!G110</f>
        <v>1</v>
      </c>
      <c r="F105" s="195">
        <f>+_xlfn.XLOOKUP(sales[[#This Row],[Fecha]],OPEX_SALES!A:A,OPEX_SALES!B:B)</f>
        <v>1</v>
      </c>
      <c r="G105" s="14" t="str">
        <f>+_xlfn.XLOOKUP(sales[[#This Row],[Fecha]],OPEX_SALES!A:A,OPEX_SALES!E:E)</f>
        <v>C) Sábado</v>
      </c>
      <c r="H105" s="14" t="str">
        <f>+TEXT(sales[[#This Row],[Fecha]],"ddd")</f>
        <v>sáb</v>
      </c>
      <c r="I105" s="185">
        <f>+sales[[#This Row],[Venta]]-sales[[#This Row],[costo_venta]]</f>
        <v>2083.33</v>
      </c>
      <c r="J105" s="101">
        <f>[1]sales!K110</f>
        <v>3500</v>
      </c>
      <c r="K105" s="79">
        <f>[1]sales!I110</f>
        <v>0</v>
      </c>
      <c r="L105" s="52">
        <f>[1]sales!J110</f>
        <v>3500</v>
      </c>
      <c r="M105" s="1">
        <f>[1]sales!L110*sales[[#This Row],[cantidad]]</f>
        <v>1416.67</v>
      </c>
      <c r="N105" s="37">
        <f>+(sales[[#This Row],[Venta]]-sales[[#This Row],[costo_venta]])/sales[[#This Row],[Venta]]</f>
        <v>0.5952371428571428</v>
      </c>
    </row>
    <row r="106" spans="1:14" x14ac:dyDescent="0.2">
      <c r="A106" s="14">
        <f>[1]sales!A111</f>
        <v>46081</v>
      </c>
      <c r="B106" s="188">
        <f>[1]sales!B111</f>
        <v>0.79096064814814815</v>
      </c>
      <c r="C106" s="184" t="s">
        <v>49</v>
      </c>
      <c r="D106" s="14" t="str">
        <f>[1]sales!D111</f>
        <v>Tinto</v>
      </c>
      <c r="E106" s="3">
        <f>+[1]sales!G111</f>
        <v>1</v>
      </c>
      <c r="F106" s="195">
        <f>+_xlfn.XLOOKUP(sales[[#This Row],[Fecha]],OPEX_SALES!A:A,OPEX_SALES!B:B)</f>
        <v>1</v>
      </c>
      <c r="G106" s="14" t="str">
        <f>+_xlfn.XLOOKUP(sales[[#This Row],[Fecha]],OPEX_SALES!A:A,OPEX_SALES!E:E)</f>
        <v>C) Sábado</v>
      </c>
      <c r="H106" s="14" t="str">
        <f>+TEXT(sales[[#This Row],[Fecha]],"ddd")</f>
        <v>sáb</v>
      </c>
      <c r="I106" s="185">
        <f>+sales[[#This Row],[Venta]]-sales[[#This Row],[costo_venta]]</f>
        <v>-998000</v>
      </c>
      <c r="J106" s="101">
        <f>[1]sales!K111</f>
        <v>2000</v>
      </c>
      <c r="K106" s="79">
        <f>[1]sales!I111</f>
        <v>0</v>
      </c>
      <c r="L106" s="52">
        <f>[1]sales!J111</f>
        <v>2000</v>
      </c>
      <c r="M106" s="1">
        <f>[1]sales!L111*sales[[#This Row],[cantidad]]</f>
        <v>1000000</v>
      </c>
      <c r="N106" s="37">
        <f>+(sales[[#This Row],[Venta]]-sales[[#This Row],[costo_venta]])/sales[[#This Row],[Venta]]</f>
        <v>-499</v>
      </c>
    </row>
    <row r="107" spans="1:14" x14ac:dyDescent="0.2">
      <c r="A107" s="14">
        <f>[1]sales!A112</f>
        <v>46081</v>
      </c>
      <c r="B107" s="188">
        <f>[1]sales!B112</f>
        <v>0.79240740740740745</v>
      </c>
      <c r="C107" s="184" t="s">
        <v>49</v>
      </c>
      <c r="D107" s="14" t="str">
        <f>[1]sales!D112</f>
        <v xml:space="preserve"> Chorizo con papa/arepa</v>
      </c>
      <c r="E107" s="3">
        <f>+[1]sales!G112</f>
        <v>2</v>
      </c>
      <c r="F107" s="195">
        <f>+_xlfn.XLOOKUP(sales[[#This Row],[Fecha]],OPEX_SALES!A:A,OPEX_SALES!B:B)</f>
        <v>1</v>
      </c>
      <c r="G107" s="14" t="str">
        <f>+_xlfn.XLOOKUP(sales[[#This Row],[Fecha]],OPEX_SALES!A:A,OPEX_SALES!E:E)</f>
        <v>C) Sábado</v>
      </c>
      <c r="H107" s="14" t="str">
        <f>+TEXT(sales[[#This Row],[Fecha]],"ddd")</f>
        <v>sáb</v>
      </c>
      <c r="I107" s="185">
        <f>+sales[[#This Row],[Venta]]-sales[[#This Row],[costo_venta]]</f>
        <v>7320</v>
      </c>
      <c r="J107" s="101">
        <f>[1]sales!K112</f>
        <v>16000</v>
      </c>
      <c r="K107" s="79">
        <f>[1]sales!I112</f>
        <v>16000</v>
      </c>
      <c r="L107" s="52">
        <f>[1]sales!J112</f>
        <v>0</v>
      </c>
      <c r="M107" s="1">
        <f>[1]sales!L112*sales[[#This Row],[cantidad]]</f>
        <v>8680</v>
      </c>
      <c r="N107" s="37">
        <f>+(sales[[#This Row],[Venta]]-sales[[#This Row],[costo_venta]])/sales[[#This Row],[Venta]]</f>
        <v>0.45750000000000002</v>
      </c>
    </row>
    <row r="108" spans="1:14" x14ac:dyDescent="0.2">
      <c r="A108" s="14">
        <f>[1]sales!A113</f>
        <v>46081</v>
      </c>
      <c r="B108" s="188">
        <f>[1]sales!B113</f>
        <v>0.79240740740740745</v>
      </c>
      <c r="C108" s="184" t="s">
        <v>49</v>
      </c>
      <c r="D108" s="14" t="str">
        <f>[1]sales!D113</f>
        <v>BEBIDA - Coca Cola</v>
      </c>
      <c r="E108" s="3">
        <f>+[1]sales!G113</f>
        <v>1</v>
      </c>
      <c r="F108" s="195">
        <f>+_xlfn.XLOOKUP(sales[[#This Row],[Fecha]],OPEX_SALES!A:A,OPEX_SALES!B:B)</f>
        <v>1</v>
      </c>
      <c r="G108" s="14" t="str">
        <f>+_xlfn.XLOOKUP(sales[[#This Row],[Fecha]],OPEX_SALES!A:A,OPEX_SALES!E:E)</f>
        <v>C) Sábado</v>
      </c>
      <c r="H108" s="14" t="str">
        <f>+TEXT(sales[[#This Row],[Fecha]],"ddd")</f>
        <v>sáb</v>
      </c>
      <c r="I108" s="185">
        <f>+sales[[#This Row],[Venta]]-sales[[#This Row],[costo_venta]]</f>
        <v>1800</v>
      </c>
      <c r="J108" s="101">
        <f>[1]sales!K113</f>
        <v>3000</v>
      </c>
      <c r="K108" s="79">
        <f>[1]sales!I113</f>
        <v>3000</v>
      </c>
      <c r="L108" s="52">
        <f>[1]sales!J113</f>
        <v>0</v>
      </c>
      <c r="M108" s="1">
        <f>[1]sales!L113*sales[[#This Row],[cantidad]]</f>
        <v>1200</v>
      </c>
      <c r="N108" s="37">
        <f>+(sales[[#This Row],[Venta]]-sales[[#This Row],[costo_venta]])/sales[[#This Row],[Venta]]</f>
        <v>0.6</v>
      </c>
    </row>
    <row r="109" spans="1:14" x14ac:dyDescent="0.2">
      <c r="A109" s="14">
        <f>[1]sales!A114</f>
        <v>46081</v>
      </c>
      <c r="B109" s="188">
        <f>[1]sales!B114</f>
        <v>0.79320601851851846</v>
      </c>
      <c r="C109" s="184" t="s">
        <v>49</v>
      </c>
      <c r="D109" s="14" t="str">
        <f>[1]sales!D114</f>
        <v xml:space="preserve"> Chorizo con papa/arepa</v>
      </c>
      <c r="E109" s="3">
        <f>+[1]sales!G114</f>
        <v>2</v>
      </c>
      <c r="F109" s="195">
        <f>+_xlfn.XLOOKUP(sales[[#This Row],[Fecha]],OPEX_SALES!A:A,OPEX_SALES!B:B)</f>
        <v>1</v>
      </c>
      <c r="G109" s="14" t="str">
        <f>+_xlfn.XLOOKUP(sales[[#This Row],[Fecha]],OPEX_SALES!A:A,OPEX_SALES!E:E)</f>
        <v>C) Sábado</v>
      </c>
      <c r="H109" s="14" t="str">
        <f>+TEXT(sales[[#This Row],[Fecha]],"ddd")</f>
        <v>sáb</v>
      </c>
      <c r="I109" s="185">
        <f>+sales[[#This Row],[Venta]]-sales[[#This Row],[costo_venta]]</f>
        <v>7320</v>
      </c>
      <c r="J109" s="101">
        <f>[1]sales!K114</f>
        <v>16000</v>
      </c>
      <c r="K109" s="79">
        <f>[1]sales!I114</f>
        <v>16000</v>
      </c>
      <c r="L109" s="52">
        <f>[1]sales!J114</f>
        <v>0</v>
      </c>
      <c r="M109" s="1">
        <f>[1]sales!L114*sales[[#This Row],[cantidad]]</f>
        <v>8680</v>
      </c>
      <c r="N109" s="37">
        <f>+(sales[[#This Row],[Venta]]-sales[[#This Row],[costo_venta]])/sales[[#This Row],[Venta]]</f>
        <v>0.45750000000000002</v>
      </c>
    </row>
    <row r="110" spans="1:14" x14ac:dyDescent="0.2">
      <c r="A110" s="14">
        <f>[1]sales!A115</f>
        <v>46081</v>
      </c>
      <c r="B110" s="188">
        <f>[1]sales!B115</f>
        <v>0.79320601851851846</v>
      </c>
      <c r="C110" s="184" t="s">
        <v>49</v>
      </c>
      <c r="D110" s="14" t="str">
        <f>[1]sales!D115</f>
        <v>BEBIDA - Coca Cola</v>
      </c>
      <c r="E110" s="3">
        <f>+[1]sales!G115</f>
        <v>1</v>
      </c>
      <c r="F110" s="195">
        <f>+_xlfn.XLOOKUP(sales[[#This Row],[Fecha]],OPEX_SALES!A:A,OPEX_SALES!B:B)</f>
        <v>1</v>
      </c>
      <c r="G110" s="14" t="str">
        <f>+_xlfn.XLOOKUP(sales[[#This Row],[Fecha]],OPEX_SALES!A:A,OPEX_SALES!E:E)</f>
        <v>C) Sábado</v>
      </c>
      <c r="H110" s="14" t="str">
        <f>+TEXT(sales[[#This Row],[Fecha]],"ddd")</f>
        <v>sáb</v>
      </c>
      <c r="I110" s="185">
        <f>+sales[[#This Row],[Venta]]-sales[[#This Row],[costo_venta]]</f>
        <v>1800</v>
      </c>
      <c r="J110" s="101">
        <f>[1]sales!K115</f>
        <v>3000</v>
      </c>
      <c r="K110" s="79">
        <f>[1]sales!I115</f>
        <v>3000</v>
      </c>
      <c r="L110" s="52">
        <f>[1]sales!J115</f>
        <v>0</v>
      </c>
      <c r="M110" s="1">
        <f>[1]sales!L115*sales[[#This Row],[cantidad]]</f>
        <v>1200</v>
      </c>
      <c r="N110" s="37">
        <f>+(sales[[#This Row],[Venta]]-sales[[#This Row],[costo_venta]])/sales[[#This Row],[Venta]]</f>
        <v>0.6</v>
      </c>
    </row>
    <row r="111" spans="1:14" x14ac:dyDescent="0.2">
      <c r="A111" s="14">
        <f>[1]sales!A116</f>
        <v>46081</v>
      </c>
      <c r="B111" s="188">
        <f>[1]sales!B116</f>
        <v>0.79386574074074079</v>
      </c>
      <c r="C111" s="184" t="s">
        <v>49</v>
      </c>
      <c r="D111" s="14" t="str">
        <f>[1]sales!D116</f>
        <v xml:space="preserve"> Chorizo con papa/arepa</v>
      </c>
      <c r="E111" s="3">
        <f>+[1]sales!G116</f>
        <v>1</v>
      </c>
      <c r="F111" s="195">
        <f>+_xlfn.XLOOKUP(sales[[#This Row],[Fecha]],OPEX_SALES!A:A,OPEX_SALES!B:B)</f>
        <v>1</v>
      </c>
      <c r="G111" s="14" t="str">
        <f>+_xlfn.XLOOKUP(sales[[#This Row],[Fecha]],OPEX_SALES!A:A,OPEX_SALES!E:E)</f>
        <v>C) Sábado</v>
      </c>
      <c r="H111" s="14" t="str">
        <f>+TEXT(sales[[#This Row],[Fecha]],"ddd")</f>
        <v>sáb</v>
      </c>
      <c r="I111" s="185">
        <f>+sales[[#This Row],[Venta]]-sales[[#This Row],[costo_venta]]</f>
        <v>3660</v>
      </c>
      <c r="J111" s="101">
        <f>[1]sales!K116</f>
        <v>8000</v>
      </c>
      <c r="K111" s="79">
        <f>[1]sales!I116</f>
        <v>8000</v>
      </c>
      <c r="L111" s="52">
        <f>[1]sales!J116</f>
        <v>0</v>
      </c>
      <c r="M111" s="1">
        <f>[1]sales!L116*sales[[#This Row],[cantidad]]</f>
        <v>4340</v>
      </c>
      <c r="N111" s="37">
        <f>+(sales[[#This Row],[Venta]]-sales[[#This Row],[costo_venta]])/sales[[#This Row],[Venta]]</f>
        <v>0.45750000000000002</v>
      </c>
    </row>
    <row r="112" spans="1:14" x14ac:dyDescent="0.2">
      <c r="A112" s="14">
        <f>[1]sales!A117</f>
        <v>46081</v>
      </c>
      <c r="B112" s="188">
        <f>[1]sales!B117</f>
        <v>0.79386574074074079</v>
      </c>
      <c r="C112" s="184" t="s">
        <v>49</v>
      </c>
      <c r="D112" s="14" t="str">
        <f>[1]sales!D117</f>
        <v>BEBIDA - Coca Cola</v>
      </c>
      <c r="E112" s="3">
        <f>+[1]sales!G117</f>
        <v>1</v>
      </c>
      <c r="F112" s="195">
        <f>+_xlfn.XLOOKUP(sales[[#This Row],[Fecha]],OPEX_SALES!A:A,OPEX_SALES!B:B)</f>
        <v>1</v>
      </c>
      <c r="G112" s="14" t="str">
        <f>+_xlfn.XLOOKUP(sales[[#This Row],[Fecha]],OPEX_SALES!A:A,OPEX_SALES!E:E)</f>
        <v>C) Sábado</v>
      </c>
      <c r="H112" s="14" t="str">
        <f>+TEXT(sales[[#This Row],[Fecha]],"ddd")</f>
        <v>sáb</v>
      </c>
      <c r="I112" s="185">
        <f>+sales[[#This Row],[Venta]]-sales[[#This Row],[costo_venta]]</f>
        <v>1800</v>
      </c>
      <c r="J112" s="101">
        <f>[1]sales!K117</f>
        <v>3000</v>
      </c>
      <c r="K112" s="79">
        <f>[1]sales!I117</f>
        <v>3000</v>
      </c>
      <c r="L112" s="52">
        <f>[1]sales!J117</f>
        <v>0</v>
      </c>
      <c r="M112" s="1">
        <f>[1]sales!L117*sales[[#This Row],[cantidad]]</f>
        <v>1200</v>
      </c>
      <c r="N112" s="37">
        <f>+(sales[[#This Row],[Venta]]-sales[[#This Row],[costo_venta]])/sales[[#This Row],[Venta]]</f>
        <v>0.6</v>
      </c>
    </row>
    <row r="113" spans="1:21" x14ac:dyDescent="0.2">
      <c r="A113" s="14">
        <f>[1]sales!A118</f>
        <v>46081</v>
      </c>
      <c r="B113" s="188">
        <f>[1]sales!B118</f>
        <v>0.79442129629629632</v>
      </c>
      <c r="C113" s="184" t="s">
        <v>49</v>
      </c>
      <c r="D113" s="14" t="str">
        <f>[1]sales!D118</f>
        <v xml:space="preserve"> Chorizo con papa/arepa</v>
      </c>
      <c r="E113" s="3">
        <f>+[1]sales!G118</f>
        <v>4</v>
      </c>
      <c r="F113" s="195">
        <f>+_xlfn.XLOOKUP(sales[[#This Row],[Fecha]],OPEX_SALES!A:A,OPEX_SALES!B:B)</f>
        <v>1</v>
      </c>
      <c r="G113" s="14" t="str">
        <f>+_xlfn.XLOOKUP(sales[[#This Row],[Fecha]],OPEX_SALES!A:A,OPEX_SALES!E:E)</f>
        <v>C) Sábado</v>
      </c>
      <c r="H113" s="14" t="str">
        <f>+TEXT(sales[[#This Row],[Fecha]],"ddd")</f>
        <v>sáb</v>
      </c>
      <c r="I113" s="185">
        <f>+sales[[#This Row],[Venta]]-sales[[#This Row],[costo_venta]]</f>
        <v>14640</v>
      </c>
      <c r="J113" s="101">
        <f>[1]sales!K118</f>
        <v>32000</v>
      </c>
      <c r="K113" s="79">
        <f>[1]sales!I118</f>
        <v>32000</v>
      </c>
      <c r="L113" s="52">
        <f>[1]sales!J118</f>
        <v>0</v>
      </c>
      <c r="M113" s="1">
        <f>[1]sales!L118*sales[[#This Row],[cantidad]]</f>
        <v>17360</v>
      </c>
      <c r="N113" s="37">
        <f>+(sales[[#This Row],[Venta]]-sales[[#This Row],[costo_venta]])/sales[[#This Row],[Venta]]</f>
        <v>0.45750000000000002</v>
      </c>
    </row>
    <row r="114" spans="1:21" x14ac:dyDescent="0.2">
      <c r="A114" s="14">
        <f>[1]sales!A119</f>
        <v>46081</v>
      </c>
      <c r="B114" s="188">
        <f>[1]sales!B119</f>
        <v>0.79442129629629632</v>
      </c>
      <c r="C114" s="184" t="s">
        <v>49</v>
      </c>
      <c r="D114" s="14" t="str">
        <f>[1]sales!D119</f>
        <v>BEBIDA - Coca Cola</v>
      </c>
      <c r="E114" s="3">
        <f>+[1]sales!G119</f>
        <v>2</v>
      </c>
      <c r="F114" s="195">
        <f>+_xlfn.XLOOKUP(sales[[#This Row],[Fecha]],OPEX_SALES!A:A,OPEX_SALES!B:B)</f>
        <v>1</v>
      </c>
      <c r="G114" s="14" t="str">
        <f>+_xlfn.XLOOKUP(sales[[#This Row],[Fecha]],OPEX_SALES!A:A,OPEX_SALES!E:E)</f>
        <v>C) Sábado</v>
      </c>
      <c r="H114" s="14" t="str">
        <f>+TEXT(sales[[#This Row],[Fecha]],"ddd")</f>
        <v>sáb</v>
      </c>
      <c r="I114" s="185">
        <f>+sales[[#This Row],[Venta]]-sales[[#This Row],[costo_venta]]</f>
        <v>3600</v>
      </c>
      <c r="J114" s="101">
        <f>[1]sales!K119</f>
        <v>6000</v>
      </c>
      <c r="K114" s="79">
        <f>[1]sales!I119</f>
        <v>6000</v>
      </c>
      <c r="L114" s="52">
        <f>[1]sales!J119</f>
        <v>0</v>
      </c>
      <c r="M114" s="1">
        <f>[1]sales!L119*sales[[#This Row],[cantidad]]</f>
        <v>2400</v>
      </c>
      <c r="N114" s="37">
        <f>+(sales[[#This Row],[Venta]]-sales[[#This Row],[costo_venta]])/sales[[#This Row],[Venta]]</f>
        <v>0.6</v>
      </c>
    </row>
    <row r="115" spans="1:21" x14ac:dyDescent="0.2">
      <c r="A115" s="14">
        <f>[1]sales!A120</f>
        <v>46081</v>
      </c>
      <c r="B115" s="188">
        <f>[1]sales!B120</f>
        <v>0.79465277777777776</v>
      </c>
      <c r="C115" s="184" t="s">
        <v>49</v>
      </c>
      <c r="D115" s="14" t="str">
        <f>[1]sales!D120</f>
        <v xml:space="preserve"> Chorizo con papa/arepa</v>
      </c>
      <c r="E115" s="3">
        <f>+[1]sales!G120</f>
        <v>2</v>
      </c>
      <c r="F115" s="195">
        <f>+_xlfn.XLOOKUP(sales[[#This Row],[Fecha]],OPEX_SALES!A:A,OPEX_SALES!B:B)</f>
        <v>1</v>
      </c>
      <c r="G115" s="14" t="str">
        <f>+_xlfn.XLOOKUP(sales[[#This Row],[Fecha]],OPEX_SALES!A:A,OPEX_SALES!E:E)</f>
        <v>C) Sábado</v>
      </c>
      <c r="H115" s="14" t="str">
        <f>+TEXT(sales[[#This Row],[Fecha]],"ddd")</f>
        <v>sáb</v>
      </c>
      <c r="I115" s="185">
        <f>+sales[[#This Row],[Venta]]-sales[[#This Row],[costo_venta]]</f>
        <v>7320</v>
      </c>
      <c r="J115" s="101">
        <f>[1]sales!K120</f>
        <v>16000</v>
      </c>
      <c r="K115" s="79">
        <f>[1]sales!I120</f>
        <v>16000</v>
      </c>
      <c r="L115" s="52">
        <f>[1]sales!J120</f>
        <v>0</v>
      </c>
      <c r="M115" s="1">
        <f>[1]sales!L120*sales[[#This Row],[cantidad]]</f>
        <v>8680</v>
      </c>
      <c r="N115" s="37">
        <f>+(sales[[#This Row],[Venta]]-sales[[#This Row],[costo_venta]])/sales[[#This Row],[Venta]]</f>
        <v>0.45750000000000002</v>
      </c>
    </row>
    <row r="116" spans="1:21" x14ac:dyDescent="0.2">
      <c r="A116" s="14">
        <f>[1]sales!A121</f>
        <v>46081</v>
      </c>
      <c r="B116" s="188">
        <f>[1]sales!B121</f>
        <v>0.79509259259259257</v>
      </c>
      <c r="C116" s="184" t="s">
        <v>49</v>
      </c>
      <c r="D116" s="14" t="str">
        <f>[1]sales!D121</f>
        <v xml:space="preserve"> Chorizo con papa/arepa</v>
      </c>
      <c r="E116" s="3">
        <f>+[1]sales!G121</f>
        <v>3</v>
      </c>
      <c r="F116" s="195">
        <f>+_xlfn.XLOOKUP(sales[[#This Row],[Fecha]],OPEX_SALES!A:A,OPEX_SALES!B:B)</f>
        <v>1</v>
      </c>
      <c r="G116" s="14" t="str">
        <f>+_xlfn.XLOOKUP(sales[[#This Row],[Fecha]],OPEX_SALES!A:A,OPEX_SALES!E:E)</f>
        <v>C) Sábado</v>
      </c>
      <c r="H116" s="14" t="str">
        <f>+TEXT(sales[[#This Row],[Fecha]],"ddd")</f>
        <v>sáb</v>
      </c>
      <c r="I116" s="185">
        <f>+sales[[#This Row],[Venta]]-sales[[#This Row],[costo_venta]]</f>
        <v>10980</v>
      </c>
      <c r="J116" s="101">
        <f>[1]sales!K121</f>
        <v>24000</v>
      </c>
      <c r="K116" s="79">
        <f>[1]sales!I121</f>
        <v>24000</v>
      </c>
      <c r="L116" s="52">
        <f>[1]sales!J121</f>
        <v>0</v>
      </c>
      <c r="M116" s="1">
        <f>[1]sales!L121*sales[[#This Row],[cantidad]]</f>
        <v>13020</v>
      </c>
      <c r="N116" s="37">
        <f>+(sales[[#This Row],[Venta]]-sales[[#This Row],[costo_venta]])/sales[[#This Row],[Venta]]</f>
        <v>0.45750000000000002</v>
      </c>
    </row>
    <row r="117" spans="1:21" x14ac:dyDescent="0.2">
      <c r="A117" s="14">
        <f>[1]sales!A122</f>
        <v>46081</v>
      </c>
      <c r="B117" s="188">
        <f>[1]sales!B122</f>
        <v>0.79509259259259257</v>
      </c>
      <c r="C117" s="184" t="s">
        <v>49</v>
      </c>
      <c r="D117" s="14" t="str">
        <f>[1]sales!D122</f>
        <v>BEBIDA - Jugo Hit</v>
      </c>
      <c r="E117" s="3">
        <f>+[1]sales!G122</f>
        <v>1</v>
      </c>
      <c r="F117" s="195">
        <f>+_xlfn.XLOOKUP(sales[[#This Row],[Fecha]],OPEX_SALES!A:A,OPEX_SALES!B:B)</f>
        <v>1</v>
      </c>
      <c r="G117" s="14" t="str">
        <f>+_xlfn.XLOOKUP(sales[[#This Row],[Fecha]],OPEX_SALES!A:A,OPEX_SALES!E:E)</f>
        <v>C) Sábado</v>
      </c>
      <c r="H117" s="14" t="str">
        <f>+TEXT(sales[[#This Row],[Fecha]],"ddd")</f>
        <v>sáb</v>
      </c>
      <c r="I117" s="185">
        <f>+sales[[#This Row],[Venta]]-sales[[#This Row],[costo_venta]]</f>
        <v>2083.33</v>
      </c>
      <c r="J117" s="101">
        <f>[1]sales!K122</f>
        <v>4500</v>
      </c>
      <c r="K117" s="79">
        <f>[1]sales!I122</f>
        <v>4500</v>
      </c>
      <c r="L117" s="52">
        <f>[1]sales!J122</f>
        <v>0</v>
      </c>
      <c r="M117" s="1">
        <f>[1]sales!L122*sales[[#This Row],[cantidad]]</f>
        <v>2416.67</v>
      </c>
      <c r="N117" s="37">
        <f>+(sales[[#This Row],[Venta]]-sales[[#This Row],[costo_venta]])/sales[[#This Row],[Venta]]</f>
        <v>0.46296222222222222</v>
      </c>
    </row>
    <row r="118" spans="1:21" x14ac:dyDescent="0.2">
      <c r="A118" s="14">
        <f>[1]sales!A123</f>
        <v>46081</v>
      </c>
      <c r="B118" s="188">
        <f>[1]sales!B123</f>
        <v>0.79549768518518515</v>
      </c>
      <c r="C118" s="184" t="s">
        <v>49</v>
      </c>
      <c r="D118" s="14" t="str">
        <f>[1]sales!D123</f>
        <v>Parrillada de 35</v>
      </c>
      <c r="E118" s="3">
        <f>+[1]sales!G123</f>
        <v>1</v>
      </c>
      <c r="F118" s="195">
        <f>+_xlfn.XLOOKUP(sales[[#This Row],[Fecha]],OPEX_SALES!A:A,OPEX_SALES!B:B)</f>
        <v>1</v>
      </c>
      <c r="G118" s="14" t="str">
        <f>+_xlfn.XLOOKUP(sales[[#This Row],[Fecha]],OPEX_SALES!A:A,OPEX_SALES!E:E)</f>
        <v>C) Sábado</v>
      </c>
      <c r="H118" s="14" t="str">
        <f>+TEXT(sales[[#This Row],[Fecha]],"ddd")</f>
        <v>sáb</v>
      </c>
      <c r="I118" s="185">
        <f>+sales[[#This Row],[Venta]]-sales[[#This Row],[costo_venta]]</f>
        <v>-965000</v>
      </c>
      <c r="J118" s="101">
        <f>[1]sales!K123</f>
        <v>35000</v>
      </c>
      <c r="K118" s="79">
        <f>[1]sales!I123</f>
        <v>35000</v>
      </c>
      <c r="L118" s="52">
        <f>[1]sales!J123</f>
        <v>0</v>
      </c>
      <c r="M118" s="1">
        <f>[1]sales!L123*sales[[#This Row],[cantidad]]</f>
        <v>1000000</v>
      </c>
      <c r="N118" s="37">
        <f>+(sales[[#This Row],[Venta]]-sales[[#This Row],[costo_venta]])/sales[[#This Row],[Venta]]</f>
        <v>-27.571428571428573</v>
      </c>
    </row>
    <row r="119" spans="1:21" x14ac:dyDescent="0.2">
      <c r="A119" s="14">
        <f>[1]sales!A124</f>
        <v>46081</v>
      </c>
      <c r="B119" s="188">
        <f>[1]sales!B124</f>
        <v>0.79572916666666671</v>
      </c>
      <c r="C119" s="184" t="s">
        <v>49</v>
      </c>
      <c r="D119" s="14" t="str">
        <f>[1]sales!D124</f>
        <v>Parrillada de 35</v>
      </c>
      <c r="E119" s="3">
        <f>+[1]sales!G124</f>
        <v>1</v>
      </c>
      <c r="F119" s="195">
        <f>+_xlfn.XLOOKUP(sales[[#This Row],[Fecha]],OPEX_SALES!A:A,OPEX_SALES!B:B)</f>
        <v>1</v>
      </c>
      <c r="G119" s="14" t="str">
        <f>+_xlfn.XLOOKUP(sales[[#This Row],[Fecha]],OPEX_SALES!A:A,OPEX_SALES!E:E)</f>
        <v>C) Sábado</v>
      </c>
      <c r="H119" s="14" t="str">
        <f>+TEXT(sales[[#This Row],[Fecha]],"ddd")</f>
        <v>sáb</v>
      </c>
      <c r="I119" s="185">
        <f>+sales[[#This Row],[Venta]]-sales[[#This Row],[costo_venta]]</f>
        <v>-965000</v>
      </c>
      <c r="J119" s="101">
        <f>[1]sales!K124</f>
        <v>35000</v>
      </c>
      <c r="K119" s="79">
        <f>[1]sales!I124</f>
        <v>35000</v>
      </c>
      <c r="L119" s="52">
        <f>[1]sales!J124</f>
        <v>0</v>
      </c>
      <c r="M119" s="1">
        <f>[1]sales!L124*sales[[#This Row],[cantidad]]</f>
        <v>1000000</v>
      </c>
      <c r="N119" s="37">
        <f>+(sales[[#This Row],[Venta]]-sales[[#This Row],[costo_venta]])/sales[[#This Row],[Venta]]</f>
        <v>-27.571428571428573</v>
      </c>
    </row>
    <row r="120" spans="1:21" x14ac:dyDescent="0.2">
      <c r="A120" s="14">
        <f>[1]sales!A125</f>
        <v>46081</v>
      </c>
      <c r="B120" s="188">
        <f>[1]sales!B125</f>
        <v>0.79718750000000005</v>
      </c>
      <c r="C120" s="184" t="s">
        <v>49</v>
      </c>
      <c r="D120" s="14" t="str">
        <f>[1]sales!D125</f>
        <v>Parrillada de 48</v>
      </c>
      <c r="E120" s="3">
        <f>+[1]sales!G125</f>
        <v>1</v>
      </c>
      <c r="F120" s="195">
        <f>+_xlfn.XLOOKUP(sales[[#This Row],[Fecha]],OPEX_SALES!A:A,OPEX_SALES!B:B)</f>
        <v>1</v>
      </c>
      <c r="G120" s="14" t="str">
        <f>+_xlfn.XLOOKUP(sales[[#This Row],[Fecha]],OPEX_SALES!A:A,OPEX_SALES!E:E)</f>
        <v>C) Sábado</v>
      </c>
      <c r="H120" s="14" t="str">
        <f>+TEXT(sales[[#This Row],[Fecha]],"ddd")</f>
        <v>sáb</v>
      </c>
      <c r="I120" s="185">
        <f>+sales[[#This Row],[Venta]]-sales[[#This Row],[costo_venta]]</f>
        <v>-952000</v>
      </c>
      <c r="J120" s="101">
        <f>[1]sales!K125</f>
        <v>48000</v>
      </c>
      <c r="K120" s="79">
        <f>[1]sales!I125</f>
        <v>48000</v>
      </c>
      <c r="L120" s="52">
        <f>[1]sales!J125</f>
        <v>0</v>
      </c>
      <c r="M120" s="1">
        <f>[1]sales!L125*sales[[#This Row],[cantidad]]</f>
        <v>1000000</v>
      </c>
      <c r="N120" s="37">
        <f>+(sales[[#This Row],[Venta]]-sales[[#This Row],[costo_venta]])/sales[[#This Row],[Venta]]</f>
        <v>-19.833333333333332</v>
      </c>
    </row>
    <row r="121" spans="1:21" x14ac:dyDescent="0.2">
      <c r="A121" s="14">
        <f>[1]sales!A126</f>
        <v>46081</v>
      </c>
      <c r="B121" s="188">
        <f>[1]sales!B126</f>
        <v>0.79751157407407403</v>
      </c>
      <c r="C121" s="184" t="s">
        <v>49</v>
      </c>
      <c r="D121" s="14" t="str">
        <f>[1]sales!D126</f>
        <v>Parrillada de 70</v>
      </c>
      <c r="E121" s="3">
        <f>+[1]sales!G126</f>
        <v>2</v>
      </c>
      <c r="F121" s="195">
        <f>+_xlfn.XLOOKUP(sales[[#This Row],[Fecha]],OPEX_SALES!A:A,OPEX_SALES!B:B)</f>
        <v>1</v>
      </c>
      <c r="G121" s="14" t="str">
        <f>+_xlfn.XLOOKUP(sales[[#This Row],[Fecha]],OPEX_SALES!A:A,OPEX_SALES!E:E)</f>
        <v>C) Sábado</v>
      </c>
      <c r="H121" s="14" t="str">
        <f>+TEXT(sales[[#This Row],[Fecha]],"ddd")</f>
        <v>sáb</v>
      </c>
      <c r="I121" s="185">
        <f>+sales[[#This Row],[Venta]]-sales[[#This Row],[costo_venta]]</f>
        <v>-1860000</v>
      </c>
      <c r="J121" s="101">
        <f>[1]sales!K126</f>
        <v>140000</v>
      </c>
      <c r="K121" s="79">
        <f>[1]sales!I126</f>
        <v>140000</v>
      </c>
      <c r="L121" s="52">
        <f>[1]sales!J126</f>
        <v>0</v>
      </c>
      <c r="M121" s="1">
        <f>[1]sales!L126*sales[[#This Row],[cantidad]]</f>
        <v>2000000</v>
      </c>
      <c r="N121" s="37">
        <f>+(sales[[#This Row],[Venta]]-sales[[#This Row],[costo_venta]])/sales[[#This Row],[Venta]]</f>
        <v>-13.285714285714286</v>
      </c>
    </row>
    <row r="122" spans="1:21" x14ac:dyDescent="0.2">
      <c r="A122" s="14">
        <f>[1]sales!A127</f>
        <v>46081</v>
      </c>
      <c r="B122" s="188">
        <f>[1]sales!B127</f>
        <v>0.79766203703703709</v>
      </c>
      <c r="C122" s="184" t="s">
        <v>49</v>
      </c>
      <c r="D122" s="14" t="str">
        <f>[1]sales!D127</f>
        <v>Parrillada de 40</v>
      </c>
      <c r="E122" s="3">
        <f>+[1]sales!G127</f>
        <v>1</v>
      </c>
      <c r="F122" s="195">
        <f>+_xlfn.XLOOKUP(sales[[#This Row],[Fecha]],OPEX_SALES!A:A,OPEX_SALES!B:B)</f>
        <v>1</v>
      </c>
      <c r="G122" s="14" t="str">
        <f>+_xlfn.XLOOKUP(sales[[#This Row],[Fecha]],OPEX_SALES!A:A,OPEX_SALES!E:E)</f>
        <v>C) Sábado</v>
      </c>
      <c r="H122" s="14" t="str">
        <f>+TEXT(sales[[#This Row],[Fecha]],"ddd")</f>
        <v>sáb</v>
      </c>
      <c r="I122" s="185">
        <f>+sales[[#This Row],[Venta]]-sales[[#This Row],[costo_venta]]</f>
        <v>-960000</v>
      </c>
      <c r="J122" s="101">
        <f>[1]sales!K127</f>
        <v>40000</v>
      </c>
      <c r="K122" s="79">
        <f>[1]sales!I127</f>
        <v>40000</v>
      </c>
      <c r="L122" s="52">
        <f>[1]sales!J127</f>
        <v>0</v>
      </c>
      <c r="M122" s="1">
        <f>[1]sales!L127*sales[[#This Row],[cantidad]]</f>
        <v>1000000</v>
      </c>
      <c r="N122" s="37">
        <f>+(sales[[#This Row],[Venta]]-sales[[#This Row],[costo_venta]])/sales[[#This Row],[Venta]]</f>
        <v>-24</v>
      </c>
    </row>
    <row r="123" spans="1:21" x14ac:dyDescent="0.2">
      <c r="A123" s="14">
        <f>[1]sales!A128</f>
        <v>46081</v>
      </c>
      <c r="B123" s="188">
        <f>[1]sales!B128</f>
        <v>0.79902777777777778</v>
      </c>
      <c r="C123" s="184" t="s">
        <v>49</v>
      </c>
      <c r="D123" s="14" t="str">
        <f>[1]sales!D128</f>
        <v>z. MP -  Chorizo CRUDO</v>
      </c>
      <c r="E123" s="3">
        <f>+[1]sales!G128</f>
        <v>4</v>
      </c>
      <c r="F123" s="195">
        <f>+_xlfn.XLOOKUP(sales[[#This Row],[Fecha]],OPEX_SALES!A:A,OPEX_SALES!B:B)</f>
        <v>1</v>
      </c>
      <c r="G123" s="14" t="str">
        <f>+_xlfn.XLOOKUP(sales[[#This Row],[Fecha]],OPEX_SALES!A:A,OPEX_SALES!E:E)</f>
        <v>C) Sábado</v>
      </c>
      <c r="H123" s="14" t="str">
        <f>+TEXT(sales[[#This Row],[Fecha]],"ddd")</f>
        <v>sáb</v>
      </c>
      <c r="I123" s="185">
        <f>+sales[[#This Row],[Venta]]-sales[[#This Row],[costo_venta]]</f>
        <v>4000</v>
      </c>
      <c r="J123" s="101">
        <f>[1]sales!K128</f>
        <v>18000</v>
      </c>
      <c r="K123" s="79">
        <f>[1]sales!I128</f>
        <v>0</v>
      </c>
      <c r="L123" s="52">
        <f>[1]sales!J128</f>
        <v>18000</v>
      </c>
      <c r="M123" s="1">
        <f>[1]sales!L128*sales[[#This Row],[cantidad]]</f>
        <v>14000</v>
      </c>
      <c r="N123" s="37">
        <f>+(sales[[#This Row],[Venta]]-sales[[#This Row],[costo_venta]])/sales[[#This Row],[Venta]]</f>
        <v>0.22222222222222221</v>
      </c>
    </row>
    <row r="124" spans="1:21" x14ac:dyDescent="0.2">
      <c r="A124" s="14">
        <f>[1]sales!A129</f>
        <v>46083</v>
      </c>
      <c r="B124" s="188">
        <f>[1]sales!B129</f>
        <v>0.5111458333333333</v>
      </c>
      <c r="C124" s="184" t="s">
        <v>49</v>
      </c>
      <c r="D124" s="14" t="str">
        <f>[1]sales!D129</f>
        <v xml:space="preserve"> Chorizo con papa/arepa</v>
      </c>
      <c r="E124" s="3">
        <f>+[1]sales!G129</f>
        <v>1</v>
      </c>
      <c r="F124" s="195">
        <f>+_xlfn.XLOOKUP(sales[[#This Row],[Fecha]],OPEX_SALES!A:A,OPEX_SALES!B:B)</f>
        <v>2</v>
      </c>
      <c r="G124" s="14" t="str">
        <f>+_xlfn.XLOOKUP(sales[[#This Row],[Fecha]],OPEX_SALES!A:A,OPEX_SALES!E:E)</f>
        <v>A) Día hábil</v>
      </c>
      <c r="H124" s="14" t="str">
        <f>+TEXT(sales[[#This Row],[Fecha]],"ddd")</f>
        <v>lun</v>
      </c>
      <c r="I124" s="185">
        <f>+sales[[#This Row],[Venta]]-sales[[#This Row],[costo_venta]]</f>
        <v>3660</v>
      </c>
      <c r="J124" s="101">
        <f>[1]sales!K129</f>
        <v>8000</v>
      </c>
      <c r="K124" s="79">
        <f>[1]sales!I129</f>
        <v>8000</v>
      </c>
      <c r="L124" s="52">
        <f>[1]sales!J129</f>
        <v>0</v>
      </c>
      <c r="M124" s="1">
        <f>[1]sales!L129*sales[[#This Row],[cantidad]]</f>
        <v>4340</v>
      </c>
      <c r="N124" s="37">
        <f>+(sales[[#This Row],[Venta]]-sales[[#This Row],[costo_venta]])/sales[[#This Row],[Venta]]</f>
        <v>0.45750000000000002</v>
      </c>
    </row>
    <row r="125" spans="1:21" x14ac:dyDescent="0.2">
      <c r="A125" s="14">
        <f>[1]sales!A130</f>
        <v>46083</v>
      </c>
      <c r="B125" s="188">
        <f>[1]sales!B130</f>
        <v>0.5111458333333333</v>
      </c>
      <c r="C125" s="184" t="s">
        <v>49</v>
      </c>
      <c r="D125" s="14" t="str">
        <f>[1]sales!D130</f>
        <v>BEBIDA - Coca Cola</v>
      </c>
      <c r="E125" s="3">
        <f>+[1]sales!G130</f>
        <v>1</v>
      </c>
      <c r="F125" s="195">
        <f>+_xlfn.XLOOKUP(sales[[#This Row],[Fecha]],OPEX_SALES!A:A,OPEX_SALES!B:B)</f>
        <v>2</v>
      </c>
      <c r="G125" s="14" t="str">
        <f>+_xlfn.XLOOKUP(sales[[#This Row],[Fecha]],OPEX_SALES!A:A,OPEX_SALES!E:E)</f>
        <v>A) Día hábil</v>
      </c>
      <c r="H125" s="14" t="str">
        <f>+TEXT(sales[[#This Row],[Fecha]],"ddd")</f>
        <v>lun</v>
      </c>
      <c r="I125" s="185">
        <f>+sales[[#This Row],[Venta]]-sales[[#This Row],[costo_venta]]</f>
        <v>1800</v>
      </c>
      <c r="J125" s="101">
        <f>[1]sales!K130</f>
        <v>3000</v>
      </c>
      <c r="K125" s="79">
        <f>[1]sales!I130</f>
        <v>3000</v>
      </c>
      <c r="L125" s="52">
        <f>[1]sales!J130</f>
        <v>0</v>
      </c>
      <c r="M125" s="1">
        <f>[1]sales!L130*sales[[#This Row],[cantidad]]</f>
        <v>1200</v>
      </c>
      <c r="N125" s="37">
        <f>+(sales[[#This Row],[Venta]]-sales[[#This Row],[costo_venta]])/sales[[#This Row],[Venta]]</f>
        <v>0.6</v>
      </c>
      <c r="U125" s="59"/>
    </row>
    <row r="126" spans="1:21" x14ac:dyDescent="0.2">
      <c r="A126" s="14">
        <f>[1]sales!A131</f>
        <v>46083</v>
      </c>
      <c r="B126" s="188">
        <f>[1]sales!B131</f>
        <v>0.72031250000000002</v>
      </c>
      <c r="C126" s="184" t="s">
        <v>49</v>
      </c>
      <c r="D126" s="14" t="str">
        <f>[1]sales!D131</f>
        <v xml:space="preserve"> Chorizo con papa/arepa</v>
      </c>
      <c r="E126" s="3">
        <f>+[1]sales!G131</f>
        <v>1</v>
      </c>
      <c r="F126" s="195">
        <f>+_xlfn.XLOOKUP(sales[[#This Row],[Fecha]],OPEX_SALES!A:A,OPEX_SALES!B:B)</f>
        <v>2</v>
      </c>
      <c r="G126" s="14" t="str">
        <f>+_xlfn.XLOOKUP(sales[[#This Row],[Fecha]],OPEX_SALES!A:A,OPEX_SALES!E:E)</f>
        <v>A) Día hábil</v>
      </c>
      <c r="H126" s="14" t="str">
        <f>+TEXT(sales[[#This Row],[Fecha]],"ddd")</f>
        <v>lun</v>
      </c>
      <c r="I126" s="185">
        <f>+sales[[#This Row],[Venta]]-sales[[#This Row],[costo_venta]]</f>
        <v>3660</v>
      </c>
      <c r="J126" s="101">
        <f>[1]sales!K131</f>
        <v>8000</v>
      </c>
      <c r="K126" s="79">
        <f>[1]sales!I131</f>
        <v>8000</v>
      </c>
      <c r="L126" s="52">
        <f>[1]sales!J131</f>
        <v>0</v>
      </c>
      <c r="M126" s="1">
        <f>[1]sales!L131*sales[[#This Row],[cantidad]]</f>
        <v>4340</v>
      </c>
      <c r="N126" s="37">
        <f>+(sales[[#This Row],[Venta]]-sales[[#This Row],[costo_venta]])/sales[[#This Row],[Venta]]</f>
        <v>0.45750000000000002</v>
      </c>
      <c r="U126" s="59"/>
    </row>
    <row r="127" spans="1:21" x14ac:dyDescent="0.2">
      <c r="A127" s="14">
        <f>[1]sales!A132</f>
        <v>46083</v>
      </c>
      <c r="B127" s="188">
        <f>[1]sales!B132</f>
        <v>0.73594907407407406</v>
      </c>
      <c r="C127" s="184" t="s">
        <v>49</v>
      </c>
      <c r="D127" s="14" t="str">
        <f>[1]sales!D132</f>
        <v xml:space="preserve"> Chorizo con papa/arepa</v>
      </c>
      <c r="E127" s="3">
        <f>+[1]sales!G132</f>
        <v>1</v>
      </c>
      <c r="F127" s="195">
        <f>+_xlfn.XLOOKUP(sales[[#This Row],[Fecha]],OPEX_SALES!A:A,OPEX_SALES!B:B)</f>
        <v>2</v>
      </c>
      <c r="G127" s="14" t="str">
        <f>+_xlfn.XLOOKUP(sales[[#This Row],[Fecha]],OPEX_SALES!A:A,OPEX_SALES!E:E)</f>
        <v>A) Día hábil</v>
      </c>
      <c r="H127" s="14" t="str">
        <f>+TEXT(sales[[#This Row],[Fecha]],"ddd")</f>
        <v>lun</v>
      </c>
      <c r="I127" s="185">
        <f>+sales[[#This Row],[Venta]]-sales[[#This Row],[costo_venta]]</f>
        <v>3660</v>
      </c>
      <c r="J127" s="101">
        <f>[1]sales!K132</f>
        <v>8000</v>
      </c>
      <c r="K127" s="79">
        <f>[1]sales!I132</f>
        <v>8000</v>
      </c>
      <c r="L127" s="52">
        <f>[1]sales!J132</f>
        <v>0</v>
      </c>
      <c r="M127" s="1">
        <f>[1]sales!L132*sales[[#This Row],[cantidad]]</f>
        <v>4340</v>
      </c>
      <c r="N127" s="37">
        <f>+(sales[[#This Row],[Venta]]-sales[[#This Row],[costo_venta]])/sales[[#This Row],[Venta]]</f>
        <v>0.45750000000000002</v>
      </c>
    </row>
    <row r="128" spans="1:21" x14ac:dyDescent="0.2">
      <c r="A128" s="14">
        <f>[1]sales!A133</f>
        <v>46083</v>
      </c>
      <c r="B128" s="188">
        <f>[1]sales!B133</f>
        <v>0.82541666666666669</v>
      </c>
      <c r="C128" s="184" t="s">
        <v>49</v>
      </c>
      <c r="D128" s="14" t="str">
        <f>[1]sales!D133</f>
        <v xml:space="preserve"> Chorizo con papa/arepa</v>
      </c>
      <c r="E128" s="3">
        <f>+[1]sales!G133</f>
        <v>3</v>
      </c>
      <c r="F128" s="195">
        <f>+_xlfn.XLOOKUP(sales[[#This Row],[Fecha]],OPEX_SALES!A:A,OPEX_SALES!B:B)</f>
        <v>2</v>
      </c>
      <c r="G128" s="14" t="str">
        <f>+_xlfn.XLOOKUP(sales[[#This Row],[Fecha]],OPEX_SALES!A:A,OPEX_SALES!E:E)</f>
        <v>A) Día hábil</v>
      </c>
      <c r="H128" s="14" t="str">
        <f>+TEXT(sales[[#This Row],[Fecha]],"ddd")</f>
        <v>lun</v>
      </c>
      <c r="I128" s="185">
        <f>+sales[[#This Row],[Venta]]-sales[[#This Row],[costo_venta]]</f>
        <v>10980</v>
      </c>
      <c r="J128" s="101">
        <f>[1]sales!K133</f>
        <v>24000</v>
      </c>
      <c r="K128" s="79">
        <f>[1]sales!I133</f>
        <v>24000</v>
      </c>
      <c r="L128" s="52">
        <f>[1]sales!J133</f>
        <v>0</v>
      </c>
      <c r="M128" s="1">
        <f>[1]sales!L133*sales[[#This Row],[cantidad]]</f>
        <v>13020</v>
      </c>
      <c r="N128" s="37">
        <f>+(sales[[#This Row],[Venta]]-sales[[#This Row],[costo_venta]])/sales[[#This Row],[Venta]]</f>
        <v>0.45750000000000002</v>
      </c>
    </row>
    <row r="129" spans="1:14" x14ac:dyDescent="0.2">
      <c r="A129" s="14">
        <f>[1]sales!A134</f>
        <v>46083</v>
      </c>
      <c r="B129" s="188">
        <f>[1]sales!B134</f>
        <v>0.82541666666666669</v>
      </c>
      <c r="C129" s="184" t="s">
        <v>49</v>
      </c>
      <c r="D129" s="14" t="str">
        <f>[1]sales!D134</f>
        <v>BEBIDA - Coca Cola</v>
      </c>
      <c r="E129" s="3">
        <f>+[1]sales!G134</f>
        <v>1</v>
      </c>
      <c r="F129" s="195">
        <f>+_xlfn.XLOOKUP(sales[[#This Row],[Fecha]],OPEX_SALES!A:A,OPEX_SALES!B:B)</f>
        <v>2</v>
      </c>
      <c r="G129" s="14" t="str">
        <f>+_xlfn.XLOOKUP(sales[[#This Row],[Fecha]],OPEX_SALES!A:A,OPEX_SALES!E:E)</f>
        <v>A) Día hábil</v>
      </c>
      <c r="H129" s="14" t="str">
        <f>+TEXT(sales[[#This Row],[Fecha]],"ddd")</f>
        <v>lun</v>
      </c>
      <c r="I129" s="185">
        <f>+sales[[#This Row],[Venta]]-sales[[#This Row],[costo_venta]]</f>
        <v>1800</v>
      </c>
      <c r="J129" s="101">
        <f>[1]sales!K134</f>
        <v>3000</v>
      </c>
      <c r="K129" s="79">
        <f>[1]sales!I134</f>
        <v>3000</v>
      </c>
      <c r="L129" s="52">
        <f>[1]sales!J134</f>
        <v>0</v>
      </c>
      <c r="M129" s="1">
        <f>[1]sales!L134*sales[[#This Row],[cantidad]]</f>
        <v>1200</v>
      </c>
      <c r="N129" s="37">
        <f>+(sales[[#This Row],[Venta]]-sales[[#This Row],[costo_venta]])/sales[[#This Row],[Venta]]</f>
        <v>0.6</v>
      </c>
    </row>
    <row r="130" spans="1:14" x14ac:dyDescent="0.2">
      <c r="A130" s="14">
        <f>[1]sales!A135</f>
        <v>46083</v>
      </c>
      <c r="B130" s="188">
        <f>[1]sales!B135</f>
        <v>0.82541666666666669</v>
      </c>
      <c r="C130" s="184" t="s">
        <v>49</v>
      </c>
      <c r="D130" s="14" t="str">
        <f>[1]sales!D135</f>
        <v>BEBIDA - Postobón</v>
      </c>
      <c r="E130" s="3">
        <f>+[1]sales!G135</f>
        <v>2</v>
      </c>
      <c r="F130" s="195">
        <f>+_xlfn.XLOOKUP(sales[[#This Row],[Fecha]],OPEX_SALES!A:A,OPEX_SALES!B:B)</f>
        <v>2</v>
      </c>
      <c r="G130" s="14" t="str">
        <f>+_xlfn.XLOOKUP(sales[[#This Row],[Fecha]],OPEX_SALES!A:A,OPEX_SALES!E:E)</f>
        <v>A) Día hábil</v>
      </c>
      <c r="H130" s="14" t="str">
        <f>+TEXT(sales[[#This Row],[Fecha]],"ddd")</f>
        <v>lun</v>
      </c>
      <c r="I130" s="185">
        <f>+sales[[#This Row],[Venta]]-sales[[#This Row],[costo_venta]]</f>
        <v>3733.34</v>
      </c>
      <c r="J130" s="101">
        <f>[1]sales!K135</f>
        <v>6000</v>
      </c>
      <c r="K130" s="79">
        <f>[1]sales!I135</f>
        <v>6000</v>
      </c>
      <c r="L130" s="52">
        <f>[1]sales!J135</f>
        <v>0</v>
      </c>
      <c r="M130" s="1">
        <f>[1]sales!L135*sales[[#This Row],[cantidad]]</f>
        <v>2266.66</v>
      </c>
      <c r="N130" s="37">
        <f>+(sales[[#This Row],[Venta]]-sales[[#This Row],[costo_venta]])/sales[[#This Row],[Venta]]</f>
        <v>0.62222333333333335</v>
      </c>
    </row>
    <row r="131" spans="1:14" x14ac:dyDescent="0.2">
      <c r="A131" s="14">
        <f>[1]sales!A136</f>
        <v>46084</v>
      </c>
      <c r="B131" s="188">
        <f>[1]sales!B136</f>
        <v>0.4917361111111111</v>
      </c>
      <c r="C131" s="184" t="s">
        <v>49</v>
      </c>
      <c r="D131" s="14" t="str">
        <f>[1]sales!D136</f>
        <v>BEBIDA - Coca Cola</v>
      </c>
      <c r="E131" s="3">
        <f>+[1]sales!G136</f>
        <v>2</v>
      </c>
      <c r="F131" s="195">
        <f>+_xlfn.XLOOKUP(sales[[#This Row],[Fecha]],OPEX_SALES!A:A,OPEX_SALES!B:B)</f>
        <v>2</v>
      </c>
      <c r="G131" s="14" t="str">
        <f>+_xlfn.XLOOKUP(sales[[#This Row],[Fecha]],OPEX_SALES!A:A,OPEX_SALES!E:E)</f>
        <v>A) Día hábil</v>
      </c>
      <c r="H131" s="14" t="str">
        <f>+TEXT(sales[[#This Row],[Fecha]],"ddd")</f>
        <v>mar</v>
      </c>
      <c r="I131" s="185">
        <f>+sales[[#This Row],[Venta]]-sales[[#This Row],[costo_venta]]</f>
        <v>3600</v>
      </c>
      <c r="J131" s="101">
        <f>[1]sales!K136</f>
        <v>6000</v>
      </c>
      <c r="K131" s="79">
        <f>[1]sales!I136</f>
        <v>6000</v>
      </c>
      <c r="L131" s="52">
        <f>[1]sales!J136</f>
        <v>0</v>
      </c>
      <c r="M131" s="1">
        <f>[1]sales!L136*sales[[#This Row],[cantidad]]</f>
        <v>2400</v>
      </c>
      <c r="N131" s="37">
        <f>+(sales[[#This Row],[Venta]]-sales[[#This Row],[costo_venta]])/sales[[#This Row],[Venta]]</f>
        <v>0.6</v>
      </c>
    </row>
    <row r="132" spans="1:14" x14ac:dyDescent="0.2">
      <c r="A132" s="14">
        <f>[1]sales!A137</f>
        <v>46084</v>
      </c>
      <c r="B132" s="188">
        <f>[1]sales!B137</f>
        <v>0.55184027777777778</v>
      </c>
      <c r="C132" s="184" t="s">
        <v>49</v>
      </c>
      <c r="D132" s="14" t="str">
        <f>[1]sales!D137</f>
        <v xml:space="preserve"> Chorizo con papa/arepa</v>
      </c>
      <c r="E132" s="3">
        <f>+[1]sales!G137</f>
        <v>1</v>
      </c>
      <c r="F132" s="195">
        <f>+_xlfn.XLOOKUP(sales[[#This Row],[Fecha]],OPEX_SALES!A:A,OPEX_SALES!B:B)</f>
        <v>2</v>
      </c>
      <c r="G132" s="14" t="str">
        <f>+_xlfn.XLOOKUP(sales[[#This Row],[Fecha]],OPEX_SALES!A:A,OPEX_SALES!E:E)</f>
        <v>A) Día hábil</v>
      </c>
      <c r="H132" s="14" t="str">
        <f>+TEXT(sales[[#This Row],[Fecha]],"ddd")</f>
        <v>mar</v>
      </c>
      <c r="I132" s="185">
        <f>+sales[[#This Row],[Venta]]-sales[[#This Row],[costo_venta]]</f>
        <v>3660</v>
      </c>
      <c r="J132" s="101">
        <f>[1]sales!K137</f>
        <v>8000</v>
      </c>
      <c r="K132" s="79">
        <f>[1]sales!I137</f>
        <v>8000</v>
      </c>
      <c r="L132" s="52">
        <f>[1]sales!J137</f>
        <v>0</v>
      </c>
      <c r="M132" s="1">
        <f>[1]sales!L137*sales[[#This Row],[cantidad]]</f>
        <v>4340</v>
      </c>
      <c r="N132" s="37">
        <f>+(sales[[#This Row],[Venta]]-sales[[#This Row],[costo_venta]])/sales[[#This Row],[Venta]]</f>
        <v>0.45750000000000002</v>
      </c>
    </row>
    <row r="133" spans="1:14" x14ac:dyDescent="0.2">
      <c r="A133" s="14">
        <f>[1]sales!A138</f>
        <v>46084</v>
      </c>
      <c r="B133" s="188">
        <f>[1]sales!B138</f>
        <v>0.61869212962962961</v>
      </c>
      <c r="C133" s="184" t="s">
        <v>49</v>
      </c>
      <c r="D133" s="14" t="str">
        <f>[1]sales!D138</f>
        <v xml:space="preserve"> Chorizo con papa/arepa</v>
      </c>
      <c r="E133" s="3">
        <f>+[1]sales!G138</f>
        <v>1</v>
      </c>
      <c r="F133" s="195">
        <f>+_xlfn.XLOOKUP(sales[[#This Row],[Fecha]],OPEX_SALES!A:A,OPEX_SALES!B:B)</f>
        <v>2</v>
      </c>
      <c r="G133" s="14" t="str">
        <f>+_xlfn.XLOOKUP(sales[[#This Row],[Fecha]],OPEX_SALES!A:A,OPEX_SALES!E:E)</f>
        <v>A) Día hábil</v>
      </c>
      <c r="H133" s="14" t="str">
        <f>+TEXT(sales[[#This Row],[Fecha]],"ddd")</f>
        <v>mar</v>
      </c>
      <c r="I133" s="185">
        <f>+sales[[#This Row],[Venta]]-sales[[#This Row],[costo_venta]]</f>
        <v>3660</v>
      </c>
      <c r="J133" s="101">
        <f>[1]sales!K138</f>
        <v>8000</v>
      </c>
      <c r="K133" s="79">
        <f>[1]sales!I138</f>
        <v>8000</v>
      </c>
      <c r="L133" s="52">
        <f>[1]sales!J138</f>
        <v>0</v>
      </c>
      <c r="M133" s="1">
        <f>[1]sales!L138*sales[[#This Row],[cantidad]]</f>
        <v>4340</v>
      </c>
      <c r="N133" s="37">
        <f>+(sales[[#This Row],[Venta]]-sales[[#This Row],[costo_venta]])/sales[[#This Row],[Venta]]</f>
        <v>0.45750000000000002</v>
      </c>
    </row>
    <row r="134" spans="1:14" x14ac:dyDescent="0.2">
      <c r="A134" s="14">
        <f>[1]sales!A139</f>
        <v>46084</v>
      </c>
      <c r="B134" s="188">
        <f>[1]sales!B139</f>
        <v>0.66587962962962965</v>
      </c>
      <c r="C134" s="184" t="s">
        <v>49</v>
      </c>
      <c r="D134" s="14" t="str">
        <f>[1]sales!D139</f>
        <v xml:space="preserve"> Chorizo con papa/arepa</v>
      </c>
      <c r="E134" s="3">
        <f>+[1]sales!G139</f>
        <v>1</v>
      </c>
      <c r="F134" s="195">
        <f>+_xlfn.XLOOKUP(sales[[#This Row],[Fecha]],OPEX_SALES!A:A,OPEX_SALES!B:B)</f>
        <v>2</v>
      </c>
      <c r="G134" s="14" t="str">
        <f>+_xlfn.XLOOKUP(sales[[#This Row],[Fecha]],OPEX_SALES!A:A,OPEX_SALES!E:E)</f>
        <v>A) Día hábil</v>
      </c>
      <c r="H134" s="14" t="str">
        <f>+TEXT(sales[[#This Row],[Fecha]],"ddd")</f>
        <v>mar</v>
      </c>
      <c r="I134" s="185">
        <f>+sales[[#This Row],[Venta]]-sales[[#This Row],[costo_venta]]</f>
        <v>3660</v>
      </c>
      <c r="J134" s="101">
        <f>[1]sales!K139</f>
        <v>8000</v>
      </c>
      <c r="K134" s="79">
        <f>[1]sales!I139</f>
        <v>8000</v>
      </c>
      <c r="L134" s="52">
        <f>[1]sales!J139</f>
        <v>0</v>
      </c>
      <c r="M134" s="1">
        <f>[1]sales!L139*sales[[#This Row],[cantidad]]</f>
        <v>4340</v>
      </c>
      <c r="N134" s="37">
        <f>+(sales[[#This Row],[Venta]]-sales[[#This Row],[costo_venta]])/sales[[#This Row],[Venta]]</f>
        <v>0.45750000000000002</v>
      </c>
    </row>
    <row r="135" spans="1:14" x14ac:dyDescent="0.2">
      <c r="A135" s="14">
        <f>[1]sales!A140</f>
        <v>46084</v>
      </c>
      <c r="B135" s="188">
        <f>[1]sales!B140</f>
        <v>0.66587962962962965</v>
      </c>
      <c r="C135" s="184" t="s">
        <v>49</v>
      </c>
      <c r="D135" s="14" t="str">
        <f>[1]sales!D140</f>
        <v>BEBIDA - Jugo Hit</v>
      </c>
      <c r="E135" s="3">
        <f>+[1]sales!G140</f>
        <v>1</v>
      </c>
      <c r="F135" s="195">
        <f>+_xlfn.XLOOKUP(sales[[#This Row],[Fecha]],OPEX_SALES!A:A,OPEX_SALES!B:B)</f>
        <v>2</v>
      </c>
      <c r="G135" s="14" t="str">
        <f>+_xlfn.XLOOKUP(sales[[#This Row],[Fecha]],OPEX_SALES!A:A,OPEX_SALES!E:E)</f>
        <v>A) Día hábil</v>
      </c>
      <c r="H135" s="14" t="str">
        <f>+TEXT(sales[[#This Row],[Fecha]],"ddd")</f>
        <v>mar</v>
      </c>
      <c r="I135" s="185">
        <f>+sales[[#This Row],[Venta]]-sales[[#This Row],[costo_venta]]</f>
        <v>2083.33</v>
      </c>
      <c r="J135" s="101">
        <f>[1]sales!K140</f>
        <v>4500</v>
      </c>
      <c r="K135" s="79">
        <f>[1]sales!I140</f>
        <v>4500</v>
      </c>
      <c r="L135" s="52">
        <f>[1]sales!J140</f>
        <v>0</v>
      </c>
      <c r="M135" s="1">
        <f>[1]sales!L140*sales[[#This Row],[cantidad]]</f>
        <v>2416.67</v>
      </c>
      <c r="N135" s="37">
        <f>+(sales[[#This Row],[Venta]]-sales[[#This Row],[costo_venta]])/sales[[#This Row],[Venta]]</f>
        <v>0.46296222222222222</v>
      </c>
    </row>
    <row r="136" spans="1:14" x14ac:dyDescent="0.2">
      <c r="A136" s="14">
        <f>[1]sales!A141</f>
        <v>46084</v>
      </c>
      <c r="B136" s="188">
        <f>[1]sales!B141</f>
        <v>0.66723379629629631</v>
      </c>
      <c r="C136" s="184" t="s">
        <v>49</v>
      </c>
      <c r="D136" s="14" t="str">
        <f>[1]sales!D141</f>
        <v xml:space="preserve"> Chorizo con papa/arepa</v>
      </c>
      <c r="E136" s="3">
        <f>+[1]sales!G141</f>
        <v>1</v>
      </c>
      <c r="F136" s="195">
        <f>+_xlfn.XLOOKUP(sales[[#This Row],[Fecha]],OPEX_SALES!A:A,OPEX_SALES!B:B)</f>
        <v>2</v>
      </c>
      <c r="G136" s="14" t="str">
        <f>+_xlfn.XLOOKUP(sales[[#This Row],[Fecha]],OPEX_SALES!A:A,OPEX_SALES!E:E)</f>
        <v>A) Día hábil</v>
      </c>
      <c r="H136" s="14" t="str">
        <f>+TEXT(sales[[#This Row],[Fecha]],"ddd")</f>
        <v>mar</v>
      </c>
      <c r="I136" s="185">
        <f>+sales[[#This Row],[Venta]]-sales[[#This Row],[costo_venta]]</f>
        <v>3660</v>
      </c>
      <c r="J136" s="101">
        <f>[1]sales!K141</f>
        <v>8000</v>
      </c>
      <c r="K136" s="79">
        <f>[1]sales!I141</f>
        <v>8000</v>
      </c>
      <c r="L136" s="52">
        <f>[1]sales!J141</f>
        <v>0</v>
      </c>
      <c r="M136" s="1">
        <f>[1]sales!L141*sales[[#This Row],[cantidad]]</f>
        <v>4340</v>
      </c>
      <c r="N136" s="37">
        <f>+(sales[[#This Row],[Venta]]-sales[[#This Row],[costo_venta]])/sales[[#This Row],[Venta]]</f>
        <v>0.45750000000000002</v>
      </c>
    </row>
    <row r="137" spans="1:14" x14ac:dyDescent="0.2">
      <c r="A137" s="14">
        <f>[1]sales!A142</f>
        <v>46084</v>
      </c>
      <c r="B137" s="188">
        <f>[1]sales!B142</f>
        <v>0.70716435185185189</v>
      </c>
      <c r="C137" s="184" t="s">
        <v>49</v>
      </c>
      <c r="D137" s="14" t="str">
        <f>[1]sales!D142</f>
        <v>Bandeja Choriboni - 30</v>
      </c>
      <c r="E137" s="3">
        <f>+[1]sales!G142</f>
        <v>1</v>
      </c>
      <c r="F137" s="195">
        <f>+_xlfn.XLOOKUP(sales[[#This Row],[Fecha]],OPEX_SALES!A:A,OPEX_SALES!B:B)</f>
        <v>2</v>
      </c>
      <c r="G137" s="14" t="str">
        <f>+_xlfn.XLOOKUP(sales[[#This Row],[Fecha]],OPEX_SALES!A:A,OPEX_SALES!E:E)</f>
        <v>A) Día hábil</v>
      </c>
      <c r="H137" s="14" t="str">
        <f>+TEXT(sales[[#This Row],[Fecha]],"ddd")</f>
        <v>mar</v>
      </c>
      <c r="I137" s="185">
        <f>+sales[[#This Row],[Venta]]-sales[[#This Row],[costo_venta]]</f>
        <v>26500</v>
      </c>
      <c r="J137" s="101">
        <f>[1]sales!K142</f>
        <v>30000</v>
      </c>
      <c r="K137" s="79">
        <f>[1]sales!I142</f>
        <v>0</v>
      </c>
      <c r="L137" s="52">
        <f>[1]sales!J142</f>
        <v>30000</v>
      </c>
      <c r="M137" s="1">
        <f>[1]sales!L142*sales[[#This Row],[cantidad]]</f>
        <v>3500</v>
      </c>
      <c r="N137" s="37">
        <f>+(sales[[#This Row],[Venta]]-sales[[#This Row],[costo_venta]])/sales[[#This Row],[Venta]]</f>
        <v>0.8833333333333333</v>
      </c>
    </row>
    <row r="138" spans="1:14" x14ac:dyDescent="0.2">
      <c r="A138" s="14">
        <f>[1]sales!A143</f>
        <v>46084</v>
      </c>
      <c r="B138" s="188">
        <f>[1]sales!B143</f>
        <v>0.70716435185185189</v>
      </c>
      <c r="C138" s="184" t="s">
        <v>49</v>
      </c>
      <c r="D138" s="14" t="str">
        <f>[1]sales!D143</f>
        <v>BEBIDA - Coca Cola</v>
      </c>
      <c r="E138" s="3">
        <f>+[1]sales!G143</f>
        <v>1</v>
      </c>
      <c r="F138" s="195">
        <f>+_xlfn.XLOOKUP(sales[[#This Row],[Fecha]],OPEX_SALES!A:A,OPEX_SALES!B:B)</f>
        <v>2</v>
      </c>
      <c r="G138" s="14" t="str">
        <f>+_xlfn.XLOOKUP(sales[[#This Row],[Fecha]],OPEX_SALES!A:A,OPEX_SALES!E:E)</f>
        <v>A) Día hábil</v>
      </c>
      <c r="H138" s="14" t="str">
        <f>+TEXT(sales[[#This Row],[Fecha]],"ddd")</f>
        <v>mar</v>
      </c>
      <c r="I138" s="185">
        <f>+sales[[#This Row],[Venta]]-sales[[#This Row],[costo_venta]]</f>
        <v>1800</v>
      </c>
      <c r="J138" s="101">
        <f>[1]sales!K143</f>
        <v>3000</v>
      </c>
      <c r="K138" s="79">
        <f>[1]sales!I143</f>
        <v>0</v>
      </c>
      <c r="L138" s="52">
        <f>[1]sales!J143</f>
        <v>3000</v>
      </c>
      <c r="M138" s="1">
        <f>[1]sales!L143*sales[[#This Row],[cantidad]]</f>
        <v>1200</v>
      </c>
      <c r="N138" s="37">
        <f>+(sales[[#This Row],[Venta]]-sales[[#This Row],[costo_venta]])/sales[[#This Row],[Venta]]</f>
        <v>0.6</v>
      </c>
    </row>
    <row r="139" spans="1:14" x14ac:dyDescent="0.2">
      <c r="A139" s="14">
        <f>[1]sales!A144</f>
        <v>46084</v>
      </c>
      <c r="B139" s="188">
        <f>[1]sales!B144</f>
        <v>0.72910879629629632</v>
      </c>
      <c r="C139" s="184" t="s">
        <v>49</v>
      </c>
      <c r="D139" s="14" t="str">
        <f>[1]sales!D144</f>
        <v xml:space="preserve"> Chorizo con papa/arepa</v>
      </c>
      <c r="E139" s="3">
        <f>+[1]sales!G144</f>
        <v>1</v>
      </c>
      <c r="F139" s="195">
        <f>+_xlfn.XLOOKUP(sales[[#This Row],[Fecha]],OPEX_SALES!A:A,OPEX_SALES!B:B)</f>
        <v>2</v>
      </c>
      <c r="G139" s="14" t="str">
        <f>+_xlfn.XLOOKUP(sales[[#This Row],[Fecha]],OPEX_SALES!A:A,OPEX_SALES!E:E)</f>
        <v>A) Día hábil</v>
      </c>
      <c r="H139" s="14" t="str">
        <f>+TEXT(sales[[#This Row],[Fecha]],"ddd")</f>
        <v>mar</v>
      </c>
      <c r="I139" s="185">
        <f>+sales[[#This Row],[Venta]]-sales[[#This Row],[costo_venta]]</f>
        <v>3660</v>
      </c>
      <c r="J139" s="101">
        <f>[1]sales!K144</f>
        <v>8000</v>
      </c>
      <c r="K139" s="79">
        <f>[1]sales!I144</f>
        <v>8000</v>
      </c>
      <c r="L139" s="52">
        <f>[1]sales!J144</f>
        <v>0</v>
      </c>
      <c r="M139" s="1">
        <f>[1]sales!L144*sales[[#This Row],[cantidad]]</f>
        <v>4340</v>
      </c>
      <c r="N139" s="37">
        <f>+(sales[[#This Row],[Venta]]-sales[[#This Row],[costo_venta]])/sales[[#This Row],[Venta]]</f>
        <v>0.45750000000000002</v>
      </c>
    </row>
    <row r="140" spans="1:14" x14ac:dyDescent="0.2">
      <c r="A140" s="14">
        <f>[1]sales!A145</f>
        <v>46084</v>
      </c>
      <c r="B140" s="188">
        <f>[1]sales!B145</f>
        <v>0.74128472222222219</v>
      </c>
      <c r="C140" s="184" t="s">
        <v>49</v>
      </c>
      <c r="D140" s="14" t="str">
        <f>[1]sales!D145</f>
        <v xml:space="preserve"> Chorizo con papa/arepa</v>
      </c>
      <c r="E140" s="3">
        <f>+[1]sales!G145</f>
        <v>1</v>
      </c>
      <c r="F140" s="195">
        <f>+_xlfn.XLOOKUP(sales[[#This Row],[Fecha]],OPEX_SALES!A:A,OPEX_SALES!B:B)</f>
        <v>2</v>
      </c>
      <c r="G140" s="14" t="str">
        <f>+_xlfn.XLOOKUP(sales[[#This Row],[Fecha]],OPEX_SALES!A:A,OPEX_SALES!E:E)</f>
        <v>A) Día hábil</v>
      </c>
      <c r="H140" s="14" t="str">
        <f>+TEXT(sales[[#This Row],[Fecha]],"ddd")</f>
        <v>mar</v>
      </c>
      <c r="I140" s="185">
        <f>+sales[[#This Row],[Venta]]-sales[[#This Row],[costo_venta]]</f>
        <v>3660</v>
      </c>
      <c r="J140" s="101">
        <f>[1]sales!K145</f>
        <v>8000</v>
      </c>
      <c r="K140" s="79">
        <f>[1]sales!I145</f>
        <v>8000</v>
      </c>
      <c r="L140" s="52">
        <f>[1]sales!J145</f>
        <v>0</v>
      </c>
      <c r="M140" s="1">
        <f>[1]sales!L145*sales[[#This Row],[cantidad]]</f>
        <v>4340</v>
      </c>
      <c r="N140" s="37">
        <f>+(sales[[#This Row],[Venta]]-sales[[#This Row],[costo_venta]])/sales[[#This Row],[Venta]]</f>
        <v>0.45750000000000002</v>
      </c>
    </row>
    <row r="141" spans="1:14" x14ac:dyDescent="0.2">
      <c r="A141" s="14">
        <f>[1]sales!A146</f>
        <v>46084</v>
      </c>
      <c r="B141" s="188">
        <f>[1]sales!B146</f>
        <v>0.74128472222222219</v>
      </c>
      <c r="C141" s="184" t="s">
        <v>49</v>
      </c>
      <c r="D141" s="14" t="str">
        <f>[1]sales!D146</f>
        <v>z. MP -  Chorizo CRUDO</v>
      </c>
      <c r="E141" s="3">
        <f>+[1]sales!G146</f>
        <v>2</v>
      </c>
      <c r="F141" s="195">
        <f>+_xlfn.XLOOKUP(sales[[#This Row],[Fecha]],OPEX_SALES!A:A,OPEX_SALES!B:B)</f>
        <v>2</v>
      </c>
      <c r="G141" s="14" t="str">
        <f>+_xlfn.XLOOKUP(sales[[#This Row],[Fecha]],OPEX_SALES!A:A,OPEX_SALES!E:E)</f>
        <v>A) Día hábil</v>
      </c>
      <c r="H141" s="14" t="str">
        <f>+TEXT(sales[[#This Row],[Fecha]],"ddd")</f>
        <v>mar</v>
      </c>
      <c r="I141" s="185">
        <f>+sales[[#This Row],[Venta]]-sales[[#This Row],[costo_venta]]</f>
        <v>2000</v>
      </c>
      <c r="J141" s="101">
        <f>[1]sales!K146</f>
        <v>9000</v>
      </c>
      <c r="K141" s="79">
        <f>[1]sales!I146</f>
        <v>9000</v>
      </c>
      <c r="L141" s="52">
        <f>[1]sales!J146</f>
        <v>0</v>
      </c>
      <c r="M141" s="1">
        <f>[1]sales!L146*sales[[#This Row],[cantidad]]</f>
        <v>7000</v>
      </c>
      <c r="N141" s="37">
        <f>+(sales[[#This Row],[Venta]]-sales[[#This Row],[costo_venta]])/sales[[#This Row],[Venta]]</f>
        <v>0.22222222222222221</v>
      </c>
    </row>
    <row r="142" spans="1:14" x14ac:dyDescent="0.2">
      <c r="A142" s="14">
        <f>[1]sales!A147</f>
        <v>46084</v>
      </c>
      <c r="B142" s="188">
        <f>[1]sales!B147</f>
        <v>0.75469907407407411</v>
      </c>
      <c r="C142" s="184" t="s">
        <v>49</v>
      </c>
      <c r="D142" s="14" t="str">
        <f>[1]sales!D147</f>
        <v xml:space="preserve"> Chorizo con papa/arepa</v>
      </c>
      <c r="E142" s="3">
        <f>+[1]sales!G147</f>
        <v>1</v>
      </c>
      <c r="F142" s="195">
        <f>+_xlfn.XLOOKUP(sales[[#This Row],[Fecha]],OPEX_SALES!A:A,OPEX_SALES!B:B)</f>
        <v>2</v>
      </c>
      <c r="G142" s="14" t="str">
        <f>+_xlfn.XLOOKUP(sales[[#This Row],[Fecha]],OPEX_SALES!A:A,OPEX_SALES!E:E)</f>
        <v>A) Día hábil</v>
      </c>
      <c r="H142" s="14" t="str">
        <f>+TEXT(sales[[#This Row],[Fecha]],"ddd")</f>
        <v>mar</v>
      </c>
      <c r="I142" s="185">
        <f>+sales[[#This Row],[Venta]]-sales[[#This Row],[costo_venta]]</f>
        <v>3660</v>
      </c>
      <c r="J142" s="101">
        <f>[1]sales!K147</f>
        <v>8000</v>
      </c>
      <c r="K142" s="79">
        <f>[1]sales!I147</f>
        <v>8000</v>
      </c>
      <c r="L142" s="52">
        <f>[1]sales!J147</f>
        <v>0</v>
      </c>
      <c r="M142" s="1">
        <f>[1]sales!L147*sales[[#This Row],[cantidad]]</f>
        <v>4340</v>
      </c>
      <c r="N142" s="37">
        <f>+(sales[[#This Row],[Venta]]-sales[[#This Row],[costo_venta]])/sales[[#This Row],[Venta]]</f>
        <v>0.45750000000000002</v>
      </c>
    </row>
    <row r="143" spans="1:14" x14ac:dyDescent="0.2">
      <c r="A143" s="14">
        <f>[1]sales!A148</f>
        <v>46084</v>
      </c>
      <c r="B143" s="188">
        <f>[1]sales!B148</f>
        <v>0.75469907407407411</v>
      </c>
      <c r="C143" s="184" t="s">
        <v>49</v>
      </c>
      <c r="D143" s="14" t="str">
        <f>[1]sales!D148</f>
        <v>BEBIDA - Coca Cola</v>
      </c>
      <c r="E143" s="3">
        <f>+[1]sales!G148</f>
        <v>1</v>
      </c>
      <c r="F143" s="195">
        <f>+_xlfn.XLOOKUP(sales[[#This Row],[Fecha]],OPEX_SALES!A:A,OPEX_SALES!B:B)</f>
        <v>2</v>
      </c>
      <c r="G143" s="14" t="str">
        <f>+_xlfn.XLOOKUP(sales[[#This Row],[Fecha]],OPEX_SALES!A:A,OPEX_SALES!E:E)</f>
        <v>A) Día hábil</v>
      </c>
      <c r="H143" s="14" t="str">
        <f>+TEXT(sales[[#This Row],[Fecha]],"ddd")</f>
        <v>mar</v>
      </c>
      <c r="I143" s="185">
        <f>+sales[[#This Row],[Venta]]-sales[[#This Row],[costo_venta]]</f>
        <v>1800</v>
      </c>
      <c r="J143" s="101">
        <f>[1]sales!K148</f>
        <v>3000</v>
      </c>
      <c r="K143" s="79">
        <f>[1]sales!I148</f>
        <v>3000</v>
      </c>
      <c r="L143" s="52">
        <f>[1]sales!J148</f>
        <v>0</v>
      </c>
      <c r="M143" s="1">
        <f>[1]sales!L148*sales[[#This Row],[cantidad]]</f>
        <v>1200</v>
      </c>
      <c r="N143" s="37">
        <f>+(sales[[#This Row],[Venta]]-sales[[#This Row],[costo_venta]])/sales[[#This Row],[Venta]]</f>
        <v>0.6</v>
      </c>
    </row>
    <row r="144" spans="1:14" x14ac:dyDescent="0.2">
      <c r="A144" s="14">
        <f>[1]sales!A149</f>
        <v>46084</v>
      </c>
      <c r="B144" s="188">
        <f>[1]sales!B149</f>
        <v>0.76284722222222223</v>
      </c>
      <c r="C144" s="184" t="s">
        <v>49</v>
      </c>
      <c r="D144" s="14" t="str">
        <f>[1]sales!D149</f>
        <v>BEBIDA - Jugo Hit</v>
      </c>
      <c r="E144" s="3">
        <f>+[1]sales!G149</f>
        <v>1</v>
      </c>
      <c r="F144" s="195">
        <f>+_xlfn.XLOOKUP(sales[[#This Row],[Fecha]],OPEX_SALES!A:A,OPEX_SALES!B:B)</f>
        <v>2</v>
      </c>
      <c r="G144" s="14" t="str">
        <f>+_xlfn.XLOOKUP(sales[[#This Row],[Fecha]],OPEX_SALES!A:A,OPEX_SALES!E:E)</f>
        <v>A) Día hábil</v>
      </c>
      <c r="H144" s="14" t="str">
        <f>+TEXT(sales[[#This Row],[Fecha]],"ddd")</f>
        <v>mar</v>
      </c>
      <c r="I144" s="185">
        <f>+sales[[#This Row],[Venta]]-sales[[#This Row],[costo_venta]]</f>
        <v>2083.33</v>
      </c>
      <c r="J144" s="101">
        <f>[1]sales!K149</f>
        <v>4500</v>
      </c>
      <c r="K144" s="79">
        <f>[1]sales!I149</f>
        <v>4500</v>
      </c>
      <c r="L144" s="52">
        <f>[1]sales!J149</f>
        <v>0</v>
      </c>
      <c r="M144" s="1">
        <f>[1]sales!L149*sales[[#This Row],[cantidad]]</f>
        <v>2416.67</v>
      </c>
      <c r="N144" s="37">
        <f>+(sales[[#This Row],[Venta]]-sales[[#This Row],[costo_venta]])/sales[[#This Row],[Venta]]</f>
        <v>0.46296222222222222</v>
      </c>
    </row>
    <row r="145" spans="1:14" x14ac:dyDescent="0.2">
      <c r="A145" s="14">
        <f>[1]sales!A150</f>
        <v>46084</v>
      </c>
      <c r="B145" s="188">
        <f>[1]sales!B150</f>
        <v>0.76518518518518519</v>
      </c>
      <c r="C145" s="184" t="s">
        <v>49</v>
      </c>
      <c r="D145" s="14" t="str">
        <f>[1]sales!D150</f>
        <v xml:space="preserve"> Chorizo con papa/arepa</v>
      </c>
      <c r="E145" s="3">
        <f>+[1]sales!G150</f>
        <v>1</v>
      </c>
      <c r="F145" s="195">
        <f>+_xlfn.XLOOKUP(sales[[#This Row],[Fecha]],OPEX_SALES!A:A,OPEX_SALES!B:B)</f>
        <v>2</v>
      </c>
      <c r="G145" s="14" t="str">
        <f>+_xlfn.XLOOKUP(sales[[#This Row],[Fecha]],OPEX_SALES!A:A,OPEX_SALES!E:E)</f>
        <v>A) Día hábil</v>
      </c>
      <c r="H145" s="14" t="str">
        <f>+TEXT(sales[[#This Row],[Fecha]],"ddd")</f>
        <v>mar</v>
      </c>
      <c r="I145" s="185">
        <f>+sales[[#This Row],[Venta]]-sales[[#This Row],[costo_venta]]</f>
        <v>3660</v>
      </c>
      <c r="J145" s="101">
        <f>[1]sales!K150</f>
        <v>8000</v>
      </c>
      <c r="K145" s="79">
        <f>[1]sales!I150</f>
        <v>0</v>
      </c>
      <c r="L145" s="52">
        <f>[1]sales!J150</f>
        <v>8000</v>
      </c>
      <c r="M145" s="1">
        <f>[1]sales!L150*sales[[#This Row],[cantidad]]</f>
        <v>4340</v>
      </c>
      <c r="N145" s="37">
        <f>+(sales[[#This Row],[Venta]]-sales[[#This Row],[costo_venta]])/sales[[#This Row],[Venta]]</f>
        <v>0.45750000000000002</v>
      </c>
    </row>
    <row r="146" spans="1:14" x14ac:dyDescent="0.2">
      <c r="A146" s="14">
        <f>[1]sales!A151</f>
        <v>46084</v>
      </c>
      <c r="B146" s="188">
        <f>[1]sales!B151</f>
        <v>0.76518518518518519</v>
      </c>
      <c r="C146" s="184" t="s">
        <v>49</v>
      </c>
      <c r="D146" s="14" t="str">
        <f>[1]sales!D151</f>
        <v>BEBIDA - Coca Cola</v>
      </c>
      <c r="E146" s="3">
        <f>+[1]sales!G151</f>
        <v>1</v>
      </c>
      <c r="F146" s="195">
        <f>+_xlfn.XLOOKUP(sales[[#This Row],[Fecha]],OPEX_SALES!A:A,OPEX_SALES!B:B)</f>
        <v>2</v>
      </c>
      <c r="G146" s="14" t="str">
        <f>+_xlfn.XLOOKUP(sales[[#This Row],[Fecha]],OPEX_SALES!A:A,OPEX_SALES!E:E)</f>
        <v>A) Día hábil</v>
      </c>
      <c r="H146" s="14" t="str">
        <f>+TEXT(sales[[#This Row],[Fecha]],"ddd")</f>
        <v>mar</v>
      </c>
      <c r="I146" s="185">
        <f>+sales[[#This Row],[Venta]]-sales[[#This Row],[costo_venta]]</f>
        <v>1800</v>
      </c>
      <c r="J146" s="101">
        <f>[1]sales!K151</f>
        <v>3000</v>
      </c>
      <c r="K146" s="79">
        <f>[1]sales!I151</f>
        <v>0</v>
      </c>
      <c r="L146" s="52">
        <f>[1]sales!J151</f>
        <v>3000</v>
      </c>
      <c r="M146" s="1">
        <f>[1]sales!L151*sales[[#This Row],[cantidad]]</f>
        <v>1200</v>
      </c>
      <c r="N146" s="37">
        <f>+(sales[[#This Row],[Venta]]-sales[[#This Row],[costo_venta]])/sales[[#This Row],[Venta]]</f>
        <v>0.6</v>
      </c>
    </row>
    <row r="147" spans="1:14" x14ac:dyDescent="0.2">
      <c r="A147" s="14">
        <f>[1]sales!A152</f>
        <v>46084</v>
      </c>
      <c r="B147" s="188">
        <f>[1]sales!B152</f>
        <v>0.77130787037037041</v>
      </c>
      <c r="C147" s="184" t="s">
        <v>49</v>
      </c>
      <c r="D147" s="14" t="str">
        <f>[1]sales!D152</f>
        <v>z. MP -  Hamb. CRUDA</v>
      </c>
      <c r="E147" s="3">
        <f>+[1]sales!G152</f>
        <v>4</v>
      </c>
      <c r="F147" s="195">
        <f>+_xlfn.XLOOKUP(sales[[#This Row],[Fecha]],OPEX_SALES!A:A,OPEX_SALES!B:B)</f>
        <v>2</v>
      </c>
      <c r="G147" s="14" t="str">
        <f>+_xlfn.XLOOKUP(sales[[#This Row],[Fecha]],OPEX_SALES!A:A,OPEX_SALES!E:E)</f>
        <v>A) Día hábil</v>
      </c>
      <c r="H147" s="14" t="str">
        <f>+TEXT(sales[[#This Row],[Fecha]],"ddd")</f>
        <v>mar</v>
      </c>
      <c r="I147" s="185">
        <f>+sales[[#This Row],[Venta]]-sales[[#This Row],[costo_venta]]</f>
        <v>0</v>
      </c>
      <c r="J147" s="101">
        <f>[1]sales!K152</f>
        <v>20000</v>
      </c>
      <c r="K147" s="79">
        <f>[1]sales!I152</f>
        <v>0</v>
      </c>
      <c r="L147" s="52">
        <f>[1]sales!J152</f>
        <v>20000</v>
      </c>
      <c r="M147" s="1">
        <f>[1]sales!L152*sales[[#This Row],[cantidad]]</f>
        <v>20000</v>
      </c>
      <c r="N147" s="37">
        <f>+(sales[[#This Row],[Venta]]-sales[[#This Row],[costo_venta]])/sales[[#This Row],[Venta]]</f>
        <v>0</v>
      </c>
    </row>
    <row r="148" spans="1:14" x14ac:dyDescent="0.2">
      <c r="A148" s="14">
        <f>[1]sales!A153</f>
        <v>46084</v>
      </c>
      <c r="B148" s="188">
        <f>[1]sales!B153</f>
        <v>0.85248842592592589</v>
      </c>
      <c r="C148" s="184" t="s">
        <v>49</v>
      </c>
      <c r="D148" s="14" t="str">
        <f>[1]sales!D153</f>
        <v xml:space="preserve"> Chorizo con papa/arepa</v>
      </c>
      <c r="E148" s="3">
        <f>+[1]sales!G153</f>
        <v>2</v>
      </c>
      <c r="F148" s="195">
        <f>+_xlfn.XLOOKUP(sales[[#This Row],[Fecha]],OPEX_SALES!A:A,OPEX_SALES!B:B)</f>
        <v>2</v>
      </c>
      <c r="G148" s="14" t="str">
        <f>+_xlfn.XLOOKUP(sales[[#This Row],[Fecha]],OPEX_SALES!A:A,OPEX_SALES!E:E)</f>
        <v>A) Día hábil</v>
      </c>
      <c r="H148" s="14" t="str">
        <f>+TEXT(sales[[#This Row],[Fecha]],"ddd")</f>
        <v>mar</v>
      </c>
      <c r="I148" s="185">
        <f>+sales[[#This Row],[Venta]]-sales[[#This Row],[costo_venta]]</f>
        <v>7320</v>
      </c>
      <c r="J148" s="101">
        <f>[1]sales!K153</f>
        <v>16000</v>
      </c>
      <c r="K148" s="79">
        <f>[1]sales!I153</f>
        <v>16000</v>
      </c>
      <c r="L148" s="52">
        <f>[1]sales!J153</f>
        <v>0</v>
      </c>
      <c r="M148" s="1">
        <f>[1]sales!L153*sales[[#This Row],[cantidad]]</f>
        <v>8680</v>
      </c>
      <c r="N148" s="37">
        <f>+(sales[[#This Row],[Venta]]-sales[[#This Row],[costo_venta]])/sales[[#This Row],[Venta]]</f>
        <v>0.45750000000000002</v>
      </c>
    </row>
    <row r="149" spans="1:14" x14ac:dyDescent="0.2">
      <c r="A149" s="14">
        <f>[1]sales!A154</f>
        <v>46084</v>
      </c>
      <c r="B149" s="188">
        <f>[1]sales!B154</f>
        <v>0.85248842592592589</v>
      </c>
      <c r="C149" s="184" t="s">
        <v>49</v>
      </c>
      <c r="D149" s="14" t="str">
        <f>[1]sales!D154</f>
        <v>BEBIDA - Coca Cola</v>
      </c>
      <c r="E149" s="3">
        <f>+[1]sales!G154</f>
        <v>2</v>
      </c>
      <c r="F149" s="195">
        <f>+_xlfn.XLOOKUP(sales[[#This Row],[Fecha]],OPEX_SALES!A:A,OPEX_SALES!B:B)</f>
        <v>2</v>
      </c>
      <c r="G149" s="14" t="str">
        <f>+_xlfn.XLOOKUP(sales[[#This Row],[Fecha]],OPEX_SALES!A:A,OPEX_SALES!E:E)</f>
        <v>A) Día hábil</v>
      </c>
      <c r="H149" s="14" t="str">
        <f>+TEXT(sales[[#This Row],[Fecha]],"ddd")</f>
        <v>mar</v>
      </c>
      <c r="I149" s="185">
        <f>+sales[[#This Row],[Venta]]-sales[[#This Row],[costo_venta]]</f>
        <v>3600</v>
      </c>
      <c r="J149" s="101">
        <f>[1]sales!K154</f>
        <v>6000</v>
      </c>
      <c r="K149" s="79">
        <f>[1]sales!I154</f>
        <v>6000</v>
      </c>
      <c r="L149" s="52">
        <f>[1]sales!J154</f>
        <v>0</v>
      </c>
      <c r="M149" s="1">
        <f>[1]sales!L154*sales[[#This Row],[cantidad]]</f>
        <v>2400</v>
      </c>
      <c r="N149" s="37">
        <f>+(sales[[#This Row],[Venta]]-sales[[#This Row],[costo_venta]])/sales[[#This Row],[Venta]]</f>
        <v>0.6</v>
      </c>
    </row>
    <row r="150" spans="1:14" x14ac:dyDescent="0.2">
      <c r="A150" s="14">
        <f>[1]sales!A155</f>
        <v>46084</v>
      </c>
      <c r="B150" s="188">
        <f>[1]sales!B155</f>
        <v>0.96866898148148151</v>
      </c>
      <c r="C150" s="184" t="s">
        <v>49</v>
      </c>
      <c r="D150" s="14" t="str">
        <f>[1]sales!D155</f>
        <v xml:space="preserve"> Chorizo con papa/arepa</v>
      </c>
      <c r="E150" s="3">
        <f>+[1]sales!G155</f>
        <v>3</v>
      </c>
      <c r="F150" s="195">
        <f>+_xlfn.XLOOKUP(sales[[#This Row],[Fecha]],OPEX_SALES!A:A,OPEX_SALES!B:B)</f>
        <v>2</v>
      </c>
      <c r="G150" s="14" t="str">
        <f>+_xlfn.XLOOKUP(sales[[#This Row],[Fecha]],OPEX_SALES!A:A,OPEX_SALES!E:E)</f>
        <v>A) Día hábil</v>
      </c>
      <c r="H150" s="14" t="str">
        <f>+TEXT(sales[[#This Row],[Fecha]],"ddd")</f>
        <v>mar</v>
      </c>
      <c r="I150" s="185">
        <f>+sales[[#This Row],[Venta]]-sales[[#This Row],[costo_venta]]</f>
        <v>10980</v>
      </c>
      <c r="J150" s="101">
        <f>[1]sales!K155</f>
        <v>24000</v>
      </c>
      <c r="K150" s="79">
        <f>[1]sales!I155</f>
        <v>0</v>
      </c>
      <c r="L150" s="52">
        <f>[1]sales!J155</f>
        <v>24000</v>
      </c>
      <c r="M150" s="1">
        <f>[1]sales!L155*sales[[#This Row],[cantidad]]</f>
        <v>13020</v>
      </c>
      <c r="N150" s="37">
        <f>+(sales[[#This Row],[Venta]]-sales[[#This Row],[costo_venta]])/sales[[#This Row],[Venta]]</f>
        <v>0.45750000000000002</v>
      </c>
    </row>
    <row r="151" spans="1:14" x14ac:dyDescent="0.2">
      <c r="A151" s="14">
        <f>[1]sales!A156</f>
        <v>46084</v>
      </c>
      <c r="B151" s="188">
        <f>[1]sales!B156</f>
        <v>0.96866898148148151</v>
      </c>
      <c r="C151" s="184" t="s">
        <v>49</v>
      </c>
      <c r="D151" s="14" t="str">
        <f>[1]sales!D156</f>
        <v>BEBIDA - Coca Cola</v>
      </c>
      <c r="E151" s="3">
        <f>+[1]sales!G156</f>
        <v>1</v>
      </c>
      <c r="F151" s="195">
        <f>+_xlfn.XLOOKUP(sales[[#This Row],[Fecha]],OPEX_SALES!A:A,OPEX_SALES!B:B)</f>
        <v>2</v>
      </c>
      <c r="G151" s="14" t="str">
        <f>+_xlfn.XLOOKUP(sales[[#This Row],[Fecha]],OPEX_SALES!A:A,OPEX_SALES!E:E)</f>
        <v>A) Día hábil</v>
      </c>
      <c r="H151" s="14" t="str">
        <f>+TEXT(sales[[#This Row],[Fecha]],"ddd")</f>
        <v>mar</v>
      </c>
      <c r="I151" s="185">
        <f>+sales[[#This Row],[Venta]]-sales[[#This Row],[costo_venta]]</f>
        <v>1800</v>
      </c>
      <c r="J151" s="101">
        <f>[1]sales!K156</f>
        <v>3000</v>
      </c>
      <c r="K151" s="79">
        <f>[1]sales!I156</f>
        <v>0</v>
      </c>
      <c r="L151" s="52">
        <f>[1]sales!J156</f>
        <v>3000</v>
      </c>
      <c r="M151" s="1">
        <f>[1]sales!L156*sales[[#This Row],[cantidad]]</f>
        <v>1200</v>
      </c>
      <c r="N151" s="37">
        <f>+(sales[[#This Row],[Venta]]-sales[[#This Row],[costo_venta]])/sales[[#This Row],[Venta]]</f>
        <v>0.6</v>
      </c>
    </row>
    <row r="152" spans="1:14" x14ac:dyDescent="0.2">
      <c r="A152" s="14">
        <f>[1]sales!A157</f>
        <v>46085</v>
      </c>
      <c r="B152" s="188">
        <f>[1]sales!B157</f>
        <v>0.63070601851851849</v>
      </c>
      <c r="C152" s="184" t="s">
        <v>49</v>
      </c>
      <c r="D152" s="14" t="str">
        <f>[1]sales!D157</f>
        <v xml:space="preserve"> Chorizo con papa/arepa</v>
      </c>
      <c r="E152" s="3">
        <f>+[1]sales!G157</f>
        <v>1</v>
      </c>
      <c r="F152" s="195">
        <f>+_xlfn.XLOOKUP(sales[[#This Row],[Fecha]],OPEX_SALES!A:A,OPEX_SALES!B:B)</f>
        <v>2</v>
      </c>
      <c r="G152" s="14" t="str">
        <f>+_xlfn.XLOOKUP(sales[[#This Row],[Fecha]],OPEX_SALES!A:A,OPEX_SALES!E:E)</f>
        <v>A) Día hábil</v>
      </c>
      <c r="H152" s="14" t="str">
        <f>+TEXT(sales[[#This Row],[Fecha]],"ddd")</f>
        <v>mié</v>
      </c>
      <c r="I152" s="185">
        <f>+sales[[#This Row],[Venta]]-sales[[#This Row],[costo_venta]]</f>
        <v>3660</v>
      </c>
      <c r="J152" s="101">
        <f>[1]sales!K157</f>
        <v>8000</v>
      </c>
      <c r="K152" s="79">
        <f>[1]sales!I157</f>
        <v>8000</v>
      </c>
      <c r="L152" s="52">
        <f>[1]sales!J157</f>
        <v>0</v>
      </c>
      <c r="M152" s="1">
        <f>[1]sales!L157*sales[[#This Row],[cantidad]]</f>
        <v>4340</v>
      </c>
      <c r="N152" s="37">
        <f>+(sales[[#This Row],[Venta]]-sales[[#This Row],[costo_venta]])/sales[[#This Row],[Venta]]</f>
        <v>0.45750000000000002</v>
      </c>
    </row>
    <row r="153" spans="1:14" x14ac:dyDescent="0.2">
      <c r="A153" s="14">
        <f>[1]sales!A158</f>
        <v>46085</v>
      </c>
      <c r="B153" s="188">
        <f>[1]sales!B158</f>
        <v>0.63070601851851849</v>
      </c>
      <c r="C153" s="184" t="s">
        <v>49</v>
      </c>
      <c r="D153" s="14" t="str">
        <f>[1]sales!D158</f>
        <v>BEBIDA - Coca Cola</v>
      </c>
      <c r="E153" s="3">
        <f>+[1]sales!G158</f>
        <v>1</v>
      </c>
      <c r="F153" s="195">
        <f>+_xlfn.XLOOKUP(sales[[#This Row],[Fecha]],OPEX_SALES!A:A,OPEX_SALES!B:B)</f>
        <v>2</v>
      </c>
      <c r="G153" s="14" t="str">
        <f>+_xlfn.XLOOKUP(sales[[#This Row],[Fecha]],OPEX_SALES!A:A,OPEX_SALES!E:E)</f>
        <v>A) Día hábil</v>
      </c>
      <c r="H153" s="14" t="str">
        <f>+TEXT(sales[[#This Row],[Fecha]],"ddd")</f>
        <v>mié</v>
      </c>
      <c r="I153" s="185">
        <f>+sales[[#This Row],[Venta]]-sales[[#This Row],[costo_venta]]</f>
        <v>1800</v>
      </c>
      <c r="J153" s="101">
        <f>[1]sales!K158</f>
        <v>3000</v>
      </c>
      <c r="K153" s="79">
        <f>[1]sales!I158</f>
        <v>3000</v>
      </c>
      <c r="L153" s="52">
        <f>[1]sales!J158</f>
        <v>0</v>
      </c>
      <c r="M153" s="1">
        <f>[1]sales!L158*sales[[#This Row],[cantidad]]</f>
        <v>1200</v>
      </c>
      <c r="N153" s="37">
        <f>+(sales[[#This Row],[Venta]]-sales[[#This Row],[costo_venta]])/sales[[#This Row],[Venta]]</f>
        <v>0.6</v>
      </c>
    </row>
    <row r="154" spans="1:14" x14ac:dyDescent="0.2">
      <c r="A154" s="14">
        <f>[1]sales!A159</f>
        <v>46085</v>
      </c>
      <c r="B154" s="188">
        <f>[1]sales!B159</f>
        <v>0.63070601851851849</v>
      </c>
      <c r="C154" s="184" t="s">
        <v>49</v>
      </c>
      <c r="D154" s="14" t="str">
        <f>[1]sales!D159</f>
        <v>Ham. combo</v>
      </c>
      <c r="E154" s="3">
        <f>+[1]sales!G159</f>
        <v>1</v>
      </c>
      <c r="F154" s="195">
        <f>+_xlfn.XLOOKUP(sales[[#This Row],[Fecha]],OPEX_SALES!A:A,OPEX_SALES!B:B)</f>
        <v>2</v>
      </c>
      <c r="G154" s="14" t="str">
        <f>+_xlfn.XLOOKUP(sales[[#This Row],[Fecha]],OPEX_SALES!A:A,OPEX_SALES!E:E)</f>
        <v>A) Día hábil</v>
      </c>
      <c r="H154" s="14" t="str">
        <f>+TEXT(sales[[#This Row],[Fecha]],"ddd")</f>
        <v>mié</v>
      </c>
      <c r="I154" s="185">
        <f>+sales[[#This Row],[Venta]]-sales[[#This Row],[costo_venta]]</f>
        <v>17000</v>
      </c>
      <c r="J154" s="101">
        <f>[1]sales!K159</f>
        <v>22000</v>
      </c>
      <c r="K154" s="79">
        <f>[1]sales!I159</f>
        <v>22000</v>
      </c>
      <c r="L154" s="52">
        <f>[1]sales!J159</f>
        <v>0</v>
      </c>
      <c r="M154" s="1">
        <f>[1]sales!L159*sales[[#This Row],[cantidad]]</f>
        <v>5000</v>
      </c>
      <c r="N154" s="37">
        <f>+(sales[[#This Row],[Venta]]-sales[[#This Row],[costo_venta]])/sales[[#This Row],[Venta]]</f>
        <v>0.77272727272727271</v>
      </c>
    </row>
    <row r="155" spans="1:14" x14ac:dyDescent="0.2">
      <c r="A155" s="14">
        <f>[1]sales!A160</f>
        <v>46085</v>
      </c>
      <c r="B155" s="188">
        <f>[1]sales!B160</f>
        <v>0.63363425925925931</v>
      </c>
      <c r="C155" s="184" t="s">
        <v>49</v>
      </c>
      <c r="D155" s="14" t="str">
        <f>[1]sales!D160</f>
        <v xml:space="preserve"> Chorizo con papa/arepa</v>
      </c>
      <c r="E155" s="3">
        <f>+[1]sales!G160</f>
        <v>1</v>
      </c>
      <c r="F155" s="195">
        <f>+_xlfn.XLOOKUP(sales[[#This Row],[Fecha]],OPEX_SALES!A:A,OPEX_SALES!B:B)</f>
        <v>2</v>
      </c>
      <c r="G155" s="14" t="str">
        <f>+_xlfn.XLOOKUP(sales[[#This Row],[Fecha]],OPEX_SALES!A:A,OPEX_SALES!E:E)</f>
        <v>A) Día hábil</v>
      </c>
      <c r="H155" s="14" t="str">
        <f>+TEXT(sales[[#This Row],[Fecha]],"ddd")</f>
        <v>mié</v>
      </c>
      <c r="I155" s="185">
        <f>+sales[[#This Row],[Venta]]-sales[[#This Row],[costo_venta]]</f>
        <v>3660</v>
      </c>
      <c r="J155" s="101">
        <f>[1]sales!K160</f>
        <v>8000</v>
      </c>
      <c r="K155" s="79">
        <f>[1]sales!I160</f>
        <v>8000</v>
      </c>
      <c r="L155" s="52">
        <f>[1]sales!J160</f>
        <v>0</v>
      </c>
      <c r="M155" s="1">
        <f>[1]sales!L160*sales[[#This Row],[cantidad]]</f>
        <v>4340</v>
      </c>
      <c r="N155" s="37">
        <f>+(sales[[#This Row],[Venta]]-sales[[#This Row],[costo_venta]])/sales[[#This Row],[Venta]]</f>
        <v>0.45750000000000002</v>
      </c>
    </row>
    <row r="156" spans="1:14" x14ac:dyDescent="0.2">
      <c r="A156" s="14">
        <f>[1]sales!A161</f>
        <v>46085</v>
      </c>
      <c r="B156" s="188">
        <f>[1]sales!B161</f>
        <v>0.66638888888888892</v>
      </c>
      <c r="C156" s="184" t="s">
        <v>49</v>
      </c>
      <c r="D156" s="14" t="str">
        <f>[1]sales!D161</f>
        <v xml:space="preserve"> Chorizo con papa/arepa</v>
      </c>
      <c r="E156" s="3">
        <f>+[1]sales!G161</f>
        <v>1</v>
      </c>
      <c r="F156" s="195">
        <f>+_xlfn.XLOOKUP(sales[[#This Row],[Fecha]],OPEX_SALES!A:A,OPEX_SALES!B:B)</f>
        <v>2</v>
      </c>
      <c r="G156" s="14" t="str">
        <f>+_xlfn.XLOOKUP(sales[[#This Row],[Fecha]],OPEX_SALES!A:A,OPEX_SALES!E:E)</f>
        <v>A) Día hábil</v>
      </c>
      <c r="H156" s="14" t="str">
        <f>+TEXT(sales[[#This Row],[Fecha]],"ddd")</f>
        <v>mié</v>
      </c>
      <c r="I156" s="185">
        <f>+sales[[#This Row],[Venta]]-sales[[#This Row],[costo_venta]]</f>
        <v>3660</v>
      </c>
      <c r="J156" s="101">
        <f>[1]sales!K161</f>
        <v>8000</v>
      </c>
      <c r="K156" s="79">
        <f>[1]sales!I161</f>
        <v>8000</v>
      </c>
      <c r="L156" s="52">
        <f>[1]sales!J161</f>
        <v>0</v>
      </c>
      <c r="M156" s="1">
        <f>[1]sales!L161*sales[[#This Row],[cantidad]]</f>
        <v>4340</v>
      </c>
      <c r="N156" s="37">
        <f>+(sales[[#This Row],[Venta]]-sales[[#This Row],[costo_venta]])/sales[[#This Row],[Venta]]</f>
        <v>0.45750000000000002</v>
      </c>
    </row>
    <row r="157" spans="1:14" x14ac:dyDescent="0.2">
      <c r="A157" s="14">
        <f>[1]sales!A162</f>
        <v>46085</v>
      </c>
      <c r="B157" s="188">
        <f>[1]sales!B162</f>
        <v>0.6906944444444445</v>
      </c>
      <c r="C157" s="184" t="s">
        <v>49</v>
      </c>
      <c r="D157" s="14" t="str">
        <f>[1]sales!D162</f>
        <v xml:space="preserve"> Chorizo con papa/arepa</v>
      </c>
      <c r="E157" s="3">
        <f>+[1]sales!G162</f>
        <v>1</v>
      </c>
      <c r="F157" s="195">
        <f>+_xlfn.XLOOKUP(sales[[#This Row],[Fecha]],OPEX_SALES!A:A,OPEX_SALES!B:B)</f>
        <v>2</v>
      </c>
      <c r="G157" s="14" t="str">
        <f>+_xlfn.XLOOKUP(sales[[#This Row],[Fecha]],OPEX_SALES!A:A,OPEX_SALES!E:E)</f>
        <v>A) Día hábil</v>
      </c>
      <c r="H157" s="14" t="str">
        <f>+TEXT(sales[[#This Row],[Fecha]],"ddd")</f>
        <v>mié</v>
      </c>
      <c r="I157" s="185">
        <f>+sales[[#This Row],[Venta]]-sales[[#This Row],[costo_venta]]</f>
        <v>3660</v>
      </c>
      <c r="J157" s="101">
        <f>[1]sales!K162</f>
        <v>8000</v>
      </c>
      <c r="K157" s="79">
        <f>[1]sales!I162</f>
        <v>8000</v>
      </c>
      <c r="L157" s="52">
        <f>[1]sales!J162</f>
        <v>0</v>
      </c>
      <c r="M157" s="1">
        <f>[1]sales!L162*sales[[#This Row],[cantidad]]</f>
        <v>4340</v>
      </c>
      <c r="N157" s="37">
        <f>+(sales[[#This Row],[Venta]]-sales[[#This Row],[costo_venta]])/sales[[#This Row],[Venta]]</f>
        <v>0.45750000000000002</v>
      </c>
    </row>
    <row r="158" spans="1:14" x14ac:dyDescent="0.2">
      <c r="A158" s="14">
        <f>[1]sales!A163</f>
        <v>46085</v>
      </c>
      <c r="B158" s="188">
        <f>[1]sales!B163</f>
        <v>0.6906944444444445</v>
      </c>
      <c r="C158" s="184" t="s">
        <v>49</v>
      </c>
      <c r="D158" s="14" t="str">
        <f>[1]sales!D163</f>
        <v>BEBIDA - Coca Cola</v>
      </c>
      <c r="E158" s="3">
        <f>+[1]sales!G163</f>
        <v>1</v>
      </c>
      <c r="F158" s="195">
        <f>+_xlfn.XLOOKUP(sales[[#This Row],[Fecha]],OPEX_SALES!A:A,OPEX_SALES!B:B)</f>
        <v>2</v>
      </c>
      <c r="G158" s="14" t="str">
        <f>+_xlfn.XLOOKUP(sales[[#This Row],[Fecha]],OPEX_SALES!A:A,OPEX_SALES!E:E)</f>
        <v>A) Día hábil</v>
      </c>
      <c r="H158" s="14" t="str">
        <f>+TEXT(sales[[#This Row],[Fecha]],"ddd")</f>
        <v>mié</v>
      </c>
      <c r="I158" s="185">
        <f>+sales[[#This Row],[Venta]]-sales[[#This Row],[costo_venta]]</f>
        <v>1800</v>
      </c>
      <c r="J158" s="101">
        <f>[1]sales!K163</f>
        <v>3000</v>
      </c>
      <c r="K158" s="79">
        <f>[1]sales!I163</f>
        <v>3000</v>
      </c>
      <c r="L158" s="52">
        <f>[1]sales!J163</f>
        <v>0</v>
      </c>
      <c r="M158" s="1">
        <f>[1]sales!L163*sales[[#This Row],[cantidad]]</f>
        <v>1200</v>
      </c>
      <c r="N158" s="37">
        <f>+(sales[[#This Row],[Venta]]-sales[[#This Row],[costo_venta]])/sales[[#This Row],[Venta]]</f>
        <v>0.6</v>
      </c>
    </row>
    <row r="159" spans="1:14" x14ac:dyDescent="0.2">
      <c r="A159" s="14">
        <f>[1]sales!A164</f>
        <v>46085</v>
      </c>
      <c r="B159" s="188">
        <f>[1]sales!B164</f>
        <v>0.69087962962962968</v>
      </c>
      <c r="C159" s="184" t="s">
        <v>49</v>
      </c>
      <c r="D159" s="14" t="str">
        <f>[1]sales!D164</f>
        <v>BEBIDA - Botella de Agua</v>
      </c>
      <c r="E159" s="3">
        <f>+[1]sales!G164</f>
        <v>2</v>
      </c>
      <c r="F159" s="195">
        <f>+_xlfn.XLOOKUP(sales[[#This Row],[Fecha]],OPEX_SALES!A:A,OPEX_SALES!B:B)</f>
        <v>2</v>
      </c>
      <c r="G159" s="14" t="str">
        <f>+_xlfn.XLOOKUP(sales[[#This Row],[Fecha]],OPEX_SALES!A:A,OPEX_SALES!E:E)</f>
        <v>A) Día hábil</v>
      </c>
      <c r="H159" s="14" t="str">
        <f>+TEXT(sales[[#This Row],[Fecha]],"ddd")</f>
        <v>mié</v>
      </c>
      <c r="I159" s="185">
        <f>+sales[[#This Row],[Venta]]-sales[[#This Row],[costo_venta]]</f>
        <v>4166.66</v>
      </c>
      <c r="J159" s="101">
        <f>[1]sales!K164</f>
        <v>7000</v>
      </c>
      <c r="K159" s="79">
        <f>[1]sales!I164</f>
        <v>7000</v>
      </c>
      <c r="L159" s="52">
        <f>[1]sales!J164</f>
        <v>0</v>
      </c>
      <c r="M159" s="1">
        <f>[1]sales!L164*sales[[#This Row],[cantidad]]</f>
        <v>2833.34</v>
      </c>
      <c r="N159" s="37">
        <f>+(sales[[#This Row],[Venta]]-sales[[#This Row],[costo_venta]])/sales[[#This Row],[Venta]]</f>
        <v>0.5952371428571428</v>
      </c>
    </row>
    <row r="160" spans="1:14" x14ac:dyDescent="0.2">
      <c r="A160" s="14">
        <f>[1]sales!A165</f>
        <v>46085</v>
      </c>
      <c r="B160" s="188">
        <f>[1]sales!B165</f>
        <v>0.69216435185185188</v>
      </c>
      <c r="C160" s="184" t="s">
        <v>49</v>
      </c>
      <c r="D160" s="14" t="str">
        <f>[1]sales!D165</f>
        <v>Ham. combo</v>
      </c>
      <c r="E160" s="3">
        <f>+[1]sales!G165</f>
        <v>1</v>
      </c>
      <c r="F160" s="195">
        <f>+_xlfn.XLOOKUP(sales[[#This Row],[Fecha]],OPEX_SALES!A:A,OPEX_SALES!B:B)</f>
        <v>2</v>
      </c>
      <c r="G160" s="14" t="str">
        <f>+_xlfn.XLOOKUP(sales[[#This Row],[Fecha]],OPEX_SALES!A:A,OPEX_SALES!E:E)</f>
        <v>A) Día hábil</v>
      </c>
      <c r="H160" s="14" t="str">
        <f>+TEXT(sales[[#This Row],[Fecha]],"ddd")</f>
        <v>mié</v>
      </c>
      <c r="I160" s="185">
        <f>+sales[[#This Row],[Venta]]-sales[[#This Row],[costo_venta]]</f>
        <v>17000</v>
      </c>
      <c r="J160" s="101">
        <f>[1]sales!K165</f>
        <v>22000</v>
      </c>
      <c r="K160" s="79">
        <f>[1]sales!I165</f>
        <v>22000</v>
      </c>
      <c r="L160" s="52">
        <f>[1]sales!J165</f>
        <v>0</v>
      </c>
      <c r="M160" s="1">
        <f>[1]sales!L165*sales[[#This Row],[cantidad]]</f>
        <v>5000</v>
      </c>
      <c r="N160" s="37">
        <f>+(sales[[#This Row],[Venta]]-sales[[#This Row],[costo_venta]])/sales[[#This Row],[Venta]]</f>
        <v>0.77272727272727271</v>
      </c>
    </row>
    <row r="161" spans="1:14" x14ac:dyDescent="0.2">
      <c r="A161" s="14">
        <f>[1]sales!A166</f>
        <v>46085</v>
      </c>
      <c r="B161" s="188">
        <f>[1]sales!B166</f>
        <v>0.69216435185185188</v>
      </c>
      <c r="C161" s="184" t="s">
        <v>49</v>
      </c>
      <c r="D161" s="14" t="str">
        <f>[1]sales!D166</f>
        <v>Ham. sencilla</v>
      </c>
      <c r="E161" s="3">
        <f>+[1]sales!G166</f>
        <v>1</v>
      </c>
      <c r="F161" s="195">
        <f>+_xlfn.XLOOKUP(sales[[#This Row],[Fecha]],OPEX_SALES!A:A,OPEX_SALES!B:B)</f>
        <v>2</v>
      </c>
      <c r="G161" s="14" t="str">
        <f>+_xlfn.XLOOKUP(sales[[#This Row],[Fecha]],OPEX_SALES!A:A,OPEX_SALES!E:E)</f>
        <v>A) Día hábil</v>
      </c>
      <c r="H161" s="14" t="str">
        <f>+TEXT(sales[[#This Row],[Fecha]],"ddd")</f>
        <v>mié</v>
      </c>
      <c r="I161" s="185">
        <f>+sales[[#This Row],[Venta]]-sales[[#This Row],[costo_venta]]</f>
        <v>12000</v>
      </c>
      <c r="J161" s="101">
        <f>[1]sales!K166</f>
        <v>17000</v>
      </c>
      <c r="K161" s="79">
        <f>[1]sales!I166</f>
        <v>17000</v>
      </c>
      <c r="L161" s="52">
        <f>[1]sales!J166</f>
        <v>0</v>
      </c>
      <c r="M161" s="1">
        <f>[1]sales!L166*sales[[#This Row],[cantidad]]</f>
        <v>5000</v>
      </c>
      <c r="N161" s="37">
        <f>+(sales[[#This Row],[Venta]]-sales[[#This Row],[costo_venta]])/sales[[#This Row],[Venta]]</f>
        <v>0.70588235294117652</v>
      </c>
    </row>
    <row r="162" spans="1:14" x14ac:dyDescent="0.2">
      <c r="A162" s="14">
        <f>[1]sales!A167</f>
        <v>46085</v>
      </c>
      <c r="B162" s="188">
        <f>[1]sales!B167</f>
        <v>0.70192129629629629</v>
      </c>
      <c r="C162" s="184" t="s">
        <v>49</v>
      </c>
      <c r="D162" s="14" t="str">
        <f>[1]sales!D167</f>
        <v xml:space="preserve"> Chorizo con papa/arepa</v>
      </c>
      <c r="E162" s="3">
        <f>+[1]sales!G167</f>
        <v>3</v>
      </c>
      <c r="F162" s="195">
        <f>+_xlfn.XLOOKUP(sales[[#This Row],[Fecha]],OPEX_SALES!A:A,OPEX_SALES!B:B)</f>
        <v>2</v>
      </c>
      <c r="G162" s="14" t="str">
        <f>+_xlfn.XLOOKUP(sales[[#This Row],[Fecha]],OPEX_SALES!A:A,OPEX_SALES!E:E)</f>
        <v>A) Día hábil</v>
      </c>
      <c r="H162" s="14" t="str">
        <f>+TEXT(sales[[#This Row],[Fecha]],"ddd")</f>
        <v>mié</v>
      </c>
      <c r="I162" s="185">
        <f>+sales[[#This Row],[Venta]]-sales[[#This Row],[costo_venta]]</f>
        <v>10980</v>
      </c>
      <c r="J162" s="101">
        <f>[1]sales!K167</f>
        <v>24000</v>
      </c>
      <c r="K162" s="79">
        <f>[1]sales!I167</f>
        <v>0</v>
      </c>
      <c r="L162" s="52">
        <f>[1]sales!J167</f>
        <v>24000</v>
      </c>
      <c r="M162" s="1">
        <f>[1]sales!L167*sales[[#This Row],[cantidad]]</f>
        <v>13020</v>
      </c>
      <c r="N162" s="37">
        <f>+(sales[[#This Row],[Venta]]-sales[[#This Row],[costo_venta]])/sales[[#This Row],[Venta]]</f>
        <v>0.45750000000000002</v>
      </c>
    </row>
    <row r="163" spans="1:14" x14ac:dyDescent="0.2">
      <c r="A163" s="14">
        <f>[1]sales!A168</f>
        <v>46085</v>
      </c>
      <c r="B163" s="188">
        <f>[1]sales!B168</f>
        <v>0.70192129629629629</v>
      </c>
      <c r="C163" s="184" t="s">
        <v>49</v>
      </c>
      <c r="D163" s="14" t="str">
        <f>[1]sales!D168</f>
        <v>Bandeja Choriboni - 25</v>
      </c>
      <c r="E163" s="3">
        <f>+[1]sales!G168</f>
        <v>1</v>
      </c>
      <c r="F163" s="195">
        <f>+_xlfn.XLOOKUP(sales[[#This Row],[Fecha]],OPEX_SALES!A:A,OPEX_SALES!B:B)</f>
        <v>2</v>
      </c>
      <c r="G163" s="14" t="str">
        <f>+_xlfn.XLOOKUP(sales[[#This Row],[Fecha]],OPEX_SALES!A:A,OPEX_SALES!E:E)</f>
        <v>A) Día hábil</v>
      </c>
      <c r="H163" s="14" t="str">
        <f>+TEXT(sales[[#This Row],[Fecha]],"ddd")</f>
        <v>mié</v>
      </c>
      <c r="I163" s="185">
        <f>+sales[[#This Row],[Venta]]-sales[[#This Row],[costo_venta]]</f>
        <v>20660</v>
      </c>
      <c r="J163" s="101">
        <f>[1]sales!K168</f>
        <v>25000</v>
      </c>
      <c r="K163" s="79">
        <f>[1]sales!I168</f>
        <v>0</v>
      </c>
      <c r="L163" s="52">
        <f>[1]sales!J168</f>
        <v>25000</v>
      </c>
      <c r="M163" s="1">
        <f>[1]sales!L168*sales[[#This Row],[cantidad]]</f>
        <v>4340</v>
      </c>
      <c r="N163" s="37">
        <f>+(sales[[#This Row],[Venta]]-sales[[#This Row],[costo_venta]])/sales[[#This Row],[Venta]]</f>
        <v>0.82640000000000002</v>
      </c>
    </row>
    <row r="164" spans="1:14" x14ac:dyDescent="0.2">
      <c r="A164" s="14">
        <f>[1]sales!A169</f>
        <v>46085</v>
      </c>
      <c r="B164" s="188">
        <f>[1]sales!B169</f>
        <v>0.70192129629629629</v>
      </c>
      <c r="C164" s="184" t="s">
        <v>49</v>
      </c>
      <c r="D164" s="14" t="str">
        <f>[1]sales!D169</f>
        <v>BEBIDA - Coca Cola</v>
      </c>
      <c r="E164" s="3">
        <f>+[1]sales!G169</f>
        <v>2</v>
      </c>
      <c r="F164" s="195">
        <f>+_xlfn.XLOOKUP(sales[[#This Row],[Fecha]],OPEX_SALES!A:A,OPEX_SALES!B:B)</f>
        <v>2</v>
      </c>
      <c r="G164" s="14" t="str">
        <f>+_xlfn.XLOOKUP(sales[[#This Row],[Fecha]],OPEX_SALES!A:A,OPEX_SALES!E:E)</f>
        <v>A) Día hábil</v>
      </c>
      <c r="H164" s="14" t="str">
        <f>+TEXT(sales[[#This Row],[Fecha]],"ddd")</f>
        <v>mié</v>
      </c>
      <c r="I164" s="185">
        <f>+sales[[#This Row],[Venta]]-sales[[#This Row],[costo_venta]]</f>
        <v>3600</v>
      </c>
      <c r="J164" s="101">
        <f>[1]sales!K169</f>
        <v>6000</v>
      </c>
      <c r="K164" s="79">
        <f>[1]sales!I169</f>
        <v>0</v>
      </c>
      <c r="L164" s="52">
        <f>[1]sales!J169</f>
        <v>6000</v>
      </c>
      <c r="M164" s="1">
        <f>[1]sales!L169*sales[[#This Row],[cantidad]]</f>
        <v>2400</v>
      </c>
      <c r="N164" s="37">
        <f>+(sales[[#This Row],[Venta]]-sales[[#This Row],[costo_venta]])/sales[[#This Row],[Venta]]</f>
        <v>0.6</v>
      </c>
    </row>
    <row r="165" spans="1:14" x14ac:dyDescent="0.2">
      <c r="A165" s="14">
        <f>[1]sales!A170</f>
        <v>46085</v>
      </c>
      <c r="B165" s="188">
        <f>[1]sales!B170</f>
        <v>0.70192129629629629</v>
      </c>
      <c r="C165" s="184" t="s">
        <v>49</v>
      </c>
      <c r="D165" s="14" t="str">
        <f>[1]sales!D170</f>
        <v>BEBIDA - Postobón</v>
      </c>
      <c r="E165" s="3">
        <f>+[1]sales!G170</f>
        <v>3</v>
      </c>
      <c r="F165" s="195">
        <f>+_xlfn.XLOOKUP(sales[[#This Row],[Fecha]],OPEX_SALES!A:A,OPEX_SALES!B:B)</f>
        <v>2</v>
      </c>
      <c r="G165" s="14" t="str">
        <f>+_xlfn.XLOOKUP(sales[[#This Row],[Fecha]],OPEX_SALES!A:A,OPEX_SALES!E:E)</f>
        <v>A) Día hábil</v>
      </c>
      <c r="H165" s="14" t="str">
        <f>+TEXT(sales[[#This Row],[Fecha]],"ddd")</f>
        <v>mié</v>
      </c>
      <c r="I165" s="185">
        <f>+sales[[#This Row],[Venta]]-sales[[#This Row],[costo_venta]]</f>
        <v>5600.01</v>
      </c>
      <c r="J165" s="101">
        <f>[1]sales!K170</f>
        <v>9000</v>
      </c>
      <c r="K165" s="79">
        <f>[1]sales!I170</f>
        <v>0</v>
      </c>
      <c r="L165" s="52">
        <f>[1]sales!J170</f>
        <v>9000</v>
      </c>
      <c r="M165" s="1">
        <f>[1]sales!L170*sales[[#This Row],[cantidad]]</f>
        <v>3399.99</v>
      </c>
      <c r="N165" s="37">
        <f>+(sales[[#This Row],[Venta]]-sales[[#This Row],[costo_venta]])/sales[[#This Row],[Venta]]</f>
        <v>0.62222333333333335</v>
      </c>
    </row>
    <row r="166" spans="1:14" x14ac:dyDescent="0.2">
      <c r="A166" s="14">
        <f>[1]sales!A171</f>
        <v>46085</v>
      </c>
      <c r="B166" s="188">
        <f>[1]sales!B171</f>
        <v>0.7832175925925926</v>
      </c>
      <c r="C166" s="184" t="s">
        <v>49</v>
      </c>
      <c r="D166" s="14" t="str">
        <f>[1]sales!D171</f>
        <v>z. MP -  Chorizo CRUDO</v>
      </c>
      <c r="E166" s="3">
        <f>+[1]sales!G171</f>
        <v>4</v>
      </c>
      <c r="F166" s="195">
        <f>+_xlfn.XLOOKUP(sales[[#This Row],[Fecha]],OPEX_SALES!A:A,OPEX_SALES!B:B)</f>
        <v>2</v>
      </c>
      <c r="G166" s="14" t="str">
        <f>+_xlfn.XLOOKUP(sales[[#This Row],[Fecha]],OPEX_SALES!A:A,OPEX_SALES!E:E)</f>
        <v>A) Día hábil</v>
      </c>
      <c r="H166" s="14" t="str">
        <f>+TEXT(sales[[#This Row],[Fecha]],"ddd")</f>
        <v>mié</v>
      </c>
      <c r="I166" s="185">
        <f>+sales[[#This Row],[Venta]]-sales[[#This Row],[costo_venta]]</f>
        <v>4000</v>
      </c>
      <c r="J166" s="101">
        <f>[1]sales!K171</f>
        <v>18000</v>
      </c>
      <c r="K166" s="79">
        <f>[1]sales!I171</f>
        <v>18000</v>
      </c>
      <c r="L166" s="52">
        <f>[1]sales!J171</f>
        <v>0</v>
      </c>
      <c r="M166" s="1">
        <f>[1]sales!L171*sales[[#This Row],[cantidad]]</f>
        <v>14000</v>
      </c>
      <c r="N166" s="37">
        <f>+(sales[[#This Row],[Venta]]-sales[[#This Row],[costo_venta]])/sales[[#This Row],[Venta]]</f>
        <v>0.22222222222222221</v>
      </c>
    </row>
    <row r="167" spans="1:14" x14ac:dyDescent="0.2">
      <c r="A167" s="14">
        <f>[1]sales!A172</f>
        <v>46085</v>
      </c>
      <c r="B167" s="188">
        <f>[1]sales!B172</f>
        <v>0.80460648148148151</v>
      </c>
      <c r="C167" s="184" t="s">
        <v>49</v>
      </c>
      <c r="D167" s="14" t="str">
        <f>[1]sales!D172</f>
        <v xml:space="preserve"> Chorizo con papa/arepa</v>
      </c>
      <c r="E167" s="3">
        <f>+[1]sales!G172</f>
        <v>4</v>
      </c>
      <c r="F167" s="195">
        <f>+_xlfn.XLOOKUP(sales[[#This Row],[Fecha]],OPEX_SALES!A:A,OPEX_SALES!B:B)</f>
        <v>2</v>
      </c>
      <c r="G167" s="14" t="str">
        <f>+_xlfn.XLOOKUP(sales[[#This Row],[Fecha]],OPEX_SALES!A:A,OPEX_SALES!E:E)</f>
        <v>A) Día hábil</v>
      </c>
      <c r="H167" s="14" t="str">
        <f>+TEXT(sales[[#This Row],[Fecha]],"ddd")</f>
        <v>mié</v>
      </c>
      <c r="I167" s="185">
        <f>+sales[[#This Row],[Venta]]-sales[[#This Row],[costo_venta]]</f>
        <v>14640</v>
      </c>
      <c r="J167" s="101">
        <f>[1]sales!K172</f>
        <v>32000</v>
      </c>
      <c r="K167" s="79">
        <f>[1]sales!I172</f>
        <v>32000</v>
      </c>
      <c r="L167" s="52">
        <f>[1]sales!J172</f>
        <v>0</v>
      </c>
      <c r="M167" s="1">
        <f>[1]sales!L172*sales[[#This Row],[cantidad]]</f>
        <v>17360</v>
      </c>
      <c r="N167" s="37">
        <f>+(sales[[#This Row],[Venta]]-sales[[#This Row],[costo_venta]])/sales[[#This Row],[Venta]]</f>
        <v>0.45750000000000002</v>
      </c>
    </row>
    <row r="168" spans="1:14" x14ac:dyDescent="0.2">
      <c r="A168" s="14">
        <f>[1]sales!A173</f>
        <v>46085</v>
      </c>
      <c r="B168" s="188">
        <f>[1]sales!B173</f>
        <v>0.81076388888888884</v>
      </c>
      <c r="C168" s="184" t="s">
        <v>49</v>
      </c>
      <c r="D168" s="14" t="str">
        <f>[1]sales!D173</f>
        <v xml:space="preserve"> Chorizo con papa/arepa</v>
      </c>
      <c r="E168" s="3">
        <f>+[1]sales!G173</f>
        <v>2</v>
      </c>
      <c r="F168" s="195">
        <f>+_xlfn.XLOOKUP(sales[[#This Row],[Fecha]],OPEX_SALES!A:A,OPEX_SALES!B:B)</f>
        <v>2</v>
      </c>
      <c r="G168" s="14" t="str">
        <f>+_xlfn.XLOOKUP(sales[[#This Row],[Fecha]],OPEX_SALES!A:A,OPEX_SALES!E:E)</f>
        <v>A) Día hábil</v>
      </c>
      <c r="H168" s="14" t="str">
        <f>+TEXT(sales[[#This Row],[Fecha]],"ddd")</f>
        <v>mié</v>
      </c>
      <c r="I168" s="185">
        <f>+sales[[#This Row],[Venta]]-sales[[#This Row],[costo_venta]]</f>
        <v>7320</v>
      </c>
      <c r="J168" s="101">
        <f>[1]sales!K173</f>
        <v>16000</v>
      </c>
      <c r="K168" s="79">
        <f>[1]sales!I173</f>
        <v>0</v>
      </c>
      <c r="L168" s="52">
        <f>[1]sales!J173</f>
        <v>16000</v>
      </c>
      <c r="M168" s="1">
        <f>[1]sales!L173*sales[[#This Row],[cantidad]]</f>
        <v>8680</v>
      </c>
      <c r="N168" s="37">
        <f>+(sales[[#This Row],[Venta]]-sales[[#This Row],[costo_venta]])/sales[[#This Row],[Venta]]</f>
        <v>0.45750000000000002</v>
      </c>
    </row>
    <row r="169" spans="1:14" x14ac:dyDescent="0.2">
      <c r="A169" s="14">
        <f>[1]sales!A174</f>
        <v>46085</v>
      </c>
      <c r="B169" s="188">
        <f>[1]sales!B174</f>
        <v>0.81076388888888884</v>
      </c>
      <c r="C169" s="184" t="s">
        <v>49</v>
      </c>
      <c r="D169" s="14" t="str">
        <f>[1]sales!D174</f>
        <v>BEBIDA - Coca Cola</v>
      </c>
      <c r="E169" s="3">
        <f>+[1]sales!G174</f>
        <v>1</v>
      </c>
      <c r="F169" s="195">
        <f>+_xlfn.XLOOKUP(sales[[#This Row],[Fecha]],OPEX_SALES!A:A,OPEX_SALES!B:B)</f>
        <v>2</v>
      </c>
      <c r="G169" s="14" t="str">
        <f>+_xlfn.XLOOKUP(sales[[#This Row],[Fecha]],OPEX_SALES!A:A,OPEX_SALES!E:E)</f>
        <v>A) Día hábil</v>
      </c>
      <c r="H169" s="14" t="str">
        <f>+TEXT(sales[[#This Row],[Fecha]],"ddd")</f>
        <v>mié</v>
      </c>
      <c r="I169" s="185">
        <f>+sales[[#This Row],[Venta]]-sales[[#This Row],[costo_venta]]</f>
        <v>1800</v>
      </c>
      <c r="J169" s="101">
        <f>[1]sales!K174</f>
        <v>3000</v>
      </c>
      <c r="K169" s="79">
        <f>[1]sales!I174</f>
        <v>0</v>
      </c>
      <c r="L169" s="52">
        <f>[1]sales!J174</f>
        <v>3000</v>
      </c>
      <c r="M169" s="1">
        <f>[1]sales!L174*sales[[#This Row],[cantidad]]</f>
        <v>1200</v>
      </c>
      <c r="N169" s="37">
        <f>+(sales[[#This Row],[Venta]]-sales[[#This Row],[costo_venta]])/sales[[#This Row],[Venta]]</f>
        <v>0.6</v>
      </c>
    </row>
    <row r="170" spans="1:14" x14ac:dyDescent="0.2">
      <c r="A170" s="14">
        <f>[1]sales!A175</f>
        <v>46085</v>
      </c>
      <c r="B170" s="188">
        <f>[1]sales!B175</f>
        <v>0.8313194444444445</v>
      </c>
      <c r="C170" s="184" t="s">
        <v>49</v>
      </c>
      <c r="D170" s="14" t="str">
        <f>[1]sales!D175</f>
        <v xml:space="preserve"> Chorizo con papa/arepa</v>
      </c>
      <c r="E170" s="3">
        <f>+[1]sales!G175</f>
        <v>5</v>
      </c>
      <c r="F170" s="195">
        <f>+_xlfn.XLOOKUP(sales[[#This Row],[Fecha]],OPEX_SALES!A:A,OPEX_SALES!B:B)</f>
        <v>2</v>
      </c>
      <c r="G170" s="14" t="str">
        <f>+_xlfn.XLOOKUP(sales[[#This Row],[Fecha]],OPEX_SALES!A:A,OPEX_SALES!E:E)</f>
        <v>A) Día hábil</v>
      </c>
      <c r="H170" s="14" t="str">
        <f>+TEXT(sales[[#This Row],[Fecha]],"ddd")</f>
        <v>mié</v>
      </c>
      <c r="I170" s="185">
        <f>+sales[[#This Row],[Venta]]-sales[[#This Row],[costo_venta]]</f>
        <v>18300</v>
      </c>
      <c r="J170" s="101">
        <f>[1]sales!K175</f>
        <v>40000</v>
      </c>
      <c r="K170" s="79">
        <f>[1]sales!I175</f>
        <v>40000</v>
      </c>
      <c r="L170" s="52">
        <f>[1]sales!J175</f>
        <v>0</v>
      </c>
      <c r="M170" s="1">
        <f>[1]sales!L175*sales[[#This Row],[cantidad]]</f>
        <v>21700</v>
      </c>
      <c r="N170" s="37">
        <f>+(sales[[#This Row],[Venta]]-sales[[#This Row],[costo_venta]])/sales[[#This Row],[Venta]]</f>
        <v>0.45750000000000002</v>
      </c>
    </row>
    <row r="171" spans="1:14" x14ac:dyDescent="0.2">
      <c r="A171" s="14">
        <f>[1]sales!A176</f>
        <v>46085</v>
      </c>
      <c r="B171" s="188">
        <f>[1]sales!B176</f>
        <v>0.8313194444444445</v>
      </c>
      <c r="C171" s="184" t="s">
        <v>49</v>
      </c>
      <c r="D171" s="14" t="str">
        <f>[1]sales!D176</f>
        <v>BEBIDA - Coca Cola</v>
      </c>
      <c r="E171" s="3">
        <f>+[1]sales!G176</f>
        <v>2</v>
      </c>
      <c r="F171" s="195">
        <f>+_xlfn.XLOOKUP(sales[[#This Row],[Fecha]],OPEX_SALES!A:A,OPEX_SALES!B:B)</f>
        <v>2</v>
      </c>
      <c r="G171" s="14" t="str">
        <f>+_xlfn.XLOOKUP(sales[[#This Row],[Fecha]],OPEX_SALES!A:A,OPEX_SALES!E:E)</f>
        <v>A) Día hábil</v>
      </c>
      <c r="H171" s="14" t="str">
        <f>+TEXT(sales[[#This Row],[Fecha]],"ddd")</f>
        <v>mié</v>
      </c>
      <c r="I171" s="185">
        <f>+sales[[#This Row],[Venta]]-sales[[#This Row],[costo_venta]]</f>
        <v>3600</v>
      </c>
      <c r="J171" s="101">
        <f>[1]sales!K176</f>
        <v>6000</v>
      </c>
      <c r="K171" s="79">
        <f>[1]sales!I176</f>
        <v>6000</v>
      </c>
      <c r="L171" s="52">
        <f>[1]sales!J176</f>
        <v>0</v>
      </c>
      <c r="M171" s="1">
        <f>[1]sales!L176*sales[[#This Row],[cantidad]]</f>
        <v>2400</v>
      </c>
      <c r="N171" s="37">
        <f>+(sales[[#This Row],[Venta]]-sales[[#This Row],[costo_venta]])/sales[[#This Row],[Venta]]</f>
        <v>0.6</v>
      </c>
    </row>
    <row r="172" spans="1:14" x14ac:dyDescent="0.2">
      <c r="A172" s="14">
        <f>[1]sales!A177</f>
        <v>46085</v>
      </c>
      <c r="B172" s="188">
        <f>[1]sales!B177</f>
        <v>0.8313194444444445</v>
      </c>
      <c r="C172" s="184" t="s">
        <v>49</v>
      </c>
      <c r="D172" s="14" t="str">
        <f>[1]sales!D177</f>
        <v>BEBIDA - Postobón</v>
      </c>
      <c r="E172" s="3">
        <f>+[1]sales!G177</f>
        <v>3</v>
      </c>
      <c r="F172" s="195">
        <f>+_xlfn.XLOOKUP(sales[[#This Row],[Fecha]],OPEX_SALES!A:A,OPEX_SALES!B:B)</f>
        <v>2</v>
      </c>
      <c r="G172" s="14" t="str">
        <f>+_xlfn.XLOOKUP(sales[[#This Row],[Fecha]],OPEX_SALES!A:A,OPEX_SALES!E:E)</f>
        <v>A) Día hábil</v>
      </c>
      <c r="H172" s="14" t="str">
        <f>+TEXT(sales[[#This Row],[Fecha]],"ddd")</f>
        <v>mié</v>
      </c>
      <c r="I172" s="185">
        <f>+sales[[#This Row],[Venta]]-sales[[#This Row],[costo_venta]]</f>
        <v>5600.01</v>
      </c>
      <c r="J172" s="101">
        <f>[1]sales!K177</f>
        <v>9000</v>
      </c>
      <c r="K172" s="79">
        <f>[1]sales!I177</f>
        <v>9000</v>
      </c>
      <c r="L172" s="52">
        <f>[1]sales!J177</f>
        <v>0</v>
      </c>
      <c r="M172" s="1">
        <f>[1]sales!L177*sales[[#This Row],[cantidad]]</f>
        <v>3399.99</v>
      </c>
      <c r="N172" s="37">
        <f>+(sales[[#This Row],[Venta]]-sales[[#This Row],[costo_venta]])/sales[[#This Row],[Venta]]</f>
        <v>0.62222333333333335</v>
      </c>
    </row>
    <row r="173" spans="1:14" x14ac:dyDescent="0.2">
      <c r="A173" s="14">
        <f>[1]sales!A178</f>
        <v>46085</v>
      </c>
      <c r="B173" s="188">
        <f>[1]sales!B178</f>
        <v>0.8313194444444445</v>
      </c>
      <c r="C173" s="184" t="s">
        <v>49</v>
      </c>
      <c r="D173" s="14" t="str">
        <f>[1]sales!D178</f>
        <v>CARNES - Costillas BBQ  - 50</v>
      </c>
      <c r="E173" s="3">
        <f>+[1]sales!G178</f>
        <v>1</v>
      </c>
      <c r="F173" s="195">
        <f>+_xlfn.XLOOKUP(sales[[#This Row],[Fecha]],OPEX_SALES!A:A,OPEX_SALES!B:B)</f>
        <v>2</v>
      </c>
      <c r="G173" s="14" t="str">
        <f>+_xlfn.XLOOKUP(sales[[#This Row],[Fecha]],OPEX_SALES!A:A,OPEX_SALES!E:E)</f>
        <v>A) Día hábil</v>
      </c>
      <c r="H173" s="14" t="str">
        <f>+TEXT(sales[[#This Row],[Fecha]],"ddd")</f>
        <v>mié</v>
      </c>
      <c r="I173" s="185">
        <f>+sales[[#This Row],[Venta]]-sales[[#This Row],[costo_venta]]</f>
        <v>-950000</v>
      </c>
      <c r="J173" s="101">
        <f>[1]sales!K178</f>
        <v>50000</v>
      </c>
      <c r="K173" s="79">
        <f>[1]sales!I178</f>
        <v>50000</v>
      </c>
      <c r="L173" s="52">
        <f>[1]sales!J178</f>
        <v>0</v>
      </c>
      <c r="M173" s="1">
        <f>[1]sales!L178*sales[[#This Row],[cantidad]]</f>
        <v>1000000</v>
      </c>
      <c r="N173" s="37">
        <f>+(sales[[#This Row],[Venta]]-sales[[#This Row],[costo_venta]])/sales[[#This Row],[Venta]]</f>
        <v>-19</v>
      </c>
    </row>
    <row r="174" spans="1:14" x14ac:dyDescent="0.2">
      <c r="A174" s="14">
        <f>[1]sales!A179</f>
        <v>46086</v>
      </c>
      <c r="B174" s="188">
        <f>[1]sales!B179</f>
        <v>0.58488425925925924</v>
      </c>
      <c r="C174" s="184" t="s">
        <v>49</v>
      </c>
      <c r="D174" s="14" t="str">
        <f>[1]sales!D179</f>
        <v>Bandeja Choriboni - 30</v>
      </c>
      <c r="E174" s="3">
        <f>+[1]sales!G179</f>
        <v>1</v>
      </c>
      <c r="F174" s="195">
        <f>+_xlfn.XLOOKUP(sales[[#This Row],[Fecha]],OPEX_SALES!A:A,OPEX_SALES!B:B)</f>
        <v>2</v>
      </c>
      <c r="G174" s="14" t="str">
        <f>+_xlfn.XLOOKUP(sales[[#This Row],[Fecha]],OPEX_SALES!A:A,OPEX_SALES!E:E)</f>
        <v>A) Día hábil</v>
      </c>
      <c r="H174" s="14" t="str">
        <f>+TEXT(sales[[#This Row],[Fecha]],"ddd")</f>
        <v>jue</v>
      </c>
      <c r="I174" s="185">
        <f>+sales[[#This Row],[Venta]]-sales[[#This Row],[costo_venta]]</f>
        <v>26500</v>
      </c>
      <c r="J174" s="101">
        <f>[1]sales!K179</f>
        <v>30000</v>
      </c>
      <c r="K174" s="79">
        <f>[1]sales!I179</f>
        <v>0</v>
      </c>
      <c r="L174" s="52">
        <f>[1]sales!J179</f>
        <v>30000</v>
      </c>
      <c r="M174" s="1">
        <f>[1]sales!L179*sales[[#This Row],[cantidad]]</f>
        <v>3500</v>
      </c>
      <c r="N174" s="37">
        <f>+(sales[[#This Row],[Venta]]-sales[[#This Row],[costo_venta]])/sales[[#This Row],[Venta]]</f>
        <v>0.8833333333333333</v>
      </c>
    </row>
    <row r="175" spans="1:14" x14ac:dyDescent="0.2">
      <c r="A175" s="14">
        <f>[1]sales!A180</f>
        <v>46086</v>
      </c>
      <c r="B175" s="188">
        <f>[1]sales!B180</f>
        <v>0.58488425925925924</v>
      </c>
      <c r="C175" s="184" t="s">
        <v>49</v>
      </c>
      <c r="D175" s="14" t="str">
        <f>[1]sales!D180</f>
        <v>Propina - Gustavo</v>
      </c>
      <c r="E175" s="3">
        <f>+[1]sales!G180</f>
        <v>1</v>
      </c>
      <c r="F175" s="195">
        <f>+_xlfn.XLOOKUP(sales[[#This Row],[Fecha]],OPEX_SALES!A:A,OPEX_SALES!B:B)</f>
        <v>2</v>
      </c>
      <c r="G175" s="14" t="str">
        <f>+_xlfn.XLOOKUP(sales[[#This Row],[Fecha]],OPEX_SALES!A:A,OPEX_SALES!E:E)</f>
        <v>A) Día hábil</v>
      </c>
      <c r="H175" s="14" t="str">
        <f>+TEXT(sales[[#This Row],[Fecha]],"ddd")</f>
        <v>jue</v>
      </c>
      <c r="I175" s="185">
        <f>+sales[[#This Row],[Venta]]-sales[[#This Row],[costo_venta]]</f>
        <v>-995000</v>
      </c>
      <c r="J175" s="101">
        <f>[1]sales!K180</f>
        <v>5000</v>
      </c>
      <c r="K175" s="79">
        <f>[1]sales!I180</f>
        <v>0</v>
      </c>
      <c r="L175" s="52">
        <f>[1]sales!J180</f>
        <v>5000</v>
      </c>
      <c r="M175" s="1">
        <f>[1]sales!L180*sales[[#This Row],[cantidad]]</f>
        <v>1000000</v>
      </c>
      <c r="N175" s="37">
        <f>+(sales[[#This Row],[Venta]]-sales[[#This Row],[costo_venta]])/sales[[#This Row],[Venta]]</f>
        <v>-199</v>
      </c>
    </row>
    <row r="176" spans="1:14" x14ac:dyDescent="0.2">
      <c r="A176" s="14">
        <f>[1]sales!A181</f>
        <v>46086</v>
      </c>
      <c r="B176" s="188">
        <f>[1]sales!B181</f>
        <v>0.627349537037037</v>
      </c>
      <c r="C176" s="184" t="s">
        <v>49</v>
      </c>
      <c r="D176" s="14" t="str">
        <f>[1]sales!D181</f>
        <v xml:space="preserve"> Chorizo con papa/arepa</v>
      </c>
      <c r="E176" s="3">
        <f>+[1]sales!G181</f>
        <v>2</v>
      </c>
      <c r="F176" s="195">
        <f>+_xlfn.XLOOKUP(sales[[#This Row],[Fecha]],OPEX_SALES!A:A,OPEX_SALES!B:B)</f>
        <v>2</v>
      </c>
      <c r="G176" s="14" t="str">
        <f>+_xlfn.XLOOKUP(sales[[#This Row],[Fecha]],OPEX_SALES!A:A,OPEX_SALES!E:E)</f>
        <v>A) Día hábil</v>
      </c>
      <c r="H176" s="14" t="str">
        <f>+TEXT(sales[[#This Row],[Fecha]],"ddd")</f>
        <v>jue</v>
      </c>
      <c r="I176" s="185">
        <f>+sales[[#This Row],[Venta]]-sales[[#This Row],[costo_venta]]</f>
        <v>7320</v>
      </c>
      <c r="J176" s="101">
        <f>[1]sales!K181</f>
        <v>16000</v>
      </c>
      <c r="K176" s="79">
        <f>[1]sales!I181</f>
        <v>16000</v>
      </c>
      <c r="L176" s="52">
        <f>[1]sales!J181</f>
        <v>0</v>
      </c>
      <c r="M176" s="1">
        <f>[1]sales!L181*sales[[#This Row],[cantidad]]</f>
        <v>8680</v>
      </c>
      <c r="N176" s="37">
        <f>+(sales[[#This Row],[Venta]]-sales[[#This Row],[costo_venta]])/sales[[#This Row],[Venta]]</f>
        <v>0.45750000000000002</v>
      </c>
    </row>
    <row r="177" spans="1:14" x14ac:dyDescent="0.2">
      <c r="A177" s="14">
        <f>[1]sales!A182</f>
        <v>46086</v>
      </c>
      <c r="B177" s="188">
        <f>[1]sales!B182</f>
        <v>0.627349537037037</v>
      </c>
      <c r="C177" s="184" t="s">
        <v>49</v>
      </c>
      <c r="D177" s="14" t="str">
        <f>[1]sales!D182</f>
        <v>BEBIDA - Coca Cola</v>
      </c>
      <c r="E177" s="3">
        <f>+[1]sales!G182</f>
        <v>2</v>
      </c>
      <c r="F177" s="195">
        <f>+_xlfn.XLOOKUP(sales[[#This Row],[Fecha]],OPEX_SALES!A:A,OPEX_SALES!B:B)</f>
        <v>2</v>
      </c>
      <c r="G177" s="14" t="str">
        <f>+_xlfn.XLOOKUP(sales[[#This Row],[Fecha]],OPEX_SALES!A:A,OPEX_SALES!E:E)</f>
        <v>A) Día hábil</v>
      </c>
      <c r="H177" s="14" t="str">
        <f>+TEXT(sales[[#This Row],[Fecha]],"ddd")</f>
        <v>jue</v>
      </c>
      <c r="I177" s="185">
        <f>+sales[[#This Row],[Venta]]-sales[[#This Row],[costo_venta]]</f>
        <v>3600</v>
      </c>
      <c r="J177" s="101">
        <f>[1]sales!K182</f>
        <v>6000</v>
      </c>
      <c r="K177" s="79">
        <f>[1]sales!I182</f>
        <v>6000</v>
      </c>
      <c r="L177" s="52">
        <f>[1]sales!J182</f>
        <v>0</v>
      </c>
      <c r="M177" s="1">
        <f>[1]sales!L182*sales[[#This Row],[cantidad]]</f>
        <v>2400</v>
      </c>
      <c r="N177" s="37">
        <f>+(sales[[#This Row],[Venta]]-sales[[#This Row],[costo_venta]])/sales[[#This Row],[Venta]]</f>
        <v>0.6</v>
      </c>
    </row>
    <row r="178" spans="1:14" x14ac:dyDescent="0.2">
      <c r="A178" s="14">
        <f>[1]sales!A183</f>
        <v>46086</v>
      </c>
      <c r="B178" s="188">
        <f>[1]sales!B183</f>
        <v>0.63901620370370371</v>
      </c>
      <c r="C178" s="184" t="s">
        <v>49</v>
      </c>
      <c r="D178" s="14" t="str">
        <f>[1]sales!D183</f>
        <v xml:space="preserve"> Chorizo con papa/arepa</v>
      </c>
      <c r="E178" s="3">
        <f>+[1]sales!G183</f>
        <v>4</v>
      </c>
      <c r="F178" s="195">
        <f>+_xlfn.XLOOKUP(sales[[#This Row],[Fecha]],OPEX_SALES!A:A,OPEX_SALES!B:B)</f>
        <v>2</v>
      </c>
      <c r="G178" s="14" t="str">
        <f>+_xlfn.XLOOKUP(sales[[#This Row],[Fecha]],OPEX_SALES!A:A,OPEX_SALES!E:E)</f>
        <v>A) Día hábil</v>
      </c>
      <c r="H178" s="14" t="str">
        <f>+TEXT(sales[[#This Row],[Fecha]],"ddd")</f>
        <v>jue</v>
      </c>
      <c r="I178" s="185">
        <f>+sales[[#This Row],[Venta]]-sales[[#This Row],[costo_venta]]</f>
        <v>14640</v>
      </c>
      <c r="J178" s="101">
        <f>[1]sales!K183</f>
        <v>32000</v>
      </c>
      <c r="K178" s="79">
        <f>[1]sales!I183</f>
        <v>32000</v>
      </c>
      <c r="L178" s="52">
        <f>[1]sales!J183</f>
        <v>0</v>
      </c>
      <c r="M178" s="1">
        <f>[1]sales!L183*sales[[#This Row],[cantidad]]</f>
        <v>17360</v>
      </c>
      <c r="N178" s="37">
        <f>+(sales[[#This Row],[Venta]]-sales[[#This Row],[costo_venta]])/sales[[#This Row],[Venta]]</f>
        <v>0.45750000000000002</v>
      </c>
    </row>
    <row r="179" spans="1:14" x14ac:dyDescent="0.2">
      <c r="A179" s="14">
        <f>[1]sales!A184</f>
        <v>46086</v>
      </c>
      <c r="B179" s="188">
        <f>[1]sales!B184</f>
        <v>0.63901620370370371</v>
      </c>
      <c r="C179" s="184" t="s">
        <v>49</v>
      </c>
      <c r="D179" s="14" t="str">
        <f>[1]sales!D184</f>
        <v>BEBIDA - Jugo Hit</v>
      </c>
      <c r="E179" s="3">
        <f>+[1]sales!G184</f>
        <v>1</v>
      </c>
      <c r="F179" s="195">
        <f>+_xlfn.XLOOKUP(sales[[#This Row],[Fecha]],OPEX_SALES!A:A,OPEX_SALES!B:B)</f>
        <v>2</v>
      </c>
      <c r="G179" s="14" t="str">
        <f>+_xlfn.XLOOKUP(sales[[#This Row],[Fecha]],OPEX_SALES!A:A,OPEX_SALES!E:E)</f>
        <v>A) Día hábil</v>
      </c>
      <c r="H179" s="14" t="str">
        <f>+TEXT(sales[[#This Row],[Fecha]],"ddd")</f>
        <v>jue</v>
      </c>
      <c r="I179" s="185">
        <f>+sales[[#This Row],[Venta]]-sales[[#This Row],[costo_venta]]</f>
        <v>2083.33</v>
      </c>
      <c r="J179" s="101">
        <f>[1]sales!K184</f>
        <v>4500</v>
      </c>
      <c r="K179" s="79">
        <f>[1]sales!I184</f>
        <v>4500</v>
      </c>
      <c r="L179" s="52">
        <f>[1]sales!J184</f>
        <v>0</v>
      </c>
      <c r="M179" s="1">
        <f>[1]sales!L184*sales[[#This Row],[cantidad]]</f>
        <v>2416.67</v>
      </c>
      <c r="N179" s="37">
        <f>+(sales[[#This Row],[Venta]]-sales[[#This Row],[costo_venta]])/sales[[#This Row],[Venta]]</f>
        <v>0.46296222222222222</v>
      </c>
    </row>
    <row r="180" spans="1:14" x14ac:dyDescent="0.2">
      <c r="A180" s="14">
        <f>[1]sales!A185</f>
        <v>46086</v>
      </c>
      <c r="B180" s="188">
        <f>[1]sales!B185</f>
        <v>0.64901620370370372</v>
      </c>
      <c r="C180" s="184" t="s">
        <v>49</v>
      </c>
      <c r="D180" s="14" t="str">
        <f>[1]sales!D185</f>
        <v>BEBIDA - Jugo Hit</v>
      </c>
      <c r="E180" s="3">
        <f>+[1]sales!G185</f>
        <v>1</v>
      </c>
      <c r="F180" s="195">
        <f>+_xlfn.XLOOKUP(sales[[#This Row],[Fecha]],OPEX_SALES!A:A,OPEX_SALES!B:B)</f>
        <v>2</v>
      </c>
      <c r="G180" s="14" t="str">
        <f>+_xlfn.XLOOKUP(sales[[#This Row],[Fecha]],OPEX_SALES!A:A,OPEX_SALES!E:E)</f>
        <v>A) Día hábil</v>
      </c>
      <c r="H180" s="14" t="str">
        <f>+TEXT(sales[[#This Row],[Fecha]],"ddd")</f>
        <v>jue</v>
      </c>
      <c r="I180" s="185">
        <f>+sales[[#This Row],[Venta]]-sales[[#This Row],[costo_venta]]</f>
        <v>2083.33</v>
      </c>
      <c r="J180" s="101">
        <f>[1]sales!K185</f>
        <v>4500</v>
      </c>
      <c r="K180" s="79">
        <f>[1]sales!I185</f>
        <v>0</v>
      </c>
      <c r="L180" s="52">
        <f>[1]sales!J185</f>
        <v>4500</v>
      </c>
      <c r="M180" s="1">
        <f>[1]sales!L185*sales[[#This Row],[cantidad]]</f>
        <v>2416.67</v>
      </c>
      <c r="N180" s="37">
        <f>+(sales[[#This Row],[Venta]]-sales[[#This Row],[costo_venta]])/sales[[#This Row],[Venta]]</f>
        <v>0.46296222222222222</v>
      </c>
    </row>
    <row r="181" spans="1:14" x14ac:dyDescent="0.2">
      <c r="A181" s="14">
        <f>[1]sales!A186</f>
        <v>46086</v>
      </c>
      <c r="B181" s="188">
        <f>[1]sales!B186</f>
        <v>0.64901620370370372</v>
      </c>
      <c r="C181" s="184" t="s">
        <v>49</v>
      </c>
      <c r="D181" s="14" t="str">
        <f>[1]sales!D186</f>
        <v>Parrillada de 35</v>
      </c>
      <c r="E181" s="3">
        <f>+[1]sales!G186</f>
        <v>1</v>
      </c>
      <c r="F181" s="195">
        <f>+_xlfn.XLOOKUP(sales[[#This Row],[Fecha]],OPEX_SALES!A:A,OPEX_SALES!B:B)</f>
        <v>2</v>
      </c>
      <c r="G181" s="14" t="str">
        <f>+_xlfn.XLOOKUP(sales[[#This Row],[Fecha]],OPEX_SALES!A:A,OPEX_SALES!E:E)</f>
        <v>A) Día hábil</v>
      </c>
      <c r="H181" s="14" t="str">
        <f>+TEXT(sales[[#This Row],[Fecha]],"ddd")</f>
        <v>jue</v>
      </c>
      <c r="I181" s="185">
        <f>+sales[[#This Row],[Venta]]-sales[[#This Row],[costo_venta]]</f>
        <v>-965000</v>
      </c>
      <c r="J181" s="101">
        <f>[1]sales!K186</f>
        <v>35000</v>
      </c>
      <c r="K181" s="79">
        <f>[1]sales!I186</f>
        <v>0</v>
      </c>
      <c r="L181" s="52">
        <f>[1]sales!J186</f>
        <v>35000</v>
      </c>
      <c r="M181" s="1">
        <f>[1]sales!L186*sales[[#This Row],[cantidad]]</f>
        <v>1000000</v>
      </c>
      <c r="N181" s="37">
        <f>+(sales[[#This Row],[Venta]]-sales[[#This Row],[costo_venta]])/sales[[#This Row],[Venta]]</f>
        <v>-27.571428571428573</v>
      </c>
    </row>
    <row r="182" spans="1:14" x14ac:dyDescent="0.2">
      <c r="A182" s="14">
        <f>[1]sales!A187</f>
        <v>46086</v>
      </c>
      <c r="B182" s="188">
        <f>[1]sales!B187</f>
        <v>0.65855324074074073</v>
      </c>
      <c r="C182" s="184" t="s">
        <v>49</v>
      </c>
      <c r="D182" s="14" t="str">
        <f>[1]sales!D187</f>
        <v>Parrillada de 35</v>
      </c>
      <c r="E182" s="3">
        <f>+[1]sales!G187</f>
        <v>1</v>
      </c>
      <c r="F182" s="195">
        <f>+_xlfn.XLOOKUP(sales[[#This Row],[Fecha]],OPEX_SALES!A:A,OPEX_SALES!B:B)</f>
        <v>2</v>
      </c>
      <c r="G182" s="14" t="str">
        <f>+_xlfn.XLOOKUP(sales[[#This Row],[Fecha]],OPEX_SALES!A:A,OPEX_SALES!E:E)</f>
        <v>A) Día hábil</v>
      </c>
      <c r="H182" s="14" t="str">
        <f>+TEXT(sales[[#This Row],[Fecha]],"ddd")</f>
        <v>jue</v>
      </c>
      <c r="I182" s="185">
        <f>+sales[[#This Row],[Venta]]-sales[[#This Row],[costo_venta]]</f>
        <v>-965000</v>
      </c>
      <c r="J182" s="101">
        <f>[1]sales!K187</f>
        <v>35000</v>
      </c>
      <c r="K182" s="79">
        <f>[1]sales!I187</f>
        <v>35000</v>
      </c>
      <c r="L182" s="52">
        <f>[1]sales!J187</f>
        <v>0</v>
      </c>
      <c r="M182" s="1">
        <f>[1]sales!L187*sales[[#This Row],[cantidad]]</f>
        <v>1000000</v>
      </c>
      <c r="N182" s="37">
        <f>+(sales[[#This Row],[Venta]]-sales[[#This Row],[costo_venta]])/sales[[#This Row],[Venta]]</f>
        <v>-27.571428571428573</v>
      </c>
    </row>
    <row r="183" spans="1:14" x14ac:dyDescent="0.2">
      <c r="A183" s="14">
        <f>[1]sales!A188</f>
        <v>46086</v>
      </c>
      <c r="B183" s="188">
        <f>[1]sales!B188</f>
        <v>0.71677083333333336</v>
      </c>
      <c r="C183" s="184" t="s">
        <v>49</v>
      </c>
      <c r="D183" s="14" t="str">
        <f>[1]sales!D188</f>
        <v xml:space="preserve"> Chorizo con papa/arepa</v>
      </c>
      <c r="E183" s="3">
        <f>+[1]sales!G188</f>
        <v>1</v>
      </c>
      <c r="F183" s="195">
        <f>+_xlfn.XLOOKUP(sales[[#This Row],[Fecha]],OPEX_SALES!A:A,OPEX_SALES!B:B)</f>
        <v>2</v>
      </c>
      <c r="G183" s="14" t="str">
        <f>+_xlfn.XLOOKUP(sales[[#This Row],[Fecha]],OPEX_SALES!A:A,OPEX_SALES!E:E)</f>
        <v>A) Día hábil</v>
      </c>
      <c r="H183" s="14" t="str">
        <f>+TEXT(sales[[#This Row],[Fecha]],"ddd")</f>
        <v>jue</v>
      </c>
      <c r="I183" s="185">
        <f>+sales[[#This Row],[Venta]]-sales[[#This Row],[costo_venta]]</f>
        <v>3660</v>
      </c>
      <c r="J183" s="101">
        <f>[1]sales!K188</f>
        <v>8000</v>
      </c>
      <c r="K183" s="79">
        <f>[1]sales!I188</f>
        <v>8000</v>
      </c>
      <c r="L183" s="52">
        <f>[1]sales!J188</f>
        <v>0</v>
      </c>
      <c r="M183" s="1">
        <f>[1]sales!L188*sales[[#This Row],[cantidad]]</f>
        <v>4340</v>
      </c>
      <c r="N183" s="37">
        <f>+(sales[[#This Row],[Venta]]-sales[[#This Row],[costo_venta]])/sales[[#This Row],[Venta]]</f>
        <v>0.45750000000000002</v>
      </c>
    </row>
    <row r="184" spans="1:14" x14ac:dyDescent="0.2">
      <c r="A184" s="14">
        <f>[1]sales!A189</f>
        <v>46086</v>
      </c>
      <c r="B184" s="188">
        <f>[1]sales!B189</f>
        <v>0.72050925925925924</v>
      </c>
      <c r="C184" s="184" t="s">
        <v>49</v>
      </c>
      <c r="D184" s="14" t="str">
        <f>[1]sales!D189</f>
        <v xml:space="preserve"> Chorizo con papa/arepa</v>
      </c>
      <c r="E184" s="3">
        <f>+[1]sales!G189</f>
        <v>1</v>
      </c>
      <c r="F184" s="195">
        <f>+_xlfn.XLOOKUP(sales[[#This Row],[Fecha]],OPEX_SALES!A:A,OPEX_SALES!B:B)</f>
        <v>2</v>
      </c>
      <c r="G184" s="14" t="str">
        <f>+_xlfn.XLOOKUP(sales[[#This Row],[Fecha]],OPEX_SALES!A:A,OPEX_SALES!E:E)</f>
        <v>A) Día hábil</v>
      </c>
      <c r="H184" s="14" t="str">
        <f>+TEXT(sales[[#This Row],[Fecha]],"ddd")</f>
        <v>jue</v>
      </c>
      <c r="I184" s="185">
        <f>+sales[[#This Row],[Venta]]-sales[[#This Row],[costo_venta]]</f>
        <v>3660</v>
      </c>
      <c r="J184" s="101">
        <f>[1]sales!K189</f>
        <v>8000</v>
      </c>
      <c r="K184" s="79">
        <f>[1]sales!I189</f>
        <v>8000</v>
      </c>
      <c r="L184" s="52">
        <f>[1]sales!J189</f>
        <v>0</v>
      </c>
      <c r="M184" s="1">
        <f>[1]sales!L189*sales[[#This Row],[cantidad]]</f>
        <v>4340</v>
      </c>
      <c r="N184" s="37">
        <f>+(sales[[#This Row],[Venta]]-sales[[#This Row],[costo_venta]])/sales[[#This Row],[Venta]]</f>
        <v>0.45750000000000002</v>
      </c>
    </row>
    <row r="185" spans="1:14" x14ac:dyDescent="0.2">
      <c r="A185" s="14">
        <f>[1]sales!A190</f>
        <v>46086</v>
      </c>
      <c r="B185" s="188">
        <f>[1]sales!B190</f>
        <v>0.73907407407407411</v>
      </c>
      <c r="C185" s="184" t="s">
        <v>49</v>
      </c>
      <c r="D185" s="14" t="str">
        <f>[1]sales!D190</f>
        <v xml:space="preserve"> Chorizo con papa/arepa</v>
      </c>
      <c r="E185" s="3">
        <f>+[1]sales!G190</f>
        <v>1</v>
      </c>
      <c r="F185" s="195">
        <f>+_xlfn.XLOOKUP(sales[[#This Row],[Fecha]],OPEX_SALES!A:A,OPEX_SALES!B:B)</f>
        <v>2</v>
      </c>
      <c r="G185" s="14" t="str">
        <f>+_xlfn.XLOOKUP(sales[[#This Row],[Fecha]],OPEX_SALES!A:A,OPEX_SALES!E:E)</f>
        <v>A) Día hábil</v>
      </c>
      <c r="H185" s="14" t="str">
        <f>+TEXT(sales[[#This Row],[Fecha]],"ddd")</f>
        <v>jue</v>
      </c>
      <c r="I185" s="185">
        <f>+sales[[#This Row],[Venta]]-sales[[#This Row],[costo_venta]]</f>
        <v>3660</v>
      </c>
      <c r="J185" s="101">
        <f>[1]sales!K190</f>
        <v>8000</v>
      </c>
      <c r="K185" s="79">
        <f>[1]sales!I190</f>
        <v>8000</v>
      </c>
      <c r="L185" s="52">
        <f>[1]sales!J190</f>
        <v>0</v>
      </c>
      <c r="M185" s="1">
        <f>[1]sales!L190*sales[[#This Row],[cantidad]]</f>
        <v>4340</v>
      </c>
      <c r="N185" s="37">
        <f>+(sales[[#This Row],[Venta]]-sales[[#This Row],[costo_venta]])/sales[[#This Row],[Venta]]</f>
        <v>0.45750000000000002</v>
      </c>
    </row>
    <row r="186" spans="1:14" x14ac:dyDescent="0.2">
      <c r="A186" s="14">
        <f>[1]sales!A191</f>
        <v>46086</v>
      </c>
      <c r="B186" s="188">
        <f>[1]sales!B191</f>
        <v>0.7546180555555555</v>
      </c>
      <c r="C186" s="184" t="s">
        <v>49</v>
      </c>
      <c r="D186" s="14" t="str">
        <f>[1]sales!D191</f>
        <v xml:space="preserve"> Chorizo con papa/arepa</v>
      </c>
      <c r="E186" s="3">
        <f>+[1]sales!G191</f>
        <v>1</v>
      </c>
      <c r="F186" s="195">
        <f>+_xlfn.XLOOKUP(sales[[#This Row],[Fecha]],OPEX_SALES!A:A,OPEX_SALES!B:B)</f>
        <v>2</v>
      </c>
      <c r="G186" s="14" t="str">
        <f>+_xlfn.XLOOKUP(sales[[#This Row],[Fecha]],OPEX_SALES!A:A,OPEX_SALES!E:E)</f>
        <v>A) Día hábil</v>
      </c>
      <c r="H186" s="14" t="str">
        <f>+TEXT(sales[[#This Row],[Fecha]],"ddd")</f>
        <v>jue</v>
      </c>
      <c r="I186" s="185">
        <f>+sales[[#This Row],[Venta]]-sales[[#This Row],[costo_venta]]</f>
        <v>3660</v>
      </c>
      <c r="J186" s="101">
        <f>[1]sales!K191</f>
        <v>8000</v>
      </c>
      <c r="K186" s="79">
        <f>[1]sales!I191</f>
        <v>8000</v>
      </c>
      <c r="L186" s="52">
        <f>[1]sales!J191</f>
        <v>0</v>
      </c>
      <c r="M186" s="1">
        <f>[1]sales!L191*sales[[#This Row],[cantidad]]</f>
        <v>4340</v>
      </c>
      <c r="N186" s="37">
        <f>+(sales[[#This Row],[Venta]]-sales[[#This Row],[costo_venta]])/sales[[#This Row],[Venta]]</f>
        <v>0.45750000000000002</v>
      </c>
    </row>
    <row r="187" spans="1:14" x14ac:dyDescent="0.2">
      <c r="A187" s="14">
        <f>[1]sales!A192</f>
        <v>46086</v>
      </c>
      <c r="B187" s="188">
        <f>[1]sales!B192</f>
        <v>0.77195601851851847</v>
      </c>
      <c r="C187" s="184" t="s">
        <v>49</v>
      </c>
      <c r="D187" s="14" t="str">
        <f>[1]sales!D192</f>
        <v xml:space="preserve"> Chorizo con papa/arepa</v>
      </c>
      <c r="E187" s="3">
        <f>+[1]sales!G192</f>
        <v>1</v>
      </c>
      <c r="F187" s="195">
        <f>+_xlfn.XLOOKUP(sales[[#This Row],[Fecha]],OPEX_SALES!A:A,OPEX_SALES!B:B)</f>
        <v>2</v>
      </c>
      <c r="G187" s="14" t="str">
        <f>+_xlfn.XLOOKUP(sales[[#This Row],[Fecha]],OPEX_SALES!A:A,OPEX_SALES!E:E)</f>
        <v>A) Día hábil</v>
      </c>
      <c r="H187" s="14" t="str">
        <f>+TEXT(sales[[#This Row],[Fecha]],"ddd")</f>
        <v>jue</v>
      </c>
      <c r="I187" s="185">
        <f>+sales[[#This Row],[Venta]]-sales[[#This Row],[costo_venta]]</f>
        <v>3660</v>
      </c>
      <c r="J187" s="101">
        <f>[1]sales!K192</f>
        <v>8000</v>
      </c>
      <c r="K187" s="79">
        <f>[1]sales!I192</f>
        <v>8000</v>
      </c>
      <c r="L187" s="52">
        <f>[1]sales!J192</f>
        <v>0</v>
      </c>
      <c r="M187" s="1">
        <f>[1]sales!L192*sales[[#This Row],[cantidad]]</f>
        <v>4340</v>
      </c>
      <c r="N187" s="37">
        <f>+(sales[[#This Row],[Venta]]-sales[[#This Row],[costo_venta]])/sales[[#This Row],[Venta]]</f>
        <v>0.45750000000000002</v>
      </c>
    </row>
    <row r="188" spans="1:14" x14ac:dyDescent="0.2">
      <c r="A188" s="14">
        <f>[1]sales!A193</f>
        <v>46086</v>
      </c>
      <c r="B188" s="188">
        <f>[1]sales!B193</f>
        <v>0.78481481481481485</v>
      </c>
      <c r="C188" s="184" t="s">
        <v>49</v>
      </c>
      <c r="D188" s="14" t="str">
        <f>[1]sales!D193</f>
        <v xml:space="preserve"> Chorizo con papa/arepa</v>
      </c>
      <c r="E188" s="3">
        <f>+[1]sales!G193</f>
        <v>1</v>
      </c>
      <c r="F188" s="195">
        <f>+_xlfn.XLOOKUP(sales[[#This Row],[Fecha]],OPEX_SALES!A:A,OPEX_SALES!B:B)</f>
        <v>2</v>
      </c>
      <c r="G188" s="14" t="str">
        <f>+_xlfn.XLOOKUP(sales[[#This Row],[Fecha]],OPEX_SALES!A:A,OPEX_SALES!E:E)</f>
        <v>A) Día hábil</v>
      </c>
      <c r="H188" s="14" t="str">
        <f>+TEXT(sales[[#This Row],[Fecha]],"ddd")</f>
        <v>jue</v>
      </c>
      <c r="I188" s="185">
        <f>+sales[[#This Row],[Venta]]-sales[[#This Row],[costo_venta]]</f>
        <v>3660</v>
      </c>
      <c r="J188" s="101">
        <f>[1]sales!K193</f>
        <v>8000</v>
      </c>
      <c r="K188" s="79">
        <f>[1]sales!I193</f>
        <v>0</v>
      </c>
      <c r="L188" s="52">
        <f>[1]sales!J193</f>
        <v>8000</v>
      </c>
      <c r="M188" s="1">
        <f>[1]sales!L193*sales[[#This Row],[cantidad]]</f>
        <v>4340</v>
      </c>
      <c r="N188" s="37">
        <f>+(sales[[#This Row],[Venta]]-sales[[#This Row],[costo_venta]])/sales[[#This Row],[Venta]]</f>
        <v>0.45750000000000002</v>
      </c>
    </row>
    <row r="189" spans="1:14" x14ac:dyDescent="0.2">
      <c r="A189" s="14">
        <f>[1]sales!A194</f>
        <v>46086</v>
      </c>
      <c r="B189" s="188">
        <f>[1]sales!B194</f>
        <v>0.78481481481481485</v>
      </c>
      <c r="C189" s="184" t="s">
        <v>49</v>
      </c>
      <c r="D189" s="14" t="str">
        <f>[1]sales!D194</f>
        <v>BEBIDA - Postobón</v>
      </c>
      <c r="E189" s="3">
        <f>+[1]sales!G194</f>
        <v>1</v>
      </c>
      <c r="F189" s="195">
        <f>+_xlfn.XLOOKUP(sales[[#This Row],[Fecha]],OPEX_SALES!A:A,OPEX_SALES!B:B)</f>
        <v>2</v>
      </c>
      <c r="G189" s="14" t="str">
        <f>+_xlfn.XLOOKUP(sales[[#This Row],[Fecha]],OPEX_SALES!A:A,OPEX_SALES!E:E)</f>
        <v>A) Día hábil</v>
      </c>
      <c r="H189" s="14" t="str">
        <f>+TEXT(sales[[#This Row],[Fecha]],"ddd")</f>
        <v>jue</v>
      </c>
      <c r="I189" s="185">
        <f>+sales[[#This Row],[Venta]]-sales[[#This Row],[costo_venta]]</f>
        <v>1866.67</v>
      </c>
      <c r="J189" s="101">
        <f>[1]sales!K194</f>
        <v>3000</v>
      </c>
      <c r="K189" s="79">
        <f>[1]sales!I194</f>
        <v>0</v>
      </c>
      <c r="L189" s="52">
        <f>[1]sales!J194</f>
        <v>3000</v>
      </c>
      <c r="M189" s="1">
        <f>[1]sales!L194*sales[[#This Row],[cantidad]]</f>
        <v>1133.33</v>
      </c>
      <c r="N189" s="37">
        <f>+(sales[[#This Row],[Venta]]-sales[[#This Row],[costo_venta]])/sales[[#This Row],[Venta]]</f>
        <v>0.62222333333333335</v>
      </c>
    </row>
    <row r="190" spans="1:14" x14ac:dyDescent="0.2">
      <c r="A190" s="14">
        <f>[1]sales!A195</f>
        <v>46086</v>
      </c>
      <c r="B190" s="188">
        <f>[1]sales!B195</f>
        <v>0.802337962962963</v>
      </c>
      <c r="C190" s="184" t="s">
        <v>49</v>
      </c>
      <c r="D190" s="14" t="str">
        <f>[1]sales!D195</f>
        <v xml:space="preserve"> Chorizo con papa/arepa</v>
      </c>
      <c r="E190" s="3">
        <f>+[1]sales!G195</f>
        <v>3</v>
      </c>
      <c r="F190" s="195">
        <f>+_xlfn.XLOOKUP(sales[[#This Row],[Fecha]],OPEX_SALES!A:A,OPEX_SALES!B:B)</f>
        <v>2</v>
      </c>
      <c r="G190" s="14" t="str">
        <f>+_xlfn.XLOOKUP(sales[[#This Row],[Fecha]],OPEX_SALES!A:A,OPEX_SALES!E:E)</f>
        <v>A) Día hábil</v>
      </c>
      <c r="H190" s="14" t="str">
        <f>+TEXT(sales[[#This Row],[Fecha]],"ddd")</f>
        <v>jue</v>
      </c>
      <c r="I190" s="185">
        <f>+sales[[#This Row],[Venta]]-sales[[#This Row],[costo_venta]]</f>
        <v>10980</v>
      </c>
      <c r="J190" s="101">
        <f>[1]sales!K195</f>
        <v>24000</v>
      </c>
      <c r="K190" s="79">
        <f>[1]sales!I195</f>
        <v>0</v>
      </c>
      <c r="L190" s="52">
        <f>[1]sales!J195</f>
        <v>24000</v>
      </c>
      <c r="M190" s="1">
        <f>[1]sales!L195*sales[[#This Row],[cantidad]]</f>
        <v>13020</v>
      </c>
      <c r="N190" s="37">
        <f>+(sales[[#This Row],[Venta]]-sales[[#This Row],[costo_venta]])/sales[[#This Row],[Venta]]</f>
        <v>0.45750000000000002</v>
      </c>
    </row>
    <row r="191" spans="1:14" x14ac:dyDescent="0.2">
      <c r="A191" s="14">
        <f>[1]sales!A196</f>
        <v>46086</v>
      </c>
      <c r="B191" s="188">
        <f>[1]sales!B196</f>
        <v>0.802337962962963</v>
      </c>
      <c r="C191" s="184" t="s">
        <v>49</v>
      </c>
      <c r="D191" s="14" t="str">
        <f>[1]sales!D196</f>
        <v>BEBIDA - Postobón</v>
      </c>
      <c r="E191" s="3">
        <f>+[1]sales!G196</f>
        <v>2</v>
      </c>
      <c r="F191" s="195">
        <f>+_xlfn.XLOOKUP(sales[[#This Row],[Fecha]],OPEX_SALES!A:A,OPEX_SALES!B:B)</f>
        <v>2</v>
      </c>
      <c r="G191" s="14" t="str">
        <f>+_xlfn.XLOOKUP(sales[[#This Row],[Fecha]],OPEX_SALES!A:A,OPEX_SALES!E:E)</f>
        <v>A) Día hábil</v>
      </c>
      <c r="H191" s="14" t="str">
        <f>+TEXT(sales[[#This Row],[Fecha]],"ddd")</f>
        <v>jue</v>
      </c>
      <c r="I191" s="185">
        <f>+sales[[#This Row],[Venta]]-sales[[#This Row],[costo_venta]]</f>
        <v>3733.34</v>
      </c>
      <c r="J191" s="101">
        <f>[1]sales!K196</f>
        <v>6000</v>
      </c>
      <c r="K191" s="79">
        <f>[1]sales!I196</f>
        <v>0</v>
      </c>
      <c r="L191" s="52">
        <f>[1]sales!J196</f>
        <v>6000</v>
      </c>
      <c r="M191" s="1">
        <f>[1]sales!L196*sales[[#This Row],[cantidad]]</f>
        <v>2266.66</v>
      </c>
      <c r="N191" s="37">
        <f>+(sales[[#This Row],[Venta]]-sales[[#This Row],[costo_venta]])/sales[[#This Row],[Venta]]</f>
        <v>0.62222333333333335</v>
      </c>
    </row>
    <row r="192" spans="1:14" x14ac:dyDescent="0.2">
      <c r="A192" s="14">
        <f>[1]sales!A197</f>
        <v>46086</v>
      </c>
      <c r="B192" s="188">
        <f>[1]sales!B197</f>
        <v>0.84318287037037032</v>
      </c>
      <c r="C192" s="184" t="s">
        <v>49</v>
      </c>
      <c r="D192" s="14" t="str">
        <f>[1]sales!D197</f>
        <v xml:space="preserve"> Chorizo con papa/arepa</v>
      </c>
      <c r="E192" s="3">
        <f>+[1]sales!G197</f>
        <v>1</v>
      </c>
      <c r="F192" s="195">
        <f>+_xlfn.XLOOKUP(sales[[#This Row],[Fecha]],OPEX_SALES!A:A,OPEX_SALES!B:B)</f>
        <v>2</v>
      </c>
      <c r="G192" s="14" t="str">
        <f>+_xlfn.XLOOKUP(sales[[#This Row],[Fecha]],OPEX_SALES!A:A,OPEX_SALES!E:E)</f>
        <v>A) Día hábil</v>
      </c>
      <c r="H192" s="14" t="str">
        <f>+TEXT(sales[[#This Row],[Fecha]],"ddd")</f>
        <v>jue</v>
      </c>
      <c r="I192" s="185">
        <f>+sales[[#This Row],[Venta]]-sales[[#This Row],[costo_venta]]</f>
        <v>3660</v>
      </c>
      <c r="J192" s="101">
        <f>[1]sales!K197</f>
        <v>8000</v>
      </c>
      <c r="K192" s="79">
        <f>[1]sales!I197</f>
        <v>8000</v>
      </c>
      <c r="L192" s="52">
        <f>[1]sales!J197</f>
        <v>0</v>
      </c>
      <c r="M192" s="1">
        <f>[1]sales!L197*sales[[#This Row],[cantidad]]</f>
        <v>4340</v>
      </c>
      <c r="N192" s="37">
        <f>+(sales[[#This Row],[Venta]]-sales[[#This Row],[costo_venta]])/sales[[#This Row],[Venta]]</f>
        <v>0.45750000000000002</v>
      </c>
    </row>
    <row r="193" spans="1:14" x14ac:dyDescent="0.2">
      <c r="A193" s="14">
        <f>[1]sales!A198</f>
        <v>46086</v>
      </c>
      <c r="B193" s="188">
        <f>[1]sales!B198</f>
        <v>0.84318287037037032</v>
      </c>
      <c r="C193" s="184" t="s">
        <v>49</v>
      </c>
      <c r="D193" s="14" t="str">
        <f>[1]sales!D198</f>
        <v>Tinto</v>
      </c>
      <c r="E193" s="3">
        <f>+[1]sales!G198</f>
        <v>1</v>
      </c>
      <c r="F193" s="195">
        <f>+_xlfn.XLOOKUP(sales[[#This Row],[Fecha]],OPEX_SALES!A:A,OPEX_SALES!B:B)</f>
        <v>2</v>
      </c>
      <c r="G193" s="14" t="str">
        <f>+_xlfn.XLOOKUP(sales[[#This Row],[Fecha]],OPEX_SALES!A:A,OPEX_SALES!E:E)</f>
        <v>A) Día hábil</v>
      </c>
      <c r="H193" s="14" t="str">
        <f>+TEXT(sales[[#This Row],[Fecha]],"ddd")</f>
        <v>jue</v>
      </c>
      <c r="I193" s="185">
        <f>+sales[[#This Row],[Venta]]-sales[[#This Row],[costo_venta]]</f>
        <v>-998000</v>
      </c>
      <c r="J193" s="101">
        <f>[1]sales!K198</f>
        <v>2000</v>
      </c>
      <c r="K193" s="79">
        <f>[1]sales!I198</f>
        <v>2000</v>
      </c>
      <c r="L193" s="52">
        <f>[1]sales!J198</f>
        <v>0</v>
      </c>
      <c r="M193" s="1">
        <f>[1]sales!L198*sales[[#This Row],[cantidad]]</f>
        <v>1000000</v>
      </c>
      <c r="N193" s="37">
        <f>+(sales[[#This Row],[Venta]]-sales[[#This Row],[costo_venta]])/sales[[#This Row],[Venta]]</f>
        <v>-499</v>
      </c>
    </row>
    <row r="194" spans="1:14" x14ac:dyDescent="0.2">
      <c r="A194" s="14">
        <f>[1]sales!A199</f>
        <v>46088</v>
      </c>
      <c r="B194" s="188">
        <f>[1]sales!B199</f>
        <v>0.95762731481481478</v>
      </c>
      <c r="C194" s="184" t="s">
        <v>49</v>
      </c>
      <c r="D194" s="14" t="str">
        <f>[1]sales!D199</f>
        <v xml:space="preserve"> Chorizo con papa/arepa</v>
      </c>
      <c r="E194" s="3">
        <f>+[1]sales!G199</f>
        <v>2</v>
      </c>
      <c r="F194" s="195">
        <f>+_xlfn.XLOOKUP(sales[[#This Row],[Fecha]],OPEX_SALES!A:A,OPEX_SALES!B:B)</f>
        <v>2</v>
      </c>
      <c r="G194" s="14" t="str">
        <f>+_xlfn.XLOOKUP(sales[[#This Row],[Fecha]],OPEX_SALES!A:A,OPEX_SALES!E:E)</f>
        <v>C) Sábado</v>
      </c>
      <c r="H194" s="14" t="str">
        <f>+TEXT(sales[[#This Row],[Fecha]],"ddd")</f>
        <v>sáb</v>
      </c>
      <c r="I194" s="185">
        <f>+sales[[#This Row],[Venta]]-sales[[#This Row],[costo_venta]]</f>
        <v>7320</v>
      </c>
      <c r="J194" s="101">
        <f>[1]sales!K199</f>
        <v>16000</v>
      </c>
      <c r="K194" s="79">
        <f>[1]sales!I199</f>
        <v>16000</v>
      </c>
      <c r="L194" s="52">
        <f>[1]sales!J199</f>
        <v>0</v>
      </c>
      <c r="M194" s="1">
        <f>[1]sales!L199*sales[[#This Row],[cantidad]]</f>
        <v>8680</v>
      </c>
      <c r="N194" s="37">
        <f>+(sales[[#This Row],[Venta]]-sales[[#This Row],[costo_venta]])/sales[[#This Row],[Venta]]</f>
        <v>0.45750000000000002</v>
      </c>
    </row>
    <row r="195" spans="1:14" x14ac:dyDescent="0.2">
      <c r="A195" s="14">
        <f>[1]sales!A200</f>
        <v>46088</v>
      </c>
      <c r="B195" s="188">
        <f>[1]sales!B200</f>
        <v>0.95777777777777773</v>
      </c>
      <c r="C195" s="184" t="s">
        <v>49</v>
      </c>
      <c r="D195" s="14" t="str">
        <f>[1]sales!D200</f>
        <v xml:space="preserve"> Chorizo con papa/arepa</v>
      </c>
      <c r="E195" s="3">
        <f>+[1]sales!G200</f>
        <v>2</v>
      </c>
      <c r="F195" s="195">
        <f>+_xlfn.XLOOKUP(sales[[#This Row],[Fecha]],OPEX_SALES!A:A,OPEX_SALES!B:B)</f>
        <v>2</v>
      </c>
      <c r="G195" s="14" t="str">
        <f>+_xlfn.XLOOKUP(sales[[#This Row],[Fecha]],OPEX_SALES!A:A,OPEX_SALES!E:E)</f>
        <v>C) Sábado</v>
      </c>
      <c r="H195" s="14" t="str">
        <f>+TEXT(sales[[#This Row],[Fecha]],"ddd")</f>
        <v>sáb</v>
      </c>
      <c r="I195" s="185">
        <f>+sales[[#This Row],[Venta]]-sales[[#This Row],[costo_venta]]</f>
        <v>7320</v>
      </c>
      <c r="J195" s="101">
        <f>[1]sales!K200</f>
        <v>16000</v>
      </c>
      <c r="K195" s="79">
        <f>[1]sales!I200</f>
        <v>16000</v>
      </c>
      <c r="L195" s="52">
        <f>[1]sales!J200</f>
        <v>0</v>
      </c>
      <c r="M195" s="1">
        <f>[1]sales!L200*sales[[#This Row],[cantidad]]</f>
        <v>8680</v>
      </c>
      <c r="N195" s="37">
        <f>+(sales[[#This Row],[Venta]]-sales[[#This Row],[costo_venta]])/sales[[#This Row],[Venta]]</f>
        <v>0.45750000000000002</v>
      </c>
    </row>
    <row r="196" spans="1:14" x14ac:dyDescent="0.2">
      <c r="A196" s="14">
        <f>[1]sales!A201</f>
        <v>46088</v>
      </c>
      <c r="B196" s="188">
        <f>[1]sales!B201</f>
        <v>0.95832175925925922</v>
      </c>
      <c r="C196" s="184" t="s">
        <v>49</v>
      </c>
      <c r="D196" s="14" t="str">
        <f>[1]sales!D201</f>
        <v xml:space="preserve"> Chorizo con papa/arepa</v>
      </c>
      <c r="E196" s="3">
        <f>+[1]sales!G201</f>
        <v>4</v>
      </c>
      <c r="F196" s="195">
        <f>+_xlfn.XLOOKUP(sales[[#This Row],[Fecha]],OPEX_SALES!A:A,OPEX_SALES!B:B)</f>
        <v>2</v>
      </c>
      <c r="G196" s="14" t="str">
        <f>+_xlfn.XLOOKUP(sales[[#This Row],[Fecha]],OPEX_SALES!A:A,OPEX_SALES!E:E)</f>
        <v>C) Sábado</v>
      </c>
      <c r="H196" s="14" t="str">
        <f>+TEXT(sales[[#This Row],[Fecha]],"ddd")</f>
        <v>sáb</v>
      </c>
      <c r="I196" s="185">
        <f>+sales[[#This Row],[Venta]]-sales[[#This Row],[costo_venta]]</f>
        <v>14640</v>
      </c>
      <c r="J196" s="101">
        <f>[1]sales!K201</f>
        <v>32000</v>
      </c>
      <c r="K196" s="79">
        <f>[1]sales!I201</f>
        <v>32000</v>
      </c>
      <c r="L196" s="52">
        <f>[1]sales!J201</f>
        <v>0</v>
      </c>
      <c r="M196" s="1">
        <f>[1]sales!L201*sales[[#This Row],[cantidad]]</f>
        <v>17360</v>
      </c>
      <c r="N196" s="37">
        <f>+(sales[[#This Row],[Venta]]-sales[[#This Row],[costo_venta]])/sales[[#This Row],[Venta]]</f>
        <v>0.45750000000000002</v>
      </c>
    </row>
    <row r="197" spans="1:14" x14ac:dyDescent="0.2">
      <c r="A197" s="14">
        <f>[1]sales!A202</f>
        <v>46088</v>
      </c>
      <c r="B197" s="188">
        <f>[1]sales!B202</f>
        <v>0.95832175925925922</v>
      </c>
      <c r="C197" s="184" t="s">
        <v>49</v>
      </c>
      <c r="D197" s="14" t="str">
        <f>[1]sales!D202</f>
        <v>BEBIDA - Coca Cola</v>
      </c>
      <c r="E197" s="3">
        <f>+[1]sales!G202</f>
        <v>2</v>
      </c>
      <c r="F197" s="195">
        <f>+_xlfn.XLOOKUP(sales[[#This Row],[Fecha]],OPEX_SALES!A:A,OPEX_SALES!B:B)</f>
        <v>2</v>
      </c>
      <c r="G197" s="14" t="str">
        <f>+_xlfn.XLOOKUP(sales[[#This Row],[Fecha]],OPEX_SALES!A:A,OPEX_SALES!E:E)</f>
        <v>C) Sábado</v>
      </c>
      <c r="H197" s="14" t="str">
        <f>+TEXT(sales[[#This Row],[Fecha]],"ddd")</f>
        <v>sáb</v>
      </c>
      <c r="I197" s="185">
        <f>+sales[[#This Row],[Venta]]-sales[[#This Row],[costo_venta]]</f>
        <v>3600</v>
      </c>
      <c r="J197" s="101">
        <f>[1]sales!K202</f>
        <v>6000</v>
      </c>
      <c r="K197" s="79">
        <f>[1]sales!I202</f>
        <v>6000</v>
      </c>
      <c r="L197" s="52">
        <f>[1]sales!J202</f>
        <v>0</v>
      </c>
      <c r="M197" s="1">
        <f>[1]sales!L202*sales[[#This Row],[cantidad]]</f>
        <v>2400</v>
      </c>
      <c r="N197" s="37">
        <f>+(sales[[#This Row],[Venta]]-sales[[#This Row],[costo_venta]])/sales[[#This Row],[Venta]]</f>
        <v>0.6</v>
      </c>
    </row>
    <row r="198" spans="1:14" x14ac:dyDescent="0.2">
      <c r="A198" s="14">
        <f>[1]sales!A203</f>
        <v>46088</v>
      </c>
      <c r="B198" s="188">
        <f>[1]sales!B203</f>
        <v>0.95892361111111113</v>
      </c>
      <c r="C198" s="184" t="s">
        <v>49</v>
      </c>
      <c r="D198" s="14" t="str">
        <f>[1]sales!D203</f>
        <v xml:space="preserve"> Chorizo con papa/arepa</v>
      </c>
      <c r="E198" s="3">
        <f>+[1]sales!G203</f>
        <v>1</v>
      </c>
      <c r="F198" s="195">
        <f>+_xlfn.XLOOKUP(sales[[#This Row],[Fecha]],OPEX_SALES!A:A,OPEX_SALES!B:B)</f>
        <v>2</v>
      </c>
      <c r="G198" s="14" t="str">
        <f>+_xlfn.XLOOKUP(sales[[#This Row],[Fecha]],OPEX_SALES!A:A,OPEX_SALES!E:E)</f>
        <v>C) Sábado</v>
      </c>
      <c r="H198" s="14" t="str">
        <f>+TEXT(sales[[#This Row],[Fecha]],"ddd")</f>
        <v>sáb</v>
      </c>
      <c r="I198" s="185">
        <f>+sales[[#This Row],[Venta]]-sales[[#This Row],[costo_venta]]</f>
        <v>3660</v>
      </c>
      <c r="J198" s="101">
        <f>[1]sales!K203</f>
        <v>8000</v>
      </c>
      <c r="K198" s="79">
        <f>[1]sales!I203</f>
        <v>8000</v>
      </c>
      <c r="L198" s="52">
        <f>[1]sales!J203</f>
        <v>0</v>
      </c>
      <c r="M198" s="1">
        <f>[1]sales!L203*sales[[#This Row],[cantidad]]</f>
        <v>4340</v>
      </c>
      <c r="N198" s="37">
        <f>+(sales[[#This Row],[Venta]]-sales[[#This Row],[costo_venta]])/sales[[#This Row],[Venta]]</f>
        <v>0.45750000000000002</v>
      </c>
    </row>
    <row r="199" spans="1:14" x14ac:dyDescent="0.2">
      <c r="A199" s="14">
        <f>[1]sales!A204</f>
        <v>46088</v>
      </c>
      <c r="B199" s="188">
        <f>[1]sales!B204</f>
        <v>0.95892361111111113</v>
      </c>
      <c r="C199" s="184" t="s">
        <v>49</v>
      </c>
      <c r="D199" s="14" t="str">
        <f>[1]sales!D204</f>
        <v>BEBIDA - Coca Cola</v>
      </c>
      <c r="E199" s="3">
        <f>+[1]sales!G204</f>
        <v>1</v>
      </c>
      <c r="F199" s="195">
        <f>+_xlfn.XLOOKUP(sales[[#This Row],[Fecha]],OPEX_SALES!A:A,OPEX_SALES!B:B)</f>
        <v>2</v>
      </c>
      <c r="G199" s="14" t="str">
        <f>+_xlfn.XLOOKUP(sales[[#This Row],[Fecha]],OPEX_SALES!A:A,OPEX_SALES!E:E)</f>
        <v>C) Sábado</v>
      </c>
      <c r="H199" s="14" t="str">
        <f>+TEXT(sales[[#This Row],[Fecha]],"ddd")</f>
        <v>sáb</v>
      </c>
      <c r="I199" s="185">
        <f>+sales[[#This Row],[Venta]]-sales[[#This Row],[costo_venta]]</f>
        <v>1800</v>
      </c>
      <c r="J199" s="101">
        <f>[1]sales!K204</f>
        <v>3000</v>
      </c>
      <c r="K199" s="79">
        <f>[1]sales!I204</f>
        <v>3000</v>
      </c>
      <c r="L199" s="52">
        <f>[1]sales!J204</f>
        <v>0</v>
      </c>
      <c r="M199" s="1">
        <f>[1]sales!L204*sales[[#This Row],[cantidad]]</f>
        <v>1200</v>
      </c>
      <c r="N199" s="37">
        <f>+(sales[[#This Row],[Venta]]-sales[[#This Row],[costo_venta]])/sales[[#This Row],[Venta]]</f>
        <v>0.6</v>
      </c>
    </row>
    <row r="200" spans="1:14" x14ac:dyDescent="0.2">
      <c r="A200" s="14">
        <f>[1]sales!A205</f>
        <v>46088</v>
      </c>
      <c r="B200" s="188">
        <f>[1]sales!B205</f>
        <v>0.95915509259259257</v>
      </c>
      <c r="C200" s="184" t="s">
        <v>49</v>
      </c>
      <c r="D200" s="14" t="str">
        <f>[1]sales!D205</f>
        <v xml:space="preserve"> Chorizo con papa/arepa</v>
      </c>
      <c r="E200" s="3">
        <f>+[1]sales!G205</f>
        <v>2</v>
      </c>
      <c r="F200" s="195">
        <f>+_xlfn.XLOOKUP(sales[[#This Row],[Fecha]],OPEX_SALES!A:A,OPEX_SALES!B:B)</f>
        <v>2</v>
      </c>
      <c r="G200" s="14" t="str">
        <f>+_xlfn.XLOOKUP(sales[[#This Row],[Fecha]],OPEX_SALES!A:A,OPEX_SALES!E:E)</f>
        <v>C) Sábado</v>
      </c>
      <c r="H200" s="14" t="str">
        <f>+TEXT(sales[[#This Row],[Fecha]],"ddd")</f>
        <v>sáb</v>
      </c>
      <c r="I200" s="185">
        <f>+sales[[#This Row],[Venta]]-sales[[#This Row],[costo_venta]]</f>
        <v>7320</v>
      </c>
      <c r="J200" s="101">
        <f>[1]sales!K205</f>
        <v>16000</v>
      </c>
      <c r="K200" s="79">
        <f>[1]sales!I205</f>
        <v>16000</v>
      </c>
      <c r="L200" s="52">
        <f>[1]sales!J205</f>
        <v>0</v>
      </c>
      <c r="M200" s="1">
        <f>[1]sales!L205*sales[[#This Row],[cantidad]]</f>
        <v>8680</v>
      </c>
      <c r="N200" s="37">
        <f>+(sales[[#This Row],[Venta]]-sales[[#This Row],[costo_venta]])/sales[[#This Row],[Venta]]</f>
        <v>0.45750000000000002</v>
      </c>
    </row>
    <row r="201" spans="1:14" x14ac:dyDescent="0.2">
      <c r="A201" s="14">
        <f>[1]sales!A206</f>
        <v>46088</v>
      </c>
      <c r="B201" s="188">
        <f>[1]sales!B206</f>
        <v>0.95915509259259257</v>
      </c>
      <c r="C201" s="184" t="s">
        <v>49</v>
      </c>
      <c r="D201" s="14" t="str">
        <f>[1]sales!D206</f>
        <v>BEBIDA - Coca Cola</v>
      </c>
      <c r="E201" s="3">
        <f>+[1]sales!G206</f>
        <v>2</v>
      </c>
      <c r="F201" s="195">
        <f>+_xlfn.XLOOKUP(sales[[#This Row],[Fecha]],OPEX_SALES!A:A,OPEX_SALES!B:B)</f>
        <v>2</v>
      </c>
      <c r="G201" s="14" t="str">
        <f>+_xlfn.XLOOKUP(sales[[#This Row],[Fecha]],OPEX_SALES!A:A,OPEX_SALES!E:E)</f>
        <v>C) Sábado</v>
      </c>
      <c r="H201" s="14" t="str">
        <f>+TEXT(sales[[#This Row],[Fecha]],"ddd")</f>
        <v>sáb</v>
      </c>
      <c r="I201" s="185">
        <f>+sales[[#This Row],[Venta]]-sales[[#This Row],[costo_venta]]</f>
        <v>3600</v>
      </c>
      <c r="J201" s="101">
        <f>[1]sales!K206</f>
        <v>6000</v>
      </c>
      <c r="K201" s="79">
        <f>[1]sales!I206</f>
        <v>6000</v>
      </c>
      <c r="L201" s="52">
        <f>[1]sales!J206</f>
        <v>0</v>
      </c>
      <c r="M201" s="1">
        <f>[1]sales!L206*sales[[#This Row],[cantidad]]</f>
        <v>2400</v>
      </c>
      <c r="N201" s="37">
        <f>+(sales[[#This Row],[Venta]]-sales[[#This Row],[costo_venta]])/sales[[#This Row],[Venta]]</f>
        <v>0.6</v>
      </c>
    </row>
    <row r="202" spans="1:14" x14ac:dyDescent="0.2">
      <c r="A202" s="14">
        <f>[1]sales!A207</f>
        <v>46088</v>
      </c>
      <c r="B202" s="188">
        <f>[1]sales!B207</f>
        <v>0.96042824074074074</v>
      </c>
      <c r="C202" s="184" t="s">
        <v>49</v>
      </c>
      <c r="D202" s="14" t="str">
        <f>[1]sales!D207</f>
        <v xml:space="preserve"> Chorizo con papa/arepa</v>
      </c>
      <c r="E202" s="3">
        <f>+[1]sales!G207</f>
        <v>2</v>
      </c>
      <c r="F202" s="195">
        <f>+_xlfn.XLOOKUP(sales[[#This Row],[Fecha]],OPEX_SALES!A:A,OPEX_SALES!B:B)</f>
        <v>2</v>
      </c>
      <c r="G202" s="14" t="str">
        <f>+_xlfn.XLOOKUP(sales[[#This Row],[Fecha]],OPEX_SALES!A:A,OPEX_SALES!E:E)</f>
        <v>C) Sábado</v>
      </c>
      <c r="H202" s="14" t="str">
        <f>+TEXT(sales[[#This Row],[Fecha]],"ddd")</f>
        <v>sáb</v>
      </c>
      <c r="I202" s="185">
        <f>+sales[[#This Row],[Venta]]-sales[[#This Row],[costo_venta]]</f>
        <v>7320</v>
      </c>
      <c r="J202" s="101">
        <f>[1]sales!K207</f>
        <v>16000</v>
      </c>
      <c r="K202" s="79">
        <f>[1]sales!I207</f>
        <v>0</v>
      </c>
      <c r="L202" s="52">
        <f>[1]sales!J207</f>
        <v>16000</v>
      </c>
      <c r="M202" s="1">
        <f>[1]sales!L207*sales[[#This Row],[cantidad]]</f>
        <v>8680</v>
      </c>
      <c r="N202" s="37">
        <f>+(sales[[#This Row],[Venta]]-sales[[#This Row],[costo_venta]])/sales[[#This Row],[Venta]]</f>
        <v>0.45750000000000002</v>
      </c>
    </row>
    <row r="203" spans="1:14" x14ac:dyDescent="0.2">
      <c r="A203" s="14">
        <f>[1]sales!A208</f>
        <v>46088</v>
      </c>
      <c r="B203" s="188">
        <f>[1]sales!B208</f>
        <v>0.96141203703703704</v>
      </c>
      <c r="C203" s="184" t="s">
        <v>49</v>
      </c>
      <c r="D203" s="14" t="str">
        <f>[1]sales!D208</f>
        <v xml:space="preserve"> Chorizo con papa/arepa</v>
      </c>
      <c r="E203" s="3">
        <f>+[1]sales!G208</f>
        <v>3</v>
      </c>
      <c r="F203" s="195">
        <f>+_xlfn.XLOOKUP(sales[[#This Row],[Fecha]],OPEX_SALES!A:A,OPEX_SALES!B:B)</f>
        <v>2</v>
      </c>
      <c r="G203" s="14" t="str">
        <f>+_xlfn.XLOOKUP(sales[[#This Row],[Fecha]],OPEX_SALES!A:A,OPEX_SALES!E:E)</f>
        <v>C) Sábado</v>
      </c>
      <c r="H203" s="14" t="str">
        <f>+TEXT(sales[[#This Row],[Fecha]],"ddd")</f>
        <v>sáb</v>
      </c>
      <c r="I203" s="185">
        <f>+sales[[#This Row],[Venta]]-sales[[#This Row],[costo_venta]]</f>
        <v>10980</v>
      </c>
      <c r="J203" s="101">
        <f>[1]sales!K208</f>
        <v>24000</v>
      </c>
      <c r="K203" s="79">
        <f>[1]sales!I208</f>
        <v>0</v>
      </c>
      <c r="L203" s="52">
        <f>[1]sales!J208</f>
        <v>24000</v>
      </c>
      <c r="M203" s="1">
        <f>[1]sales!L208*sales[[#This Row],[cantidad]]</f>
        <v>13020</v>
      </c>
      <c r="N203" s="37">
        <f>+(sales[[#This Row],[Venta]]-sales[[#This Row],[costo_venta]])/sales[[#This Row],[Venta]]</f>
        <v>0.45750000000000002</v>
      </c>
    </row>
    <row r="204" spans="1:14" x14ac:dyDescent="0.2">
      <c r="A204" s="14">
        <f>[1]sales!A209</f>
        <v>46088</v>
      </c>
      <c r="B204" s="188">
        <f>[1]sales!B209</f>
        <v>0.96141203703703704</v>
      </c>
      <c r="C204" s="184" t="s">
        <v>49</v>
      </c>
      <c r="D204" s="14" t="str">
        <f>[1]sales!D209</f>
        <v>BEBIDA - Jugo Hit</v>
      </c>
      <c r="E204" s="3">
        <f>+[1]sales!G209</f>
        <v>1</v>
      </c>
      <c r="F204" s="195">
        <f>+_xlfn.XLOOKUP(sales[[#This Row],[Fecha]],OPEX_SALES!A:A,OPEX_SALES!B:B)</f>
        <v>2</v>
      </c>
      <c r="G204" s="14" t="str">
        <f>+_xlfn.XLOOKUP(sales[[#This Row],[Fecha]],OPEX_SALES!A:A,OPEX_SALES!E:E)</f>
        <v>C) Sábado</v>
      </c>
      <c r="H204" s="14" t="str">
        <f>+TEXT(sales[[#This Row],[Fecha]],"ddd")</f>
        <v>sáb</v>
      </c>
      <c r="I204" s="185">
        <f>+sales[[#This Row],[Venta]]-sales[[#This Row],[costo_venta]]</f>
        <v>2083.33</v>
      </c>
      <c r="J204" s="101">
        <f>[1]sales!K209</f>
        <v>4500</v>
      </c>
      <c r="K204" s="79">
        <f>[1]sales!I209</f>
        <v>0</v>
      </c>
      <c r="L204" s="52">
        <f>[1]sales!J209</f>
        <v>4500</v>
      </c>
      <c r="M204" s="1">
        <f>[1]sales!L209*sales[[#This Row],[cantidad]]</f>
        <v>2416.67</v>
      </c>
      <c r="N204" s="37">
        <f>+(sales[[#This Row],[Venta]]-sales[[#This Row],[costo_venta]])/sales[[#This Row],[Venta]]</f>
        <v>0.46296222222222222</v>
      </c>
    </row>
    <row r="205" spans="1:14" x14ac:dyDescent="0.2">
      <c r="A205" s="14">
        <f>[1]sales!A210</f>
        <v>46088</v>
      </c>
      <c r="B205" s="188">
        <f>[1]sales!B210</f>
        <v>0.96318287037037043</v>
      </c>
      <c r="C205" s="184" t="s">
        <v>49</v>
      </c>
      <c r="D205" s="14" t="str">
        <f>[1]sales!D210</f>
        <v>PROMO: promo vecino de jenesano</v>
      </c>
      <c r="E205" s="3">
        <f>+[1]sales!G210</f>
        <v>1</v>
      </c>
      <c r="F205" s="195">
        <f>+_xlfn.XLOOKUP(sales[[#This Row],[Fecha]],OPEX_SALES!A:A,OPEX_SALES!B:B)</f>
        <v>2</v>
      </c>
      <c r="G205" s="14" t="str">
        <f>+_xlfn.XLOOKUP(sales[[#This Row],[Fecha]],OPEX_SALES!A:A,OPEX_SALES!E:E)</f>
        <v>C) Sábado</v>
      </c>
      <c r="H205" s="14" t="str">
        <f>+TEXT(sales[[#This Row],[Fecha]],"ddd")</f>
        <v>sáb</v>
      </c>
      <c r="I205" s="185">
        <f>+sales[[#This Row],[Venta]]-sales[[#This Row],[costo_venta]]</f>
        <v>-985000</v>
      </c>
      <c r="J205" s="101">
        <f>[1]sales!K210</f>
        <v>15000</v>
      </c>
      <c r="K205" s="79">
        <f>[1]sales!I210</f>
        <v>15000</v>
      </c>
      <c r="L205" s="52">
        <f>[1]sales!J210</f>
        <v>0</v>
      </c>
      <c r="M205" s="1">
        <f>[1]sales!L210*sales[[#This Row],[cantidad]]</f>
        <v>1000000</v>
      </c>
      <c r="N205" s="37">
        <f>+(sales[[#This Row],[Venta]]-sales[[#This Row],[costo_venta]])/sales[[#This Row],[Venta]]</f>
        <v>-65.666666666666671</v>
      </c>
    </row>
    <row r="206" spans="1:14" x14ac:dyDescent="0.2">
      <c r="A206" s="14">
        <f>[1]sales!A211</f>
        <v>46088</v>
      </c>
      <c r="B206" s="188">
        <f>[1]sales!B211</f>
        <v>0.96481481481481479</v>
      </c>
      <c r="C206" s="184" t="s">
        <v>49</v>
      </c>
      <c r="D206" s="14" t="str">
        <f>[1]sales!D211</f>
        <v>Parrillada de 60</v>
      </c>
      <c r="E206" s="3">
        <f>+[1]sales!G211</f>
        <v>1</v>
      </c>
      <c r="F206" s="195">
        <f>+_xlfn.XLOOKUP(sales[[#This Row],[Fecha]],OPEX_SALES!A:A,OPEX_SALES!B:B)</f>
        <v>2</v>
      </c>
      <c r="G206" s="14" t="str">
        <f>+_xlfn.XLOOKUP(sales[[#This Row],[Fecha]],OPEX_SALES!A:A,OPEX_SALES!E:E)</f>
        <v>C) Sábado</v>
      </c>
      <c r="H206" s="14" t="str">
        <f>+TEXT(sales[[#This Row],[Fecha]],"ddd")</f>
        <v>sáb</v>
      </c>
      <c r="I206" s="185">
        <f>+sales[[#This Row],[Venta]]-sales[[#This Row],[costo_venta]]</f>
        <v>-940000</v>
      </c>
      <c r="J206" s="101">
        <f>[1]sales!K211</f>
        <v>60000</v>
      </c>
      <c r="K206" s="79">
        <f>[1]sales!I211</f>
        <v>60000</v>
      </c>
      <c r="L206" s="52">
        <f>[1]sales!J211</f>
        <v>0</v>
      </c>
      <c r="M206" s="1">
        <f>[1]sales!L211*sales[[#This Row],[cantidad]]</f>
        <v>1000000</v>
      </c>
      <c r="N206" s="37">
        <f>+(sales[[#This Row],[Venta]]-sales[[#This Row],[costo_venta]])/sales[[#This Row],[Venta]]</f>
        <v>-15.666666666666666</v>
      </c>
    </row>
    <row r="207" spans="1:14" x14ac:dyDescent="0.2">
      <c r="A207" s="14">
        <f>[1]sales!A212</f>
        <v>46088</v>
      </c>
      <c r="B207" s="188">
        <f>[1]sales!B212</f>
        <v>0.96510416666666665</v>
      </c>
      <c r="C207" s="184" t="s">
        <v>49</v>
      </c>
      <c r="D207" s="14" t="str">
        <f>[1]sales!D212</f>
        <v xml:space="preserve"> Chorizo con papa/arepa</v>
      </c>
      <c r="E207" s="3">
        <f>+[1]sales!G212</f>
        <v>1</v>
      </c>
      <c r="F207" s="195">
        <f>+_xlfn.XLOOKUP(sales[[#This Row],[Fecha]],OPEX_SALES!A:A,OPEX_SALES!B:B)</f>
        <v>2</v>
      </c>
      <c r="G207" s="14" t="str">
        <f>+_xlfn.XLOOKUP(sales[[#This Row],[Fecha]],OPEX_SALES!A:A,OPEX_SALES!E:E)</f>
        <v>C) Sábado</v>
      </c>
      <c r="H207" s="14" t="str">
        <f>+TEXT(sales[[#This Row],[Fecha]],"ddd")</f>
        <v>sáb</v>
      </c>
      <c r="I207" s="185">
        <f>+sales[[#This Row],[Venta]]-sales[[#This Row],[costo_venta]]</f>
        <v>3660</v>
      </c>
      <c r="J207" s="101">
        <f>[1]sales!K212</f>
        <v>8000</v>
      </c>
      <c r="K207" s="79">
        <f>[1]sales!I212</f>
        <v>8000</v>
      </c>
      <c r="L207" s="52">
        <f>[1]sales!J212</f>
        <v>0</v>
      </c>
      <c r="M207" s="1">
        <f>[1]sales!L212*sales[[#This Row],[cantidad]]</f>
        <v>4340</v>
      </c>
      <c r="N207" s="37">
        <f>+(sales[[#This Row],[Venta]]-sales[[#This Row],[costo_venta]])/sales[[#This Row],[Venta]]</f>
        <v>0.45750000000000002</v>
      </c>
    </row>
    <row r="208" spans="1:14" x14ac:dyDescent="0.2">
      <c r="A208" s="14">
        <f>[1]sales!A213</f>
        <v>46088</v>
      </c>
      <c r="B208" s="188">
        <f>[1]sales!B213</f>
        <v>0.96510416666666665</v>
      </c>
      <c r="C208" s="184" t="s">
        <v>49</v>
      </c>
      <c r="D208" s="14" t="str">
        <f>[1]sales!D213</f>
        <v>BEBIDA - Jugo Hit</v>
      </c>
      <c r="E208" s="3">
        <f>+[1]sales!G213</f>
        <v>1</v>
      </c>
      <c r="F208" s="195">
        <f>+_xlfn.XLOOKUP(sales[[#This Row],[Fecha]],OPEX_SALES!A:A,OPEX_SALES!B:B)</f>
        <v>2</v>
      </c>
      <c r="G208" s="14" t="str">
        <f>+_xlfn.XLOOKUP(sales[[#This Row],[Fecha]],OPEX_SALES!A:A,OPEX_SALES!E:E)</f>
        <v>C) Sábado</v>
      </c>
      <c r="H208" s="14" t="str">
        <f>+TEXT(sales[[#This Row],[Fecha]],"ddd")</f>
        <v>sáb</v>
      </c>
      <c r="I208" s="185">
        <f>+sales[[#This Row],[Venta]]-sales[[#This Row],[costo_venta]]</f>
        <v>2083.33</v>
      </c>
      <c r="J208" s="101">
        <f>[1]sales!K213</f>
        <v>4500</v>
      </c>
      <c r="K208" s="79">
        <f>[1]sales!I213</f>
        <v>4500</v>
      </c>
      <c r="L208" s="52">
        <f>[1]sales!J213</f>
        <v>0</v>
      </c>
      <c r="M208" s="1">
        <f>[1]sales!L213*sales[[#This Row],[cantidad]]</f>
        <v>2416.67</v>
      </c>
      <c r="N208" s="37">
        <f>+(sales[[#This Row],[Venta]]-sales[[#This Row],[costo_venta]])/sales[[#This Row],[Venta]]</f>
        <v>0.46296222222222222</v>
      </c>
    </row>
    <row r="209" spans="1:14" x14ac:dyDescent="0.2">
      <c r="A209" s="14">
        <f>[1]sales!A214</f>
        <v>46088</v>
      </c>
      <c r="B209" s="188">
        <f>[1]sales!B214</f>
        <v>0.96643518518518523</v>
      </c>
      <c r="C209" s="184" t="s">
        <v>49</v>
      </c>
      <c r="D209" s="14" t="str">
        <f>[1]sales!D214</f>
        <v>BEBIDA - Coca Cola</v>
      </c>
      <c r="E209" s="3">
        <f>+[1]sales!G214</f>
        <v>1</v>
      </c>
      <c r="F209" s="195">
        <f>+_xlfn.XLOOKUP(sales[[#This Row],[Fecha]],OPEX_SALES!A:A,OPEX_SALES!B:B)</f>
        <v>2</v>
      </c>
      <c r="G209" s="14" t="str">
        <f>+_xlfn.XLOOKUP(sales[[#This Row],[Fecha]],OPEX_SALES!A:A,OPEX_SALES!E:E)</f>
        <v>C) Sábado</v>
      </c>
      <c r="H209" s="14" t="str">
        <f>+TEXT(sales[[#This Row],[Fecha]],"ddd")</f>
        <v>sáb</v>
      </c>
      <c r="I209" s="185">
        <f>+sales[[#This Row],[Venta]]-sales[[#This Row],[costo_venta]]</f>
        <v>1800</v>
      </c>
      <c r="J209" s="101">
        <f>[1]sales!K214</f>
        <v>3000</v>
      </c>
      <c r="K209" s="79">
        <f>[1]sales!I214</f>
        <v>0</v>
      </c>
      <c r="L209" s="52">
        <f>[1]sales!J214</f>
        <v>3000</v>
      </c>
      <c r="M209" s="1">
        <f>[1]sales!L214*sales[[#This Row],[cantidad]]</f>
        <v>1200</v>
      </c>
      <c r="N209" s="37">
        <f>+(sales[[#This Row],[Venta]]-sales[[#This Row],[costo_venta]])/sales[[#This Row],[Venta]]</f>
        <v>0.6</v>
      </c>
    </row>
    <row r="210" spans="1:14" x14ac:dyDescent="0.2">
      <c r="A210" s="14">
        <f>[1]sales!A215</f>
        <v>46088</v>
      </c>
      <c r="B210" s="188">
        <f>[1]sales!B215</f>
        <v>0.96643518518518523</v>
      </c>
      <c r="C210" s="184" t="s">
        <v>49</v>
      </c>
      <c r="D210" s="14" t="str">
        <f>[1]sales!D215</f>
        <v>CARNES - Carne Asada de 40</v>
      </c>
      <c r="E210" s="3">
        <f>+[1]sales!G215</f>
        <v>1</v>
      </c>
      <c r="F210" s="195">
        <f>+_xlfn.XLOOKUP(sales[[#This Row],[Fecha]],OPEX_SALES!A:A,OPEX_SALES!B:B)</f>
        <v>2</v>
      </c>
      <c r="G210" s="14" t="str">
        <f>+_xlfn.XLOOKUP(sales[[#This Row],[Fecha]],OPEX_SALES!A:A,OPEX_SALES!E:E)</f>
        <v>C) Sábado</v>
      </c>
      <c r="H210" s="14" t="str">
        <f>+TEXT(sales[[#This Row],[Fecha]],"ddd")</f>
        <v>sáb</v>
      </c>
      <c r="I210" s="185">
        <f>+sales[[#This Row],[Venta]]-sales[[#This Row],[costo_venta]]</f>
        <v>-960000</v>
      </c>
      <c r="J210" s="101">
        <f>[1]sales!K215</f>
        <v>40000</v>
      </c>
      <c r="K210" s="79">
        <f>[1]sales!I215</f>
        <v>0</v>
      </c>
      <c r="L210" s="52">
        <f>[1]sales!J215</f>
        <v>40000</v>
      </c>
      <c r="M210" s="1">
        <f>[1]sales!L215*sales[[#This Row],[cantidad]]</f>
        <v>1000000</v>
      </c>
      <c r="N210" s="37">
        <f>+(sales[[#This Row],[Venta]]-sales[[#This Row],[costo_venta]])/sales[[#This Row],[Venta]]</f>
        <v>-24</v>
      </c>
    </row>
    <row r="211" spans="1:14" x14ac:dyDescent="0.2">
      <c r="A211" s="14">
        <f>[1]sales!A216</f>
        <v>46088</v>
      </c>
      <c r="B211" s="188">
        <f>[1]sales!B216</f>
        <v>0.96680555555555558</v>
      </c>
      <c r="C211" s="184" t="s">
        <v>49</v>
      </c>
      <c r="D211" s="14" t="str">
        <f>[1]sales!D216</f>
        <v xml:space="preserve"> Chorizo con papa/arepa</v>
      </c>
      <c r="E211" s="3">
        <f>+[1]sales!G216</f>
        <v>2</v>
      </c>
      <c r="F211" s="195">
        <f>+_xlfn.XLOOKUP(sales[[#This Row],[Fecha]],OPEX_SALES!A:A,OPEX_SALES!B:B)</f>
        <v>2</v>
      </c>
      <c r="G211" s="14" t="str">
        <f>+_xlfn.XLOOKUP(sales[[#This Row],[Fecha]],OPEX_SALES!A:A,OPEX_SALES!E:E)</f>
        <v>C) Sábado</v>
      </c>
      <c r="H211" s="14" t="str">
        <f>+TEXT(sales[[#This Row],[Fecha]],"ddd")</f>
        <v>sáb</v>
      </c>
      <c r="I211" s="185">
        <f>+sales[[#This Row],[Venta]]-sales[[#This Row],[costo_venta]]</f>
        <v>7320</v>
      </c>
      <c r="J211" s="101">
        <f>[1]sales!K216</f>
        <v>16000</v>
      </c>
      <c r="K211" s="79">
        <f>[1]sales!I216</f>
        <v>16000</v>
      </c>
      <c r="L211" s="52">
        <f>[1]sales!J216</f>
        <v>0</v>
      </c>
      <c r="M211" s="1">
        <f>[1]sales!L216*sales[[#This Row],[cantidad]]</f>
        <v>8680</v>
      </c>
      <c r="N211" s="37">
        <f>+(sales[[#This Row],[Venta]]-sales[[#This Row],[costo_venta]])/sales[[#This Row],[Venta]]</f>
        <v>0.45750000000000002</v>
      </c>
    </row>
    <row r="212" spans="1:14" x14ac:dyDescent="0.2">
      <c r="A212" s="14">
        <f>[1]sales!A217</f>
        <v>46088</v>
      </c>
      <c r="B212" s="188">
        <f>[1]sales!B217</f>
        <v>0.96680555555555558</v>
      </c>
      <c r="C212" s="184" t="s">
        <v>49</v>
      </c>
      <c r="D212" s="14" t="str">
        <f>[1]sales!D217</f>
        <v>BEBIDA - Jugo Hit</v>
      </c>
      <c r="E212" s="3">
        <f>+[1]sales!G217</f>
        <v>1</v>
      </c>
      <c r="F212" s="195">
        <f>+_xlfn.XLOOKUP(sales[[#This Row],[Fecha]],OPEX_SALES!A:A,OPEX_SALES!B:B)</f>
        <v>2</v>
      </c>
      <c r="G212" s="14" t="str">
        <f>+_xlfn.XLOOKUP(sales[[#This Row],[Fecha]],OPEX_SALES!A:A,OPEX_SALES!E:E)</f>
        <v>C) Sábado</v>
      </c>
      <c r="H212" s="14" t="str">
        <f>+TEXT(sales[[#This Row],[Fecha]],"ddd")</f>
        <v>sáb</v>
      </c>
      <c r="I212" s="185">
        <f>+sales[[#This Row],[Venta]]-sales[[#This Row],[costo_venta]]</f>
        <v>2083.33</v>
      </c>
      <c r="J212" s="101">
        <f>[1]sales!K217</f>
        <v>4500</v>
      </c>
      <c r="K212" s="79">
        <f>[1]sales!I217</f>
        <v>4500</v>
      </c>
      <c r="L212" s="52">
        <f>[1]sales!J217</f>
        <v>0</v>
      </c>
      <c r="M212" s="1">
        <f>[1]sales!L217*sales[[#This Row],[cantidad]]</f>
        <v>2416.67</v>
      </c>
      <c r="N212" s="37">
        <f>+(sales[[#This Row],[Venta]]-sales[[#This Row],[costo_venta]])/sales[[#This Row],[Venta]]</f>
        <v>0.46296222222222222</v>
      </c>
    </row>
    <row r="213" spans="1:14" x14ac:dyDescent="0.2">
      <c r="A213" s="14">
        <f>[1]sales!A218</f>
        <v>46089</v>
      </c>
      <c r="B213" s="188">
        <f>[1]sales!B218</f>
        <v>0.59064814814814814</v>
      </c>
      <c r="C213" s="184" t="s">
        <v>49</v>
      </c>
      <c r="D213" s="14" t="str">
        <f>[1]sales!D218</f>
        <v xml:space="preserve"> Chorizo con papa/arepa</v>
      </c>
      <c r="E213" s="3">
        <f>+[1]sales!G218</f>
        <v>3</v>
      </c>
      <c r="F213" s="195">
        <f>+_xlfn.XLOOKUP(sales[[#This Row],[Fecha]],OPEX_SALES!A:A,OPEX_SALES!B:B)</f>
        <v>2</v>
      </c>
      <c r="G213" s="14" t="str">
        <f>+_xlfn.XLOOKUP(sales[[#This Row],[Fecha]],OPEX_SALES!A:A,OPEX_SALES!E:E)</f>
        <v>D) Domingo</v>
      </c>
      <c r="H213" s="14" t="str">
        <f>+TEXT(sales[[#This Row],[Fecha]],"ddd")</f>
        <v>dom</v>
      </c>
      <c r="I213" s="185">
        <f>+sales[[#This Row],[Venta]]-sales[[#This Row],[costo_venta]]</f>
        <v>10980</v>
      </c>
      <c r="J213" s="101">
        <f>[1]sales!K218</f>
        <v>24000</v>
      </c>
      <c r="K213" s="79">
        <f>[1]sales!I218</f>
        <v>0</v>
      </c>
      <c r="L213" s="52">
        <f>[1]sales!J218</f>
        <v>24000</v>
      </c>
      <c r="M213" s="1">
        <f>[1]sales!L218*sales[[#This Row],[cantidad]]</f>
        <v>13020</v>
      </c>
      <c r="N213" s="37">
        <f>+(sales[[#This Row],[Venta]]-sales[[#This Row],[costo_venta]])/sales[[#This Row],[Venta]]</f>
        <v>0.45750000000000002</v>
      </c>
    </row>
    <row r="214" spans="1:14" x14ac:dyDescent="0.2">
      <c r="A214" s="14">
        <f>[1]sales!A219</f>
        <v>46089</v>
      </c>
      <c r="B214" s="188">
        <f>[1]sales!B219</f>
        <v>0.59064814814814814</v>
      </c>
      <c r="C214" s="184" t="s">
        <v>49</v>
      </c>
      <c r="D214" s="14" t="str">
        <f>[1]sales!D219</f>
        <v>BEBIDA - Coca Cola</v>
      </c>
      <c r="E214" s="3">
        <f>+[1]sales!G219</f>
        <v>2</v>
      </c>
      <c r="F214" s="195">
        <f>+_xlfn.XLOOKUP(sales[[#This Row],[Fecha]],OPEX_SALES!A:A,OPEX_SALES!B:B)</f>
        <v>2</v>
      </c>
      <c r="G214" s="14" t="str">
        <f>+_xlfn.XLOOKUP(sales[[#This Row],[Fecha]],OPEX_SALES!A:A,OPEX_SALES!E:E)</f>
        <v>D) Domingo</v>
      </c>
      <c r="H214" s="14" t="str">
        <f>+TEXT(sales[[#This Row],[Fecha]],"ddd")</f>
        <v>dom</v>
      </c>
      <c r="I214" s="185">
        <f>+sales[[#This Row],[Venta]]-sales[[#This Row],[costo_venta]]</f>
        <v>3600</v>
      </c>
      <c r="J214" s="101">
        <f>[1]sales!K219</f>
        <v>6000</v>
      </c>
      <c r="K214" s="79">
        <f>[1]sales!I219</f>
        <v>0</v>
      </c>
      <c r="L214" s="52">
        <f>[1]sales!J219</f>
        <v>6000</v>
      </c>
      <c r="M214" s="1">
        <f>[1]sales!L219*sales[[#This Row],[cantidad]]</f>
        <v>2400</v>
      </c>
      <c r="N214" s="37">
        <f>+(sales[[#This Row],[Venta]]-sales[[#This Row],[costo_venta]])/sales[[#This Row],[Venta]]</f>
        <v>0.6</v>
      </c>
    </row>
    <row r="215" spans="1:14" x14ac:dyDescent="0.2">
      <c r="A215" s="14">
        <f>[1]sales!A220</f>
        <v>46089</v>
      </c>
      <c r="B215" s="188">
        <f>[1]sales!B220</f>
        <v>0.59089120370370374</v>
      </c>
      <c r="C215" s="184" t="s">
        <v>49</v>
      </c>
      <c r="D215" s="14" t="str">
        <f>[1]sales!D220</f>
        <v xml:space="preserve"> Chorizo con papa/arepa</v>
      </c>
      <c r="E215" s="3">
        <f>+[1]sales!G220</f>
        <v>1</v>
      </c>
      <c r="F215" s="195">
        <f>+_xlfn.XLOOKUP(sales[[#This Row],[Fecha]],OPEX_SALES!A:A,OPEX_SALES!B:B)</f>
        <v>2</v>
      </c>
      <c r="G215" s="14" t="str">
        <f>+_xlfn.XLOOKUP(sales[[#This Row],[Fecha]],OPEX_SALES!A:A,OPEX_SALES!E:E)</f>
        <v>D) Domingo</v>
      </c>
      <c r="H215" s="14" t="str">
        <f>+TEXT(sales[[#This Row],[Fecha]],"ddd")</f>
        <v>dom</v>
      </c>
      <c r="I215" s="185">
        <f>+sales[[#This Row],[Venta]]-sales[[#This Row],[costo_venta]]</f>
        <v>3660</v>
      </c>
      <c r="J215" s="101">
        <f>[1]sales!K220</f>
        <v>8000</v>
      </c>
      <c r="K215" s="79">
        <f>[1]sales!I220</f>
        <v>8000</v>
      </c>
      <c r="L215" s="52">
        <f>[1]sales!J220</f>
        <v>0</v>
      </c>
      <c r="M215" s="1">
        <f>[1]sales!L220*sales[[#This Row],[cantidad]]</f>
        <v>4340</v>
      </c>
      <c r="N215" s="37">
        <f>+(sales[[#This Row],[Venta]]-sales[[#This Row],[costo_venta]])/sales[[#This Row],[Venta]]</f>
        <v>0.45750000000000002</v>
      </c>
    </row>
    <row r="216" spans="1:14" x14ac:dyDescent="0.2">
      <c r="A216" s="14">
        <f>[1]sales!A221</f>
        <v>46089</v>
      </c>
      <c r="B216" s="188">
        <f>[1]sales!B221</f>
        <v>0.59089120370370374</v>
      </c>
      <c r="C216" s="184" t="s">
        <v>49</v>
      </c>
      <c r="D216" s="14" t="str">
        <f>[1]sales!D221</f>
        <v>BEBIDA - Postobón</v>
      </c>
      <c r="E216" s="3">
        <f>+[1]sales!G221</f>
        <v>1</v>
      </c>
      <c r="F216" s="195">
        <f>+_xlfn.XLOOKUP(sales[[#This Row],[Fecha]],OPEX_SALES!A:A,OPEX_SALES!B:B)</f>
        <v>2</v>
      </c>
      <c r="G216" s="14" t="str">
        <f>+_xlfn.XLOOKUP(sales[[#This Row],[Fecha]],OPEX_SALES!A:A,OPEX_SALES!E:E)</f>
        <v>D) Domingo</v>
      </c>
      <c r="H216" s="14" t="str">
        <f>+TEXT(sales[[#This Row],[Fecha]],"ddd")</f>
        <v>dom</v>
      </c>
      <c r="I216" s="185">
        <f>+sales[[#This Row],[Venta]]-sales[[#This Row],[costo_venta]]</f>
        <v>1866.67</v>
      </c>
      <c r="J216" s="101">
        <f>[1]sales!K221</f>
        <v>3000</v>
      </c>
      <c r="K216" s="79">
        <f>[1]sales!I221</f>
        <v>3000</v>
      </c>
      <c r="L216" s="52">
        <f>[1]sales!J221</f>
        <v>0</v>
      </c>
      <c r="M216" s="1">
        <f>[1]sales!L221*sales[[#This Row],[cantidad]]</f>
        <v>1133.33</v>
      </c>
      <c r="N216" s="37">
        <f>+(sales[[#This Row],[Venta]]-sales[[#This Row],[costo_venta]])/sales[[#This Row],[Venta]]</f>
        <v>0.62222333333333335</v>
      </c>
    </row>
    <row r="217" spans="1:14" x14ac:dyDescent="0.2">
      <c r="A217" s="14">
        <f>[1]sales!A222</f>
        <v>46089</v>
      </c>
      <c r="B217" s="188">
        <f>[1]sales!B222</f>
        <v>0.59761574074074075</v>
      </c>
      <c r="C217" s="184" t="s">
        <v>49</v>
      </c>
      <c r="D217" s="14" t="str">
        <f>[1]sales!D222</f>
        <v xml:space="preserve"> Chorizo con papa/arepa</v>
      </c>
      <c r="E217" s="3">
        <f>+[1]sales!G222</f>
        <v>3</v>
      </c>
      <c r="F217" s="195">
        <f>+_xlfn.XLOOKUP(sales[[#This Row],[Fecha]],OPEX_SALES!A:A,OPEX_SALES!B:B)</f>
        <v>2</v>
      </c>
      <c r="G217" s="14" t="str">
        <f>+_xlfn.XLOOKUP(sales[[#This Row],[Fecha]],OPEX_SALES!A:A,OPEX_SALES!E:E)</f>
        <v>D) Domingo</v>
      </c>
      <c r="H217" s="14" t="str">
        <f>+TEXT(sales[[#This Row],[Fecha]],"ddd")</f>
        <v>dom</v>
      </c>
      <c r="I217" s="185">
        <f>+sales[[#This Row],[Venta]]-sales[[#This Row],[costo_venta]]</f>
        <v>10980</v>
      </c>
      <c r="J217" s="101">
        <f>[1]sales!K222</f>
        <v>24000</v>
      </c>
      <c r="K217" s="79">
        <f>[1]sales!I222</f>
        <v>0</v>
      </c>
      <c r="L217" s="52">
        <f>[1]sales!J222</f>
        <v>24000</v>
      </c>
      <c r="M217" s="1">
        <f>[1]sales!L222*sales[[#This Row],[cantidad]]</f>
        <v>13020</v>
      </c>
      <c r="N217" s="37">
        <f>+(sales[[#This Row],[Venta]]-sales[[#This Row],[costo_venta]])/sales[[#This Row],[Venta]]</f>
        <v>0.45750000000000002</v>
      </c>
    </row>
    <row r="218" spans="1:14" x14ac:dyDescent="0.2">
      <c r="A218" s="14">
        <f>[1]sales!A223</f>
        <v>46089</v>
      </c>
      <c r="B218" s="188">
        <f>[1]sales!B223</f>
        <v>0.59761574074074075</v>
      </c>
      <c r="C218" s="184" t="s">
        <v>49</v>
      </c>
      <c r="D218" s="14" t="str">
        <f>[1]sales!D223</f>
        <v>Bandeja Choriboni - 30</v>
      </c>
      <c r="E218" s="3">
        <f>+[1]sales!G223</f>
        <v>1</v>
      </c>
      <c r="F218" s="195">
        <f>+_xlfn.XLOOKUP(sales[[#This Row],[Fecha]],OPEX_SALES!A:A,OPEX_SALES!B:B)</f>
        <v>2</v>
      </c>
      <c r="G218" s="14" t="str">
        <f>+_xlfn.XLOOKUP(sales[[#This Row],[Fecha]],OPEX_SALES!A:A,OPEX_SALES!E:E)</f>
        <v>D) Domingo</v>
      </c>
      <c r="H218" s="14" t="str">
        <f>+TEXT(sales[[#This Row],[Fecha]],"ddd")</f>
        <v>dom</v>
      </c>
      <c r="I218" s="185">
        <f>+sales[[#This Row],[Venta]]-sales[[#This Row],[costo_venta]]</f>
        <v>26500</v>
      </c>
      <c r="J218" s="101">
        <f>[1]sales!K223</f>
        <v>30000</v>
      </c>
      <c r="K218" s="79">
        <f>[1]sales!I223</f>
        <v>0</v>
      </c>
      <c r="L218" s="52">
        <f>[1]sales!J223</f>
        <v>30000</v>
      </c>
      <c r="M218" s="1">
        <f>[1]sales!L223*sales[[#This Row],[cantidad]]</f>
        <v>3500</v>
      </c>
      <c r="N218" s="37">
        <f>+(sales[[#This Row],[Venta]]-sales[[#This Row],[costo_venta]])/sales[[#This Row],[Venta]]</f>
        <v>0.8833333333333333</v>
      </c>
    </row>
    <row r="219" spans="1:14" x14ac:dyDescent="0.2">
      <c r="A219" s="14">
        <f>[1]sales!A224</f>
        <v>46089</v>
      </c>
      <c r="B219" s="188">
        <f>[1]sales!B224</f>
        <v>0.62121527777777774</v>
      </c>
      <c r="C219" s="184" t="s">
        <v>49</v>
      </c>
      <c r="D219" s="14" t="str">
        <f>[1]sales!D224</f>
        <v xml:space="preserve"> Chorizo con papa/arepa</v>
      </c>
      <c r="E219" s="3">
        <f>+[1]sales!G224</f>
        <v>1</v>
      </c>
      <c r="F219" s="195">
        <f>+_xlfn.XLOOKUP(sales[[#This Row],[Fecha]],OPEX_SALES!A:A,OPEX_SALES!B:B)</f>
        <v>2</v>
      </c>
      <c r="G219" s="14" t="str">
        <f>+_xlfn.XLOOKUP(sales[[#This Row],[Fecha]],OPEX_SALES!A:A,OPEX_SALES!E:E)</f>
        <v>D) Domingo</v>
      </c>
      <c r="H219" s="14" t="str">
        <f>+TEXT(sales[[#This Row],[Fecha]],"ddd")</f>
        <v>dom</v>
      </c>
      <c r="I219" s="185">
        <f>+sales[[#This Row],[Venta]]-sales[[#This Row],[costo_venta]]</f>
        <v>3660</v>
      </c>
      <c r="J219" s="101">
        <f>[1]sales!K224</f>
        <v>8000</v>
      </c>
      <c r="K219" s="79">
        <f>[1]sales!I224</f>
        <v>8000</v>
      </c>
      <c r="L219" s="52">
        <f>[1]sales!J224</f>
        <v>0</v>
      </c>
      <c r="M219" s="1">
        <f>[1]sales!L224*sales[[#This Row],[cantidad]]</f>
        <v>4340</v>
      </c>
      <c r="N219" s="37">
        <f>+(sales[[#This Row],[Venta]]-sales[[#This Row],[costo_venta]])/sales[[#This Row],[Venta]]</f>
        <v>0.45750000000000002</v>
      </c>
    </row>
    <row r="220" spans="1:14" x14ac:dyDescent="0.2">
      <c r="A220" s="14">
        <f>[1]sales!A225</f>
        <v>46089</v>
      </c>
      <c r="B220" s="188">
        <f>[1]sales!B225</f>
        <v>0.62121527777777774</v>
      </c>
      <c r="C220" s="184" t="s">
        <v>49</v>
      </c>
      <c r="D220" s="14" t="str">
        <f>[1]sales!D225</f>
        <v>BEBIDA - Coca Cola</v>
      </c>
      <c r="E220" s="3">
        <f>+[1]sales!G225</f>
        <v>1</v>
      </c>
      <c r="F220" s="195">
        <f>+_xlfn.XLOOKUP(sales[[#This Row],[Fecha]],OPEX_SALES!A:A,OPEX_SALES!B:B)</f>
        <v>2</v>
      </c>
      <c r="G220" s="14" t="str">
        <f>+_xlfn.XLOOKUP(sales[[#This Row],[Fecha]],OPEX_SALES!A:A,OPEX_SALES!E:E)</f>
        <v>D) Domingo</v>
      </c>
      <c r="H220" s="14" t="str">
        <f>+TEXT(sales[[#This Row],[Fecha]],"ddd")</f>
        <v>dom</v>
      </c>
      <c r="I220" s="185">
        <f>+sales[[#This Row],[Venta]]-sales[[#This Row],[costo_venta]]</f>
        <v>1800</v>
      </c>
      <c r="J220" s="101">
        <f>[1]sales!K225</f>
        <v>3000</v>
      </c>
      <c r="K220" s="79">
        <f>[1]sales!I225</f>
        <v>3000</v>
      </c>
      <c r="L220" s="52">
        <f>[1]sales!J225</f>
        <v>0</v>
      </c>
      <c r="M220" s="1">
        <f>[1]sales!L225*sales[[#This Row],[cantidad]]</f>
        <v>1200</v>
      </c>
      <c r="N220" s="37">
        <f>+(sales[[#This Row],[Venta]]-sales[[#This Row],[costo_venta]])/sales[[#This Row],[Venta]]</f>
        <v>0.6</v>
      </c>
    </row>
    <row r="221" spans="1:14" x14ac:dyDescent="0.2">
      <c r="A221" s="14">
        <f>[1]sales!A226</f>
        <v>46089</v>
      </c>
      <c r="B221" s="188">
        <f>[1]sales!B226</f>
        <v>0.63009259259259254</v>
      </c>
      <c r="C221" s="184" t="s">
        <v>49</v>
      </c>
      <c r="D221" s="14" t="str">
        <f>[1]sales!D226</f>
        <v>Bandeja Choriboni - 35</v>
      </c>
      <c r="E221" s="3">
        <f>+[1]sales!G226</f>
        <v>1</v>
      </c>
      <c r="F221" s="195">
        <f>+_xlfn.XLOOKUP(sales[[#This Row],[Fecha]],OPEX_SALES!A:A,OPEX_SALES!B:B)</f>
        <v>2</v>
      </c>
      <c r="G221" s="14" t="str">
        <f>+_xlfn.XLOOKUP(sales[[#This Row],[Fecha]],OPEX_SALES!A:A,OPEX_SALES!E:E)</f>
        <v>D) Domingo</v>
      </c>
      <c r="H221" s="14" t="str">
        <f>+TEXT(sales[[#This Row],[Fecha]],"ddd")</f>
        <v>dom</v>
      </c>
      <c r="I221" s="185">
        <f>+sales[[#This Row],[Venta]]-sales[[#This Row],[costo_venta]]</f>
        <v>31500</v>
      </c>
      <c r="J221" s="101">
        <f>[1]sales!K226</f>
        <v>35000</v>
      </c>
      <c r="K221" s="79">
        <f>[1]sales!I226</f>
        <v>35000</v>
      </c>
      <c r="L221" s="52">
        <f>[1]sales!J226</f>
        <v>0</v>
      </c>
      <c r="M221" s="1">
        <f>[1]sales!L226*sales[[#This Row],[cantidad]]</f>
        <v>3500</v>
      </c>
      <c r="N221" s="37">
        <f>+(sales[[#This Row],[Venta]]-sales[[#This Row],[costo_venta]])/sales[[#This Row],[Venta]]</f>
        <v>0.9</v>
      </c>
    </row>
    <row r="222" spans="1:14" x14ac:dyDescent="0.2">
      <c r="A222" s="14">
        <f>[1]sales!A227</f>
        <v>46089</v>
      </c>
      <c r="B222" s="188">
        <f>[1]sales!B227</f>
        <v>0.63009259259259254</v>
      </c>
      <c r="C222" s="184" t="s">
        <v>49</v>
      </c>
      <c r="D222" s="14" t="str">
        <f>[1]sales!D227</f>
        <v>BEBIDA - Coca Cola</v>
      </c>
      <c r="E222" s="3">
        <f>+[1]sales!G227</f>
        <v>1</v>
      </c>
      <c r="F222" s="195">
        <f>+_xlfn.XLOOKUP(sales[[#This Row],[Fecha]],OPEX_SALES!A:A,OPEX_SALES!B:B)</f>
        <v>2</v>
      </c>
      <c r="G222" s="14" t="str">
        <f>+_xlfn.XLOOKUP(sales[[#This Row],[Fecha]],OPEX_SALES!A:A,OPEX_SALES!E:E)</f>
        <v>D) Domingo</v>
      </c>
      <c r="H222" s="14" t="str">
        <f>+TEXT(sales[[#This Row],[Fecha]],"ddd")</f>
        <v>dom</v>
      </c>
      <c r="I222" s="185">
        <f>+sales[[#This Row],[Venta]]-sales[[#This Row],[costo_venta]]</f>
        <v>1800</v>
      </c>
      <c r="J222" s="101">
        <f>[1]sales!K227</f>
        <v>3000</v>
      </c>
      <c r="K222" s="79">
        <f>[1]sales!I227</f>
        <v>3000</v>
      </c>
      <c r="L222" s="52">
        <f>[1]sales!J227</f>
        <v>0</v>
      </c>
      <c r="M222" s="1">
        <f>[1]sales!L227*sales[[#This Row],[cantidad]]</f>
        <v>1200</v>
      </c>
      <c r="N222" s="37">
        <f>+(sales[[#This Row],[Venta]]-sales[[#This Row],[costo_venta]])/sales[[#This Row],[Venta]]</f>
        <v>0.6</v>
      </c>
    </row>
    <row r="223" spans="1:14" x14ac:dyDescent="0.2">
      <c r="A223" s="14">
        <f>[1]sales!A228</f>
        <v>46089</v>
      </c>
      <c r="B223" s="188">
        <f>[1]sales!B228</f>
        <v>0.63009259259259254</v>
      </c>
      <c r="C223" s="184" t="s">
        <v>49</v>
      </c>
      <c r="D223" s="14" t="str">
        <f>[1]sales!D228</f>
        <v>BEBIDA - Jugo Hit</v>
      </c>
      <c r="E223" s="3">
        <f>+[1]sales!G228</f>
        <v>1</v>
      </c>
      <c r="F223" s="195">
        <f>+_xlfn.XLOOKUP(sales[[#This Row],[Fecha]],OPEX_SALES!A:A,OPEX_SALES!B:B)</f>
        <v>2</v>
      </c>
      <c r="G223" s="14" t="str">
        <f>+_xlfn.XLOOKUP(sales[[#This Row],[Fecha]],OPEX_SALES!A:A,OPEX_SALES!E:E)</f>
        <v>D) Domingo</v>
      </c>
      <c r="H223" s="14" t="str">
        <f>+TEXT(sales[[#This Row],[Fecha]],"ddd")</f>
        <v>dom</v>
      </c>
      <c r="I223" s="185">
        <f>+sales[[#This Row],[Venta]]-sales[[#This Row],[costo_venta]]</f>
        <v>2083.33</v>
      </c>
      <c r="J223" s="101">
        <f>[1]sales!K228</f>
        <v>4500</v>
      </c>
      <c r="K223" s="79">
        <f>[1]sales!I228</f>
        <v>4500</v>
      </c>
      <c r="L223" s="52">
        <f>[1]sales!J228</f>
        <v>0</v>
      </c>
      <c r="M223" s="1">
        <f>[1]sales!L228*sales[[#This Row],[cantidad]]</f>
        <v>2416.67</v>
      </c>
      <c r="N223" s="37">
        <f>+(sales[[#This Row],[Venta]]-sales[[#This Row],[costo_venta]])/sales[[#This Row],[Venta]]</f>
        <v>0.46296222222222222</v>
      </c>
    </row>
    <row r="224" spans="1:14" x14ac:dyDescent="0.2">
      <c r="A224" s="14">
        <f>[1]sales!A229</f>
        <v>46089</v>
      </c>
      <c r="B224" s="188">
        <f>[1]sales!B229</f>
        <v>0.63078703703703709</v>
      </c>
      <c r="C224" s="184" t="s">
        <v>49</v>
      </c>
      <c r="D224" s="14" t="str">
        <f>[1]sales!D229</f>
        <v xml:space="preserve"> Chorizo con papa/arepa</v>
      </c>
      <c r="E224" s="3">
        <f>+[1]sales!G229</f>
        <v>1</v>
      </c>
      <c r="F224" s="195">
        <f>+_xlfn.XLOOKUP(sales[[#This Row],[Fecha]],OPEX_SALES!A:A,OPEX_SALES!B:B)</f>
        <v>2</v>
      </c>
      <c r="G224" s="14" t="str">
        <f>+_xlfn.XLOOKUP(sales[[#This Row],[Fecha]],OPEX_SALES!A:A,OPEX_SALES!E:E)</f>
        <v>D) Domingo</v>
      </c>
      <c r="H224" s="14" t="str">
        <f>+TEXT(sales[[#This Row],[Fecha]],"ddd")</f>
        <v>dom</v>
      </c>
      <c r="I224" s="185">
        <f>+sales[[#This Row],[Venta]]-sales[[#This Row],[costo_venta]]</f>
        <v>3660</v>
      </c>
      <c r="J224" s="101">
        <f>[1]sales!K229</f>
        <v>8000</v>
      </c>
      <c r="K224" s="79">
        <f>[1]sales!I229</f>
        <v>8000</v>
      </c>
      <c r="L224" s="52">
        <f>[1]sales!J229</f>
        <v>0</v>
      </c>
      <c r="M224" s="1">
        <f>[1]sales!L229*sales[[#This Row],[cantidad]]</f>
        <v>4340</v>
      </c>
      <c r="N224" s="37">
        <f>+(sales[[#This Row],[Venta]]-sales[[#This Row],[costo_venta]])/sales[[#This Row],[Venta]]</f>
        <v>0.45750000000000002</v>
      </c>
    </row>
    <row r="225" spans="1:14" x14ac:dyDescent="0.2">
      <c r="A225" s="14">
        <f>[1]sales!A230</f>
        <v>46089</v>
      </c>
      <c r="B225" s="188">
        <f>[1]sales!B230</f>
        <v>0.63078703703703709</v>
      </c>
      <c r="C225" s="184" t="s">
        <v>49</v>
      </c>
      <c r="D225" s="14" t="str">
        <f>[1]sales!D230</f>
        <v>Bandeja Choriboni - 35</v>
      </c>
      <c r="E225" s="3">
        <f>+[1]sales!G230</f>
        <v>1</v>
      </c>
      <c r="F225" s="195">
        <f>+_xlfn.XLOOKUP(sales[[#This Row],[Fecha]],OPEX_SALES!A:A,OPEX_SALES!B:B)</f>
        <v>2</v>
      </c>
      <c r="G225" s="14" t="str">
        <f>+_xlfn.XLOOKUP(sales[[#This Row],[Fecha]],OPEX_SALES!A:A,OPEX_SALES!E:E)</f>
        <v>D) Domingo</v>
      </c>
      <c r="H225" s="14" t="str">
        <f>+TEXT(sales[[#This Row],[Fecha]],"ddd")</f>
        <v>dom</v>
      </c>
      <c r="I225" s="185">
        <f>+sales[[#This Row],[Venta]]-sales[[#This Row],[costo_venta]]</f>
        <v>31500</v>
      </c>
      <c r="J225" s="101">
        <f>[1]sales!K230</f>
        <v>35000</v>
      </c>
      <c r="K225" s="79">
        <f>[1]sales!I230</f>
        <v>35000</v>
      </c>
      <c r="L225" s="52">
        <f>[1]sales!J230</f>
        <v>0</v>
      </c>
      <c r="M225" s="1">
        <f>[1]sales!L230*sales[[#This Row],[cantidad]]</f>
        <v>3500</v>
      </c>
      <c r="N225" s="37">
        <f>+(sales[[#This Row],[Venta]]-sales[[#This Row],[costo_venta]])/sales[[#This Row],[Venta]]</f>
        <v>0.9</v>
      </c>
    </row>
    <row r="226" spans="1:14" x14ac:dyDescent="0.2">
      <c r="A226" s="14">
        <f>[1]sales!A231</f>
        <v>46089</v>
      </c>
      <c r="B226" s="188">
        <f>[1]sales!B231</f>
        <v>0.63078703703703709</v>
      </c>
      <c r="C226" s="184" t="s">
        <v>49</v>
      </c>
      <c r="D226" s="14" t="str">
        <f>[1]sales!D231</f>
        <v>BEBIDA - Botella de Agua</v>
      </c>
      <c r="E226" s="3">
        <f>+[1]sales!G231</f>
        <v>1</v>
      </c>
      <c r="F226" s="195">
        <f>+_xlfn.XLOOKUP(sales[[#This Row],[Fecha]],OPEX_SALES!A:A,OPEX_SALES!B:B)</f>
        <v>2</v>
      </c>
      <c r="G226" s="14" t="str">
        <f>+_xlfn.XLOOKUP(sales[[#This Row],[Fecha]],OPEX_SALES!A:A,OPEX_SALES!E:E)</f>
        <v>D) Domingo</v>
      </c>
      <c r="H226" s="14" t="str">
        <f>+TEXT(sales[[#This Row],[Fecha]],"ddd")</f>
        <v>dom</v>
      </c>
      <c r="I226" s="185">
        <f>+sales[[#This Row],[Venta]]-sales[[#This Row],[costo_venta]]</f>
        <v>2083.33</v>
      </c>
      <c r="J226" s="101">
        <f>[1]sales!K231</f>
        <v>3500</v>
      </c>
      <c r="K226" s="79">
        <f>[1]sales!I231</f>
        <v>3500</v>
      </c>
      <c r="L226" s="52">
        <f>[1]sales!J231</f>
        <v>0</v>
      </c>
      <c r="M226" s="1">
        <f>[1]sales!L231*sales[[#This Row],[cantidad]]</f>
        <v>1416.67</v>
      </c>
      <c r="N226" s="37">
        <f>+(sales[[#This Row],[Venta]]-sales[[#This Row],[costo_venta]])/sales[[#This Row],[Venta]]</f>
        <v>0.5952371428571428</v>
      </c>
    </row>
    <row r="227" spans="1:14" x14ac:dyDescent="0.2">
      <c r="A227" s="14">
        <f>[1]sales!A232</f>
        <v>46089</v>
      </c>
      <c r="B227" s="188">
        <f>[1]sales!B232</f>
        <v>0.63078703703703709</v>
      </c>
      <c r="C227" s="184" t="s">
        <v>49</v>
      </c>
      <c r="D227" s="14" t="str">
        <f>[1]sales!D232</f>
        <v>BEBIDA - Coca Cola</v>
      </c>
      <c r="E227" s="3">
        <f>+[1]sales!G232</f>
        <v>1</v>
      </c>
      <c r="F227" s="195">
        <f>+_xlfn.XLOOKUP(sales[[#This Row],[Fecha]],OPEX_SALES!A:A,OPEX_SALES!B:B)</f>
        <v>2</v>
      </c>
      <c r="G227" s="14" t="str">
        <f>+_xlfn.XLOOKUP(sales[[#This Row],[Fecha]],OPEX_SALES!A:A,OPEX_SALES!E:E)</f>
        <v>D) Domingo</v>
      </c>
      <c r="H227" s="14" t="str">
        <f>+TEXT(sales[[#This Row],[Fecha]],"ddd")</f>
        <v>dom</v>
      </c>
      <c r="I227" s="185">
        <f>+sales[[#This Row],[Venta]]-sales[[#This Row],[costo_venta]]</f>
        <v>1800</v>
      </c>
      <c r="J227" s="101">
        <f>[1]sales!K232</f>
        <v>3000</v>
      </c>
      <c r="K227" s="79">
        <f>[1]sales!I232</f>
        <v>3000</v>
      </c>
      <c r="L227" s="52">
        <f>[1]sales!J232</f>
        <v>0</v>
      </c>
      <c r="M227" s="1">
        <f>[1]sales!L232*sales[[#This Row],[cantidad]]</f>
        <v>1200</v>
      </c>
      <c r="N227" s="37">
        <f>+(sales[[#This Row],[Venta]]-sales[[#This Row],[costo_venta]])/sales[[#This Row],[Venta]]</f>
        <v>0.6</v>
      </c>
    </row>
    <row r="228" spans="1:14" x14ac:dyDescent="0.2">
      <c r="A228" s="14">
        <f>[1]sales!A233</f>
        <v>46089</v>
      </c>
      <c r="B228" s="188">
        <f>[1]sales!B233</f>
        <v>0.72372685185185182</v>
      </c>
      <c r="C228" s="184" t="s">
        <v>49</v>
      </c>
      <c r="D228" s="14" t="str">
        <f>[1]sales!D233</f>
        <v xml:space="preserve"> Chorizo con papa/arepa</v>
      </c>
      <c r="E228" s="3">
        <f>+[1]sales!G233</f>
        <v>1</v>
      </c>
      <c r="F228" s="195">
        <f>+_xlfn.XLOOKUP(sales[[#This Row],[Fecha]],OPEX_SALES!A:A,OPEX_SALES!B:B)</f>
        <v>2</v>
      </c>
      <c r="G228" s="14" t="str">
        <f>+_xlfn.XLOOKUP(sales[[#This Row],[Fecha]],OPEX_SALES!A:A,OPEX_SALES!E:E)</f>
        <v>D) Domingo</v>
      </c>
      <c r="H228" s="14" t="str">
        <f>+TEXT(sales[[#This Row],[Fecha]],"ddd")</f>
        <v>dom</v>
      </c>
      <c r="I228" s="185">
        <f>+sales[[#This Row],[Venta]]-sales[[#This Row],[costo_venta]]</f>
        <v>3660</v>
      </c>
      <c r="J228" s="101">
        <f>[1]sales!K233</f>
        <v>8000</v>
      </c>
      <c r="K228" s="79">
        <f>[1]sales!I233</f>
        <v>0</v>
      </c>
      <c r="L228" s="52">
        <f>[1]sales!J233</f>
        <v>8000</v>
      </c>
      <c r="M228" s="1">
        <f>[1]sales!L233*sales[[#This Row],[cantidad]]</f>
        <v>4340</v>
      </c>
      <c r="N228" s="37">
        <f>+(sales[[#This Row],[Venta]]-sales[[#This Row],[costo_venta]])/sales[[#This Row],[Venta]]</f>
        <v>0.45750000000000002</v>
      </c>
    </row>
    <row r="229" spans="1:14" x14ac:dyDescent="0.2">
      <c r="A229" s="14">
        <f>[1]sales!A234</f>
        <v>46089</v>
      </c>
      <c r="B229" s="188">
        <f>[1]sales!B234</f>
        <v>0.72736111111111112</v>
      </c>
      <c r="C229" s="184" t="s">
        <v>49</v>
      </c>
      <c r="D229" s="14" t="str">
        <f>[1]sales!D234</f>
        <v>BEBIDA - Botella de Agua</v>
      </c>
      <c r="E229" s="3">
        <f>+[1]sales!G234</f>
        <v>1</v>
      </c>
      <c r="F229" s="195">
        <f>+_xlfn.XLOOKUP(sales[[#This Row],[Fecha]],OPEX_SALES!A:A,OPEX_SALES!B:B)</f>
        <v>2</v>
      </c>
      <c r="G229" s="14" t="str">
        <f>+_xlfn.XLOOKUP(sales[[#This Row],[Fecha]],OPEX_SALES!A:A,OPEX_SALES!E:E)</f>
        <v>D) Domingo</v>
      </c>
      <c r="H229" s="14" t="str">
        <f>+TEXT(sales[[#This Row],[Fecha]],"ddd")</f>
        <v>dom</v>
      </c>
      <c r="I229" s="185">
        <f>+sales[[#This Row],[Venta]]-sales[[#This Row],[costo_venta]]</f>
        <v>2083.33</v>
      </c>
      <c r="J229" s="101">
        <f>[1]sales!K234</f>
        <v>3500</v>
      </c>
      <c r="K229" s="79">
        <f>[1]sales!I234</f>
        <v>0</v>
      </c>
      <c r="L229" s="52">
        <f>[1]sales!J234</f>
        <v>3500</v>
      </c>
      <c r="M229" s="1">
        <f>[1]sales!L234*sales[[#This Row],[cantidad]]</f>
        <v>1416.67</v>
      </c>
      <c r="N229" s="37">
        <f>+(sales[[#This Row],[Venta]]-sales[[#This Row],[costo_venta]])/sales[[#This Row],[Venta]]</f>
        <v>0.5952371428571428</v>
      </c>
    </row>
    <row r="230" spans="1:14" x14ac:dyDescent="0.2">
      <c r="A230" s="14">
        <f>[1]sales!A235</f>
        <v>46089</v>
      </c>
      <c r="B230" s="188">
        <f>[1]sales!B235</f>
        <v>0.75215277777777778</v>
      </c>
      <c r="C230" s="184" t="s">
        <v>49</v>
      </c>
      <c r="D230" s="14" t="str">
        <f>[1]sales!D235</f>
        <v xml:space="preserve"> Chorizo con papa/arepa</v>
      </c>
      <c r="E230" s="3">
        <f>+[1]sales!G235</f>
        <v>1</v>
      </c>
      <c r="F230" s="195">
        <f>+_xlfn.XLOOKUP(sales[[#This Row],[Fecha]],OPEX_SALES!A:A,OPEX_SALES!B:B)</f>
        <v>2</v>
      </c>
      <c r="G230" s="14" t="str">
        <f>+_xlfn.XLOOKUP(sales[[#This Row],[Fecha]],OPEX_SALES!A:A,OPEX_SALES!E:E)</f>
        <v>D) Domingo</v>
      </c>
      <c r="H230" s="14" t="str">
        <f>+TEXT(sales[[#This Row],[Fecha]],"ddd")</f>
        <v>dom</v>
      </c>
      <c r="I230" s="185">
        <f>+sales[[#This Row],[Venta]]-sales[[#This Row],[costo_venta]]</f>
        <v>3660</v>
      </c>
      <c r="J230" s="101">
        <f>[1]sales!K235</f>
        <v>8000</v>
      </c>
      <c r="K230" s="79">
        <f>[1]sales!I235</f>
        <v>8000</v>
      </c>
      <c r="L230" s="52">
        <f>[1]sales!J235</f>
        <v>0</v>
      </c>
      <c r="M230" s="1">
        <f>[1]sales!L235*sales[[#This Row],[cantidad]]</f>
        <v>4340</v>
      </c>
      <c r="N230" s="37">
        <f>+(sales[[#This Row],[Venta]]-sales[[#This Row],[costo_venta]])/sales[[#This Row],[Venta]]</f>
        <v>0.45750000000000002</v>
      </c>
    </row>
    <row r="231" spans="1:14" x14ac:dyDescent="0.2">
      <c r="A231" s="14">
        <f>[1]sales!A236</f>
        <v>46089</v>
      </c>
      <c r="B231" s="188">
        <f>[1]sales!B236</f>
        <v>0.75215277777777778</v>
      </c>
      <c r="C231" s="184" t="s">
        <v>49</v>
      </c>
      <c r="D231" s="14" t="str">
        <f>[1]sales!D236</f>
        <v>PROMO pedazo de carne</v>
      </c>
      <c r="E231" s="3">
        <f>+[1]sales!G236</f>
        <v>1</v>
      </c>
      <c r="F231" s="195">
        <f>+_xlfn.XLOOKUP(sales[[#This Row],[Fecha]],OPEX_SALES!A:A,OPEX_SALES!B:B)</f>
        <v>2</v>
      </c>
      <c r="G231" s="14" t="str">
        <f>+_xlfn.XLOOKUP(sales[[#This Row],[Fecha]],OPEX_SALES!A:A,OPEX_SALES!E:E)</f>
        <v>D) Domingo</v>
      </c>
      <c r="H231" s="14" t="str">
        <f>+TEXT(sales[[#This Row],[Fecha]],"ddd")</f>
        <v>dom</v>
      </c>
      <c r="I231" s="185">
        <f>+sales[[#This Row],[Venta]]-sales[[#This Row],[costo_venta]]</f>
        <v>-998000</v>
      </c>
      <c r="J231" s="101">
        <f>[1]sales!K236</f>
        <v>2000</v>
      </c>
      <c r="K231" s="79">
        <f>[1]sales!I236</f>
        <v>2000</v>
      </c>
      <c r="L231" s="52">
        <f>[1]sales!J236</f>
        <v>0</v>
      </c>
      <c r="M231" s="1">
        <f>[1]sales!L236*sales[[#This Row],[cantidad]]</f>
        <v>1000000</v>
      </c>
      <c r="N231" s="37">
        <f>+(sales[[#This Row],[Venta]]-sales[[#This Row],[costo_venta]])/sales[[#This Row],[Venta]]</f>
        <v>-499</v>
      </c>
    </row>
    <row r="232" spans="1:14" x14ac:dyDescent="0.2">
      <c r="A232" s="14">
        <f>[1]sales!A237</f>
        <v>46090</v>
      </c>
      <c r="B232" s="188">
        <f>[1]sales!B237</f>
        <v>0.66708333333333336</v>
      </c>
      <c r="C232" s="184" t="s">
        <v>49</v>
      </c>
      <c r="D232" s="14" t="str">
        <f>[1]sales!D237</f>
        <v>Bandeja Choriboni - 35</v>
      </c>
      <c r="E232" s="3">
        <f>+[1]sales!G237</f>
        <v>1</v>
      </c>
      <c r="F232" s="195">
        <f>+_xlfn.XLOOKUP(sales[[#This Row],[Fecha]],OPEX_SALES!A:A,OPEX_SALES!B:B)</f>
        <v>3</v>
      </c>
      <c r="G232" s="14" t="str">
        <f>+_xlfn.XLOOKUP(sales[[#This Row],[Fecha]],OPEX_SALES!A:A,OPEX_SALES!E:E)</f>
        <v>A) Día hábil</v>
      </c>
      <c r="H232" s="14" t="str">
        <f>+TEXT(sales[[#This Row],[Fecha]],"ddd")</f>
        <v>lun</v>
      </c>
      <c r="I232" s="185">
        <f>+sales[[#This Row],[Venta]]-sales[[#This Row],[costo_venta]]</f>
        <v>31500</v>
      </c>
      <c r="J232" s="101">
        <f>[1]sales!K237</f>
        <v>35000</v>
      </c>
      <c r="K232" s="79">
        <f>[1]sales!I237</f>
        <v>35000</v>
      </c>
      <c r="L232" s="52">
        <f>[1]sales!J237</f>
        <v>0</v>
      </c>
      <c r="M232" s="1">
        <f>[1]sales!L237*sales[[#This Row],[cantidad]]</f>
        <v>3500</v>
      </c>
      <c r="N232" s="37">
        <f>+(sales[[#This Row],[Venta]]-sales[[#This Row],[costo_venta]])/sales[[#This Row],[Venta]]</f>
        <v>0.9</v>
      </c>
    </row>
    <row r="233" spans="1:14" x14ac:dyDescent="0.2">
      <c r="A233" s="14">
        <f>[1]sales!A238</f>
        <v>46090</v>
      </c>
      <c r="B233" s="188">
        <f>[1]sales!B238</f>
        <v>0.66708333333333336</v>
      </c>
      <c r="C233" s="184" t="s">
        <v>49</v>
      </c>
      <c r="D233" s="14" t="str">
        <f>[1]sales!D238</f>
        <v>BEBIDA - Coca Cola</v>
      </c>
      <c r="E233" s="3">
        <f>+[1]sales!G238</f>
        <v>2</v>
      </c>
      <c r="F233" s="195">
        <f>+_xlfn.XLOOKUP(sales[[#This Row],[Fecha]],OPEX_SALES!A:A,OPEX_SALES!B:B)</f>
        <v>3</v>
      </c>
      <c r="G233" s="14" t="str">
        <f>+_xlfn.XLOOKUP(sales[[#This Row],[Fecha]],OPEX_SALES!A:A,OPEX_SALES!E:E)</f>
        <v>A) Día hábil</v>
      </c>
      <c r="H233" s="14" t="str">
        <f>+TEXT(sales[[#This Row],[Fecha]],"ddd")</f>
        <v>lun</v>
      </c>
      <c r="I233" s="185">
        <f>+sales[[#This Row],[Venta]]-sales[[#This Row],[costo_venta]]</f>
        <v>3600</v>
      </c>
      <c r="J233" s="101">
        <f>[1]sales!K238</f>
        <v>6000</v>
      </c>
      <c r="K233" s="79">
        <f>[1]sales!I238</f>
        <v>6000</v>
      </c>
      <c r="L233" s="52">
        <f>[1]sales!J238</f>
        <v>0</v>
      </c>
      <c r="M233" s="1">
        <f>[1]sales!L238*sales[[#This Row],[cantidad]]</f>
        <v>2400</v>
      </c>
      <c r="N233" s="37">
        <f>+(sales[[#This Row],[Venta]]-sales[[#This Row],[costo_venta]])/sales[[#This Row],[Venta]]</f>
        <v>0.6</v>
      </c>
    </row>
    <row r="234" spans="1:14" x14ac:dyDescent="0.2">
      <c r="A234" s="14">
        <f>[1]sales!A239</f>
        <v>46090</v>
      </c>
      <c r="B234" s="188">
        <f>[1]sales!B239</f>
        <v>0.66991898148148143</v>
      </c>
      <c r="C234" s="184" t="s">
        <v>49</v>
      </c>
      <c r="D234" s="14" t="str">
        <f>[1]sales!D239</f>
        <v xml:space="preserve"> Chorizo con papa/arepa</v>
      </c>
      <c r="E234" s="3">
        <f>+[1]sales!G239</f>
        <v>1</v>
      </c>
      <c r="F234" s="195">
        <f>+_xlfn.XLOOKUP(sales[[#This Row],[Fecha]],OPEX_SALES!A:A,OPEX_SALES!B:B)</f>
        <v>3</v>
      </c>
      <c r="G234" s="14" t="str">
        <f>+_xlfn.XLOOKUP(sales[[#This Row],[Fecha]],OPEX_SALES!A:A,OPEX_SALES!E:E)</f>
        <v>A) Día hábil</v>
      </c>
      <c r="H234" s="14" t="str">
        <f>+TEXT(sales[[#This Row],[Fecha]],"ddd")</f>
        <v>lun</v>
      </c>
      <c r="I234" s="185">
        <f>+sales[[#This Row],[Venta]]-sales[[#This Row],[costo_venta]]</f>
        <v>3660</v>
      </c>
      <c r="J234" s="101">
        <f>[1]sales!K239</f>
        <v>8000</v>
      </c>
      <c r="K234" s="79">
        <f>[1]sales!I239</f>
        <v>8000</v>
      </c>
      <c r="L234" s="52">
        <f>[1]sales!J239</f>
        <v>0</v>
      </c>
      <c r="M234" s="1">
        <f>[1]sales!L239*sales[[#This Row],[cantidad]]</f>
        <v>4340</v>
      </c>
      <c r="N234" s="37">
        <f>+(sales[[#This Row],[Venta]]-sales[[#This Row],[costo_venta]])/sales[[#This Row],[Venta]]</f>
        <v>0.45750000000000002</v>
      </c>
    </row>
    <row r="235" spans="1:14" x14ac:dyDescent="0.2">
      <c r="A235" s="14">
        <f>[1]sales!A240</f>
        <v>46090</v>
      </c>
      <c r="B235" s="188">
        <f>[1]sales!B240</f>
        <v>0.67082175925925924</v>
      </c>
      <c r="C235" s="184" t="s">
        <v>49</v>
      </c>
      <c r="D235" s="14" t="str">
        <f>[1]sales!D240</f>
        <v xml:space="preserve"> Chorizo con papa/arepa</v>
      </c>
      <c r="E235" s="3">
        <f>+[1]sales!G240</f>
        <v>2</v>
      </c>
      <c r="F235" s="195">
        <f>+_xlfn.XLOOKUP(sales[[#This Row],[Fecha]],OPEX_SALES!A:A,OPEX_SALES!B:B)</f>
        <v>3</v>
      </c>
      <c r="G235" s="14" t="str">
        <f>+_xlfn.XLOOKUP(sales[[#This Row],[Fecha]],OPEX_SALES!A:A,OPEX_SALES!E:E)</f>
        <v>A) Día hábil</v>
      </c>
      <c r="H235" s="14" t="str">
        <f>+TEXT(sales[[#This Row],[Fecha]],"ddd")</f>
        <v>lun</v>
      </c>
      <c r="I235" s="185">
        <f>+sales[[#This Row],[Venta]]-sales[[#This Row],[costo_venta]]</f>
        <v>7320</v>
      </c>
      <c r="J235" s="101">
        <f>[1]sales!K240</f>
        <v>16000</v>
      </c>
      <c r="K235" s="79">
        <f>[1]sales!I240</f>
        <v>16000</v>
      </c>
      <c r="L235" s="52">
        <f>[1]sales!J240</f>
        <v>0</v>
      </c>
      <c r="M235" s="1">
        <f>[1]sales!L240*sales[[#This Row],[cantidad]]</f>
        <v>8680</v>
      </c>
      <c r="N235" s="37">
        <f>+(sales[[#This Row],[Venta]]-sales[[#This Row],[costo_venta]])/sales[[#This Row],[Venta]]</f>
        <v>0.45750000000000002</v>
      </c>
    </row>
    <row r="236" spans="1:14" x14ac:dyDescent="0.2">
      <c r="A236" s="14">
        <f>[1]sales!A241</f>
        <v>46090</v>
      </c>
      <c r="B236" s="188">
        <f>[1]sales!B241</f>
        <v>0.67082175925925924</v>
      </c>
      <c r="C236" s="184" t="s">
        <v>49</v>
      </c>
      <c r="D236" s="14" t="str">
        <f>[1]sales!D241</f>
        <v>BEBIDA - Jugo Hit</v>
      </c>
      <c r="E236" s="3">
        <f>+[1]sales!G241</f>
        <v>1</v>
      </c>
      <c r="F236" s="195">
        <f>+_xlfn.XLOOKUP(sales[[#This Row],[Fecha]],OPEX_SALES!A:A,OPEX_SALES!B:B)</f>
        <v>3</v>
      </c>
      <c r="G236" s="14" t="str">
        <f>+_xlfn.XLOOKUP(sales[[#This Row],[Fecha]],OPEX_SALES!A:A,OPEX_SALES!E:E)</f>
        <v>A) Día hábil</v>
      </c>
      <c r="H236" s="14" t="str">
        <f>+TEXT(sales[[#This Row],[Fecha]],"ddd")</f>
        <v>lun</v>
      </c>
      <c r="I236" s="185">
        <f>+sales[[#This Row],[Venta]]-sales[[#This Row],[costo_venta]]</f>
        <v>2083.33</v>
      </c>
      <c r="J236" s="101">
        <f>[1]sales!K241</f>
        <v>4500</v>
      </c>
      <c r="K236" s="79">
        <f>[1]sales!I241</f>
        <v>4500</v>
      </c>
      <c r="L236" s="52">
        <f>[1]sales!J241</f>
        <v>0</v>
      </c>
      <c r="M236" s="1">
        <f>[1]sales!L241*sales[[#This Row],[cantidad]]</f>
        <v>2416.67</v>
      </c>
      <c r="N236" s="37">
        <f>+(sales[[#This Row],[Venta]]-sales[[#This Row],[costo_venta]])/sales[[#This Row],[Venta]]</f>
        <v>0.46296222222222222</v>
      </c>
    </row>
    <row r="237" spans="1:14" x14ac:dyDescent="0.2">
      <c r="A237" s="14">
        <f>[1]sales!A242</f>
        <v>46090</v>
      </c>
      <c r="B237" s="188">
        <f>[1]sales!B242</f>
        <v>0.67082175925925924</v>
      </c>
      <c r="C237" s="184" t="s">
        <v>49</v>
      </c>
      <c r="D237" s="14" t="str">
        <f>[1]sales!D242</f>
        <v>BEBIDA - Postobón</v>
      </c>
      <c r="E237" s="3">
        <f>+[1]sales!G242</f>
        <v>1</v>
      </c>
      <c r="F237" s="195">
        <f>+_xlfn.XLOOKUP(sales[[#This Row],[Fecha]],OPEX_SALES!A:A,OPEX_SALES!B:B)</f>
        <v>3</v>
      </c>
      <c r="G237" s="14" t="str">
        <f>+_xlfn.XLOOKUP(sales[[#This Row],[Fecha]],OPEX_SALES!A:A,OPEX_SALES!E:E)</f>
        <v>A) Día hábil</v>
      </c>
      <c r="H237" s="14" t="str">
        <f>+TEXT(sales[[#This Row],[Fecha]],"ddd")</f>
        <v>lun</v>
      </c>
      <c r="I237" s="185">
        <f>+sales[[#This Row],[Venta]]-sales[[#This Row],[costo_venta]]</f>
        <v>1866.67</v>
      </c>
      <c r="J237" s="101">
        <f>[1]sales!K242</f>
        <v>3000</v>
      </c>
      <c r="K237" s="79">
        <f>[1]sales!I242</f>
        <v>3000</v>
      </c>
      <c r="L237" s="52">
        <f>[1]sales!J242</f>
        <v>0</v>
      </c>
      <c r="M237" s="1">
        <f>[1]sales!L242*sales[[#This Row],[cantidad]]</f>
        <v>1133.33</v>
      </c>
      <c r="N237" s="37">
        <f>+(sales[[#This Row],[Venta]]-sales[[#This Row],[costo_venta]])/sales[[#This Row],[Venta]]</f>
        <v>0.62222333333333335</v>
      </c>
    </row>
    <row r="238" spans="1:14" x14ac:dyDescent="0.2">
      <c r="A238" s="14">
        <f>[1]sales!A243</f>
        <v>46090</v>
      </c>
      <c r="B238" s="188">
        <f>[1]sales!B243</f>
        <v>0.68744212962962958</v>
      </c>
      <c r="C238" s="184" t="s">
        <v>49</v>
      </c>
      <c r="D238" s="14" t="str">
        <f>[1]sales!D243</f>
        <v>Bandeja Choriboni - 35</v>
      </c>
      <c r="E238" s="3">
        <f>+[1]sales!G243</f>
        <v>2</v>
      </c>
      <c r="F238" s="195">
        <f>+_xlfn.XLOOKUP(sales[[#This Row],[Fecha]],OPEX_SALES!A:A,OPEX_SALES!B:B)</f>
        <v>3</v>
      </c>
      <c r="G238" s="14" t="str">
        <f>+_xlfn.XLOOKUP(sales[[#This Row],[Fecha]],OPEX_SALES!A:A,OPEX_SALES!E:E)</f>
        <v>A) Día hábil</v>
      </c>
      <c r="H238" s="14" t="str">
        <f>+TEXT(sales[[#This Row],[Fecha]],"ddd")</f>
        <v>lun</v>
      </c>
      <c r="I238" s="185">
        <f>+sales[[#This Row],[Venta]]-sales[[#This Row],[costo_venta]]</f>
        <v>63000</v>
      </c>
      <c r="J238" s="101">
        <f>[1]sales!K243</f>
        <v>70000</v>
      </c>
      <c r="K238" s="79">
        <f>[1]sales!I243</f>
        <v>70000</v>
      </c>
      <c r="L238" s="52">
        <f>[1]sales!J243</f>
        <v>0</v>
      </c>
      <c r="M238" s="1">
        <f>[1]sales!L243*sales[[#This Row],[cantidad]]</f>
        <v>7000</v>
      </c>
      <c r="N238" s="37">
        <f>+(sales[[#This Row],[Venta]]-sales[[#This Row],[costo_venta]])/sales[[#This Row],[Venta]]</f>
        <v>0.9</v>
      </c>
    </row>
    <row r="239" spans="1:14" x14ac:dyDescent="0.2">
      <c r="A239" s="14">
        <f>[1]sales!A244</f>
        <v>46090</v>
      </c>
      <c r="B239" s="188">
        <f>[1]sales!B244</f>
        <v>0.68744212962962958</v>
      </c>
      <c r="C239" s="184" t="s">
        <v>49</v>
      </c>
      <c r="D239" s="14" t="str">
        <f>[1]sales!D244</f>
        <v>BEBIDA - Coca Cola</v>
      </c>
      <c r="E239" s="3">
        <f>+[1]sales!G244</f>
        <v>1</v>
      </c>
      <c r="F239" s="195">
        <f>+_xlfn.XLOOKUP(sales[[#This Row],[Fecha]],OPEX_SALES!A:A,OPEX_SALES!B:B)</f>
        <v>3</v>
      </c>
      <c r="G239" s="14" t="str">
        <f>+_xlfn.XLOOKUP(sales[[#This Row],[Fecha]],OPEX_SALES!A:A,OPEX_SALES!E:E)</f>
        <v>A) Día hábil</v>
      </c>
      <c r="H239" s="14" t="str">
        <f>+TEXT(sales[[#This Row],[Fecha]],"ddd")</f>
        <v>lun</v>
      </c>
      <c r="I239" s="185">
        <f>+sales[[#This Row],[Venta]]-sales[[#This Row],[costo_venta]]</f>
        <v>1800</v>
      </c>
      <c r="J239" s="101">
        <f>[1]sales!K244</f>
        <v>3000</v>
      </c>
      <c r="K239" s="79">
        <f>[1]sales!I244</f>
        <v>3000</v>
      </c>
      <c r="L239" s="52">
        <f>[1]sales!J244</f>
        <v>0</v>
      </c>
      <c r="M239" s="1">
        <f>[1]sales!L244*sales[[#This Row],[cantidad]]</f>
        <v>1200</v>
      </c>
      <c r="N239" s="37">
        <f>+(sales[[#This Row],[Venta]]-sales[[#This Row],[costo_venta]])/sales[[#This Row],[Venta]]</f>
        <v>0.6</v>
      </c>
    </row>
    <row r="240" spans="1:14" x14ac:dyDescent="0.2">
      <c r="A240" s="14">
        <f>[1]sales!A245</f>
        <v>46090</v>
      </c>
      <c r="B240" s="188">
        <f>[1]sales!B245</f>
        <v>0.72614583333333338</v>
      </c>
      <c r="C240" s="184" t="s">
        <v>49</v>
      </c>
      <c r="D240" s="14" t="str">
        <f>[1]sales!D245</f>
        <v xml:space="preserve"> Chorizo con papa/arepa</v>
      </c>
      <c r="E240" s="3">
        <f>+[1]sales!G245</f>
        <v>2</v>
      </c>
      <c r="F240" s="195">
        <f>+_xlfn.XLOOKUP(sales[[#This Row],[Fecha]],OPEX_SALES!A:A,OPEX_SALES!B:B)</f>
        <v>3</v>
      </c>
      <c r="G240" s="14" t="str">
        <f>+_xlfn.XLOOKUP(sales[[#This Row],[Fecha]],OPEX_SALES!A:A,OPEX_SALES!E:E)</f>
        <v>A) Día hábil</v>
      </c>
      <c r="H240" s="14" t="str">
        <f>+TEXT(sales[[#This Row],[Fecha]],"ddd")</f>
        <v>lun</v>
      </c>
      <c r="I240" s="185">
        <f>+sales[[#This Row],[Venta]]-sales[[#This Row],[costo_venta]]</f>
        <v>7320</v>
      </c>
      <c r="J240" s="101">
        <f>[1]sales!K245</f>
        <v>16000</v>
      </c>
      <c r="K240" s="79">
        <f>[1]sales!I245</f>
        <v>16000</v>
      </c>
      <c r="L240" s="52">
        <f>[1]sales!J245</f>
        <v>0</v>
      </c>
      <c r="M240" s="1">
        <f>[1]sales!L245*sales[[#This Row],[cantidad]]</f>
        <v>8680</v>
      </c>
      <c r="N240" s="37">
        <f>+(sales[[#This Row],[Venta]]-sales[[#This Row],[costo_venta]])/sales[[#This Row],[Venta]]</f>
        <v>0.45750000000000002</v>
      </c>
    </row>
    <row r="241" spans="1:14" x14ac:dyDescent="0.2">
      <c r="A241" s="14">
        <f>[1]sales!A246</f>
        <v>46090</v>
      </c>
      <c r="B241" s="188">
        <f>[1]sales!B246</f>
        <v>0.74246527777777782</v>
      </c>
      <c r="C241" s="184" t="s">
        <v>49</v>
      </c>
      <c r="D241" s="14" t="str">
        <f>[1]sales!D246</f>
        <v>Bandeja Choriboni - 35</v>
      </c>
      <c r="E241" s="3">
        <f>+[1]sales!G246</f>
        <v>2</v>
      </c>
      <c r="F241" s="195">
        <f>+_xlfn.XLOOKUP(sales[[#This Row],[Fecha]],OPEX_SALES!A:A,OPEX_SALES!B:B)</f>
        <v>3</v>
      </c>
      <c r="G241" s="14" t="str">
        <f>+_xlfn.XLOOKUP(sales[[#This Row],[Fecha]],OPEX_SALES!A:A,OPEX_SALES!E:E)</f>
        <v>A) Día hábil</v>
      </c>
      <c r="H241" s="14" t="str">
        <f>+TEXT(sales[[#This Row],[Fecha]],"ddd")</f>
        <v>lun</v>
      </c>
      <c r="I241" s="185">
        <f>+sales[[#This Row],[Venta]]-sales[[#This Row],[costo_venta]]</f>
        <v>63000</v>
      </c>
      <c r="J241" s="101">
        <f>[1]sales!K246</f>
        <v>70000</v>
      </c>
      <c r="K241" s="79">
        <f>[1]sales!I246</f>
        <v>0</v>
      </c>
      <c r="L241" s="52">
        <f>[1]sales!J246</f>
        <v>70000</v>
      </c>
      <c r="M241" s="1">
        <f>[1]sales!L246*sales[[#This Row],[cantidad]]</f>
        <v>7000</v>
      </c>
      <c r="N241" s="37">
        <f>+(sales[[#This Row],[Venta]]-sales[[#This Row],[costo_venta]])/sales[[#This Row],[Venta]]</f>
        <v>0.9</v>
      </c>
    </row>
    <row r="242" spans="1:14" x14ac:dyDescent="0.2">
      <c r="A242" s="14">
        <f>[1]sales!A247</f>
        <v>46090</v>
      </c>
      <c r="B242" s="188">
        <f>[1]sales!B247</f>
        <v>0.74246527777777782</v>
      </c>
      <c r="C242" s="184" t="s">
        <v>49</v>
      </c>
      <c r="D242" s="14" t="str">
        <f>[1]sales!D247</f>
        <v>BEBIDA - Coca Cola</v>
      </c>
      <c r="E242" s="3">
        <f>+[1]sales!G247</f>
        <v>2</v>
      </c>
      <c r="F242" s="195">
        <f>+_xlfn.XLOOKUP(sales[[#This Row],[Fecha]],OPEX_SALES!A:A,OPEX_SALES!B:B)</f>
        <v>3</v>
      </c>
      <c r="G242" s="14" t="str">
        <f>+_xlfn.XLOOKUP(sales[[#This Row],[Fecha]],OPEX_SALES!A:A,OPEX_SALES!E:E)</f>
        <v>A) Día hábil</v>
      </c>
      <c r="H242" s="14" t="str">
        <f>+TEXT(sales[[#This Row],[Fecha]],"ddd")</f>
        <v>lun</v>
      </c>
      <c r="I242" s="185">
        <f>+sales[[#This Row],[Venta]]-sales[[#This Row],[costo_venta]]</f>
        <v>3600</v>
      </c>
      <c r="J242" s="101">
        <f>[1]sales!K247</f>
        <v>6000</v>
      </c>
      <c r="K242" s="79">
        <f>[1]sales!I247</f>
        <v>0</v>
      </c>
      <c r="L242" s="52">
        <f>[1]sales!J247</f>
        <v>6000</v>
      </c>
      <c r="M242" s="1">
        <f>[1]sales!L247*sales[[#This Row],[cantidad]]</f>
        <v>2400</v>
      </c>
      <c r="N242" s="37">
        <f>+(sales[[#This Row],[Venta]]-sales[[#This Row],[costo_venta]])/sales[[#This Row],[Venta]]</f>
        <v>0.6</v>
      </c>
    </row>
    <row r="243" spans="1:14" x14ac:dyDescent="0.2">
      <c r="A243" s="14">
        <f>[1]sales!A248</f>
        <v>46090</v>
      </c>
      <c r="B243" s="188">
        <f>[1]sales!B248</f>
        <v>0.78331018518518514</v>
      </c>
      <c r="C243" s="184" t="s">
        <v>49</v>
      </c>
      <c r="D243" s="14" t="str">
        <f>[1]sales!D248</f>
        <v xml:space="preserve"> Chorizo con papa/arepa</v>
      </c>
      <c r="E243" s="3">
        <f>+[1]sales!G248</f>
        <v>1</v>
      </c>
      <c r="F243" s="195">
        <f>+_xlfn.XLOOKUP(sales[[#This Row],[Fecha]],OPEX_SALES!A:A,OPEX_SALES!B:B)</f>
        <v>3</v>
      </c>
      <c r="G243" s="14" t="str">
        <f>+_xlfn.XLOOKUP(sales[[#This Row],[Fecha]],OPEX_SALES!A:A,OPEX_SALES!E:E)</f>
        <v>A) Día hábil</v>
      </c>
      <c r="H243" s="14" t="str">
        <f>+TEXT(sales[[#This Row],[Fecha]],"ddd")</f>
        <v>lun</v>
      </c>
      <c r="I243" s="185">
        <f>+sales[[#This Row],[Venta]]-sales[[#This Row],[costo_venta]]</f>
        <v>3660</v>
      </c>
      <c r="J243" s="101">
        <f>[1]sales!K248</f>
        <v>8000</v>
      </c>
      <c r="K243" s="79">
        <f>[1]sales!I248</f>
        <v>8000</v>
      </c>
      <c r="L243" s="52">
        <f>[1]sales!J248</f>
        <v>0</v>
      </c>
      <c r="M243" s="1">
        <f>[1]sales!L248*sales[[#This Row],[cantidad]]</f>
        <v>4340</v>
      </c>
      <c r="N243" s="37">
        <f>+(sales[[#This Row],[Venta]]-sales[[#This Row],[costo_venta]])/sales[[#This Row],[Venta]]</f>
        <v>0.45750000000000002</v>
      </c>
    </row>
    <row r="244" spans="1:14" x14ac:dyDescent="0.2">
      <c r="A244" s="14">
        <f>[1]sales!A249</f>
        <v>46090</v>
      </c>
      <c r="B244" s="188">
        <f>[1]sales!B249</f>
        <v>0.78331018518518514</v>
      </c>
      <c r="C244" s="184" t="s">
        <v>49</v>
      </c>
      <c r="D244" s="14" t="str">
        <f>[1]sales!D249</f>
        <v>BEBIDA - Coca Cola</v>
      </c>
      <c r="E244" s="3">
        <f>+[1]sales!G249</f>
        <v>1</v>
      </c>
      <c r="F244" s="195">
        <f>+_xlfn.XLOOKUP(sales[[#This Row],[Fecha]],OPEX_SALES!A:A,OPEX_SALES!B:B)</f>
        <v>3</v>
      </c>
      <c r="G244" s="14" t="str">
        <f>+_xlfn.XLOOKUP(sales[[#This Row],[Fecha]],OPEX_SALES!A:A,OPEX_SALES!E:E)</f>
        <v>A) Día hábil</v>
      </c>
      <c r="H244" s="14" t="str">
        <f>+TEXT(sales[[#This Row],[Fecha]],"ddd")</f>
        <v>lun</v>
      </c>
      <c r="I244" s="185">
        <f>+sales[[#This Row],[Venta]]-sales[[#This Row],[costo_venta]]</f>
        <v>1800</v>
      </c>
      <c r="J244" s="101">
        <f>[1]sales!K249</f>
        <v>3000</v>
      </c>
      <c r="K244" s="79">
        <f>[1]sales!I249</f>
        <v>3000</v>
      </c>
      <c r="L244" s="52">
        <f>[1]sales!J249</f>
        <v>0</v>
      </c>
      <c r="M244" s="1">
        <f>[1]sales!L249*sales[[#This Row],[cantidad]]</f>
        <v>1200</v>
      </c>
      <c r="N244" s="37">
        <f>+(sales[[#This Row],[Venta]]-sales[[#This Row],[costo_venta]])/sales[[#This Row],[Venta]]</f>
        <v>0.6</v>
      </c>
    </row>
    <row r="245" spans="1:14" x14ac:dyDescent="0.2">
      <c r="A245" s="14">
        <f>[1]sales!A250</f>
        <v>46091</v>
      </c>
      <c r="B245" s="188">
        <f>[1]sales!B250</f>
        <v>0.72864583333333333</v>
      </c>
      <c r="C245" s="184" t="s">
        <v>49</v>
      </c>
      <c r="D245" s="14" t="str">
        <f>[1]sales!D250</f>
        <v xml:space="preserve"> Chorizo con papa/arepa</v>
      </c>
      <c r="E245" s="3">
        <f>+[1]sales!G250</f>
        <v>1</v>
      </c>
      <c r="F245" s="195">
        <f>+_xlfn.XLOOKUP(sales[[#This Row],[Fecha]],OPEX_SALES!A:A,OPEX_SALES!B:B)</f>
        <v>3</v>
      </c>
      <c r="G245" s="14" t="str">
        <f>+_xlfn.XLOOKUP(sales[[#This Row],[Fecha]],OPEX_SALES!A:A,OPEX_SALES!E:E)</f>
        <v>A) Día hábil</v>
      </c>
      <c r="H245" s="14" t="str">
        <f>+TEXT(sales[[#This Row],[Fecha]],"ddd")</f>
        <v>mar</v>
      </c>
      <c r="I245" s="185">
        <f>+sales[[#This Row],[Venta]]-sales[[#This Row],[costo_venta]]</f>
        <v>3660</v>
      </c>
      <c r="J245" s="101">
        <f>[1]sales!K250</f>
        <v>8000</v>
      </c>
      <c r="K245" s="79">
        <f>[1]sales!I250</f>
        <v>0</v>
      </c>
      <c r="L245" s="52">
        <f>[1]sales!J250</f>
        <v>8000</v>
      </c>
      <c r="M245" s="1">
        <f>[1]sales!L250*sales[[#This Row],[cantidad]]</f>
        <v>4340</v>
      </c>
      <c r="N245" s="37">
        <f>+(sales[[#This Row],[Venta]]-sales[[#This Row],[costo_venta]])/sales[[#This Row],[Venta]]</f>
        <v>0.45750000000000002</v>
      </c>
    </row>
    <row r="246" spans="1:14" x14ac:dyDescent="0.2">
      <c r="A246" s="14">
        <f>[1]sales!A251</f>
        <v>46091</v>
      </c>
      <c r="B246" s="188">
        <f>[1]sales!B251</f>
        <v>0.72864583333333333</v>
      </c>
      <c r="C246" s="184" t="s">
        <v>49</v>
      </c>
      <c r="D246" s="14" t="str">
        <f>[1]sales!D251</f>
        <v>BEBIDA - Coca Cola</v>
      </c>
      <c r="E246" s="3">
        <f>+[1]sales!G251</f>
        <v>1</v>
      </c>
      <c r="F246" s="195">
        <f>+_xlfn.XLOOKUP(sales[[#This Row],[Fecha]],OPEX_SALES!A:A,OPEX_SALES!B:B)</f>
        <v>3</v>
      </c>
      <c r="G246" s="14" t="str">
        <f>+_xlfn.XLOOKUP(sales[[#This Row],[Fecha]],OPEX_SALES!A:A,OPEX_SALES!E:E)</f>
        <v>A) Día hábil</v>
      </c>
      <c r="H246" s="14" t="str">
        <f>+TEXT(sales[[#This Row],[Fecha]],"ddd")</f>
        <v>mar</v>
      </c>
      <c r="I246" s="185">
        <f>+sales[[#This Row],[Venta]]-sales[[#This Row],[costo_venta]]</f>
        <v>1800</v>
      </c>
      <c r="J246" s="101">
        <f>[1]sales!K251</f>
        <v>3000</v>
      </c>
      <c r="K246" s="79">
        <f>[1]sales!I251</f>
        <v>0</v>
      </c>
      <c r="L246" s="52">
        <f>[1]sales!J251</f>
        <v>3000</v>
      </c>
      <c r="M246" s="1">
        <f>[1]sales!L251*sales[[#This Row],[cantidad]]</f>
        <v>1200</v>
      </c>
      <c r="N246" s="37">
        <f>+(sales[[#This Row],[Venta]]-sales[[#This Row],[costo_venta]])/sales[[#This Row],[Venta]]</f>
        <v>0.6</v>
      </c>
    </row>
    <row r="247" spans="1:14" x14ac:dyDescent="0.2">
      <c r="A247" s="14">
        <f>[1]sales!A252</f>
        <v>46091</v>
      </c>
      <c r="B247" s="188">
        <f>[1]sales!B252</f>
        <v>0.72964120370370367</v>
      </c>
      <c r="C247" s="184" t="s">
        <v>49</v>
      </c>
      <c r="D247" s="14" t="str">
        <f>[1]sales!D252</f>
        <v xml:space="preserve"> Chorizo con papa/arepa</v>
      </c>
      <c r="E247" s="3">
        <f>+[1]sales!G252</f>
        <v>5</v>
      </c>
      <c r="F247" s="195">
        <f>+_xlfn.XLOOKUP(sales[[#This Row],[Fecha]],OPEX_SALES!A:A,OPEX_SALES!B:B)</f>
        <v>3</v>
      </c>
      <c r="G247" s="14" t="str">
        <f>+_xlfn.XLOOKUP(sales[[#This Row],[Fecha]],OPEX_SALES!A:A,OPEX_SALES!E:E)</f>
        <v>A) Día hábil</v>
      </c>
      <c r="H247" s="14" t="str">
        <f>+TEXT(sales[[#This Row],[Fecha]],"ddd")</f>
        <v>mar</v>
      </c>
      <c r="I247" s="185">
        <f>+sales[[#This Row],[Venta]]-sales[[#This Row],[costo_venta]]</f>
        <v>18300</v>
      </c>
      <c r="J247" s="101">
        <f>[1]sales!K252</f>
        <v>40000</v>
      </c>
      <c r="K247" s="79">
        <f>[1]sales!I252</f>
        <v>40000</v>
      </c>
      <c r="L247" s="52">
        <f>[1]sales!J252</f>
        <v>0</v>
      </c>
      <c r="M247" s="1">
        <f>[1]sales!L252*sales[[#This Row],[cantidad]]</f>
        <v>21700</v>
      </c>
      <c r="N247" s="37">
        <f>+(sales[[#This Row],[Venta]]-sales[[#This Row],[costo_venta]])/sales[[#This Row],[Venta]]</f>
        <v>0.45750000000000002</v>
      </c>
    </row>
    <row r="248" spans="1:14" x14ac:dyDescent="0.2">
      <c r="A248" s="14">
        <f>[1]sales!A253</f>
        <v>46091</v>
      </c>
      <c r="B248" s="188">
        <f>[1]sales!B253</f>
        <v>0.73003472222222221</v>
      </c>
      <c r="C248" s="184" t="s">
        <v>49</v>
      </c>
      <c r="D248" s="14" t="str">
        <f>[1]sales!D253</f>
        <v xml:space="preserve"> Chorizo con papa/arepa</v>
      </c>
      <c r="E248" s="3">
        <f>+[1]sales!G253</f>
        <v>1</v>
      </c>
      <c r="F248" s="195">
        <f>+_xlfn.XLOOKUP(sales[[#This Row],[Fecha]],OPEX_SALES!A:A,OPEX_SALES!B:B)</f>
        <v>3</v>
      </c>
      <c r="G248" s="14" t="str">
        <f>+_xlfn.XLOOKUP(sales[[#This Row],[Fecha]],OPEX_SALES!A:A,OPEX_SALES!E:E)</f>
        <v>A) Día hábil</v>
      </c>
      <c r="H248" s="14" t="str">
        <f>+TEXT(sales[[#This Row],[Fecha]],"ddd")</f>
        <v>mar</v>
      </c>
      <c r="I248" s="185">
        <f>+sales[[#This Row],[Venta]]-sales[[#This Row],[costo_venta]]</f>
        <v>3660</v>
      </c>
      <c r="J248" s="101">
        <f>[1]sales!K253</f>
        <v>8000</v>
      </c>
      <c r="K248" s="79">
        <f>[1]sales!I253</f>
        <v>8000</v>
      </c>
      <c r="L248" s="52">
        <f>[1]sales!J253</f>
        <v>0</v>
      </c>
      <c r="M248" s="1">
        <f>[1]sales!L253*sales[[#This Row],[cantidad]]</f>
        <v>4340</v>
      </c>
      <c r="N248" s="37">
        <f>+(sales[[#This Row],[Venta]]-sales[[#This Row],[costo_venta]])/sales[[#This Row],[Venta]]</f>
        <v>0.45750000000000002</v>
      </c>
    </row>
    <row r="249" spans="1:14" x14ac:dyDescent="0.2">
      <c r="A249" s="14">
        <f>[1]sales!A254</f>
        <v>46091</v>
      </c>
      <c r="B249" s="188">
        <f>[1]sales!B254</f>
        <v>0.73003472222222221</v>
      </c>
      <c r="C249" s="184" t="s">
        <v>49</v>
      </c>
      <c r="D249" s="14" t="str">
        <f>[1]sales!D254</f>
        <v>BEBIDA - Coca Cola</v>
      </c>
      <c r="E249" s="3">
        <f>+[1]sales!G254</f>
        <v>1</v>
      </c>
      <c r="F249" s="195">
        <f>+_xlfn.XLOOKUP(sales[[#This Row],[Fecha]],OPEX_SALES!A:A,OPEX_SALES!B:B)</f>
        <v>3</v>
      </c>
      <c r="G249" s="14" t="str">
        <f>+_xlfn.XLOOKUP(sales[[#This Row],[Fecha]],OPEX_SALES!A:A,OPEX_SALES!E:E)</f>
        <v>A) Día hábil</v>
      </c>
      <c r="H249" s="14" t="str">
        <f>+TEXT(sales[[#This Row],[Fecha]],"ddd")</f>
        <v>mar</v>
      </c>
      <c r="I249" s="185">
        <f>+sales[[#This Row],[Venta]]-sales[[#This Row],[costo_venta]]</f>
        <v>1800</v>
      </c>
      <c r="J249" s="101">
        <f>[1]sales!K254</f>
        <v>3000</v>
      </c>
      <c r="K249" s="79">
        <f>[1]sales!I254</f>
        <v>3000</v>
      </c>
      <c r="L249" s="52">
        <f>[1]sales!J254</f>
        <v>0</v>
      </c>
      <c r="M249" s="1">
        <f>[1]sales!L254*sales[[#This Row],[cantidad]]</f>
        <v>1200</v>
      </c>
      <c r="N249" s="37">
        <f>+(sales[[#This Row],[Venta]]-sales[[#This Row],[costo_venta]])/sales[[#This Row],[Venta]]</f>
        <v>0.6</v>
      </c>
    </row>
    <row r="250" spans="1:14" x14ac:dyDescent="0.2">
      <c r="A250" s="14">
        <f>[1]sales!A255</f>
        <v>46091</v>
      </c>
      <c r="B250" s="188">
        <f>[1]sales!B255</f>
        <v>0.82571759259259259</v>
      </c>
      <c r="C250" s="184" t="s">
        <v>49</v>
      </c>
      <c r="D250" s="14" t="str">
        <f>[1]sales!D255</f>
        <v xml:space="preserve"> Chorizo con papa/arepa</v>
      </c>
      <c r="E250" s="3">
        <f>+[1]sales!G255</f>
        <v>4</v>
      </c>
      <c r="F250" s="195">
        <f>+_xlfn.XLOOKUP(sales[[#This Row],[Fecha]],OPEX_SALES!A:A,OPEX_SALES!B:B)</f>
        <v>3</v>
      </c>
      <c r="G250" s="14" t="str">
        <f>+_xlfn.XLOOKUP(sales[[#This Row],[Fecha]],OPEX_SALES!A:A,OPEX_SALES!E:E)</f>
        <v>A) Día hábil</v>
      </c>
      <c r="H250" s="14" t="str">
        <f>+TEXT(sales[[#This Row],[Fecha]],"ddd")</f>
        <v>mar</v>
      </c>
      <c r="I250" s="185">
        <f>+sales[[#This Row],[Venta]]-sales[[#This Row],[costo_venta]]</f>
        <v>14640</v>
      </c>
      <c r="J250" s="101">
        <f>[1]sales!K255</f>
        <v>32000</v>
      </c>
      <c r="K250" s="79">
        <f>[1]sales!I255</f>
        <v>0</v>
      </c>
      <c r="L250" s="52">
        <f>[1]sales!J255</f>
        <v>32000</v>
      </c>
      <c r="M250" s="1">
        <f>[1]sales!L255*sales[[#This Row],[cantidad]]</f>
        <v>17360</v>
      </c>
      <c r="N250" s="37">
        <f>+(sales[[#This Row],[Venta]]-sales[[#This Row],[costo_venta]])/sales[[#This Row],[Venta]]</f>
        <v>0.45750000000000002</v>
      </c>
    </row>
    <row r="251" spans="1:14" x14ac:dyDescent="0.2">
      <c r="A251" s="14">
        <f>[1]sales!A256</f>
        <v>46092</v>
      </c>
      <c r="B251" s="188">
        <f>[1]sales!B256</f>
        <v>0.6121064814814815</v>
      </c>
      <c r="C251" s="184" t="s">
        <v>49</v>
      </c>
      <c r="D251" s="14" t="str">
        <f>[1]sales!D256</f>
        <v>Parrillada de 35</v>
      </c>
      <c r="E251" s="3">
        <f>+[1]sales!G256</f>
        <v>2</v>
      </c>
      <c r="F251" s="195">
        <f>+_xlfn.XLOOKUP(sales[[#This Row],[Fecha]],OPEX_SALES!A:A,OPEX_SALES!B:B)</f>
        <v>3</v>
      </c>
      <c r="G251" s="14" t="str">
        <f>+_xlfn.XLOOKUP(sales[[#This Row],[Fecha]],OPEX_SALES!A:A,OPEX_SALES!E:E)</f>
        <v>A) Día hábil</v>
      </c>
      <c r="H251" s="14" t="str">
        <f>+TEXT(sales[[#This Row],[Fecha]],"ddd")</f>
        <v>mié</v>
      </c>
      <c r="I251" s="185">
        <f>+sales[[#This Row],[Venta]]-sales[[#This Row],[costo_venta]]</f>
        <v>-1930000</v>
      </c>
      <c r="J251" s="101">
        <f>[1]sales!K256</f>
        <v>70000</v>
      </c>
      <c r="K251" s="79">
        <f>[1]sales!I256</f>
        <v>70000</v>
      </c>
      <c r="L251" s="52">
        <f>[1]sales!J256</f>
        <v>0</v>
      </c>
      <c r="M251" s="1">
        <f>[1]sales!L256*sales[[#This Row],[cantidad]]</f>
        <v>2000000</v>
      </c>
      <c r="N251" s="37">
        <f>+(sales[[#This Row],[Venta]]-sales[[#This Row],[costo_venta]])/sales[[#This Row],[Venta]]</f>
        <v>-27.571428571428573</v>
      </c>
    </row>
    <row r="252" spans="1:14" x14ac:dyDescent="0.2">
      <c r="A252" s="14">
        <f>[1]sales!A257</f>
        <v>46092</v>
      </c>
      <c r="B252" s="188">
        <f>[1]sales!B257</f>
        <v>0.61641203703703706</v>
      </c>
      <c r="C252" s="184" t="s">
        <v>49</v>
      </c>
      <c r="D252" s="14" t="str">
        <f>[1]sales!D257</f>
        <v>BEBIDA - Coca Cola</v>
      </c>
      <c r="E252" s="3">
        <f>+[1]sales!G257</f>
        <v>3</v>
      </c>
      <c r="F252" s="195">
        <f>+_xlfn.XLOOKUP(sales[[#This Row],[Fecha]],OPEX_SALES!A:A,OPEX_SALES!B:B)</f>
        <v>3</v>
      </c>
      <c r="G252" s="14" t="str">
        <f>+_xlfn.XLOOKUP(sales[[#This Row],[Fecha]],OPEX_SALES!A:A,OPEX_SALES!E:E)</f>
        <v>A) Día hábil</v>
      </c>
      <c r="H252" s="14" t="str">
        <f>+TEXT(sales[[#This Row],[Fecha]],"ddd")</f>
        <v>mié</v>
      </c>
      <c r="I252" s="185">
        <f>+sales[[#This Row],[Venta]]-sales[[#This Row],[costo_venta]]</f>
        <v>5400</v>
      </c>
      <c r="J252" s="101">
        <f>[1]sales!K257</f>
        <v>9000</v>
      </c>
      <c r="K252" s="79">
        <f>[1]sales!I257</f>
        <v>9000</v>
      </c>
      <c r="L252" s="52">
        <f>[1]sales!J257</f>
        <v>0</v>
      </c>
      <c r="M252" s="1">
        <f>[1]sales!L257*sales[[#This Row],[cantidad]]</f>
        <v>3600</v>
      </c>
      <c r="N252" s="37">
        <f>+(sales[[#This Row],[Venta]]-sales[[#This Row],[costo_venta]])/sales[[#This Row],[Venta]]</f>
        <v>0.6</v>
      </c>
    </row>
    <row r="253" spans="1:14" x14ac:dyDescent="0.2">
      <c r="A253" s="14">
        <f>[1]sales!A258</f>
        <v>46092</v>
      </c>
      <c r="B253" s="188">
        <f>[1]sales!B258</f>
        <v>0.61641203703703706</v>
      </c>
      <c r="C253" s="184" t="s">
        <v>49</v>
      </c>
      <c r="D253" s="14" t="str">
        <f>[1]sales!D258</f>
        <v>Parrillada de 30</v>
      </c>
      <c r="E253" s="3">
        <f>+[1]sales!G258</f>
        <v>1</v>
      </c>
      <c r="F253" s="195">
        <f>+_xlfn.XLOOKUP(sales[[#This Row],[Fecha]],OPEX_SALES!A:A,OPEX_SALES!B:B)</f>
        <v>3</v>
      </c>
      <c r="G253" s="14" t="str">
        <f>+_xlfn.XLOOKUP(sales[[#This Row],[Fecha]],OPEX_SALES!A:A,OPEX_SALES!E:E)</f>
        <v>A) Día hábil</v>
      </c>
      <c r="H253" s="14" t="str">
        <f>+TEXT(sales[[#This Row],[Fecha]],"ddd")</f>
        <v>mié</v>
      </c>
      <c r="I253" s="185">
        <f>+sales[[#This Row],[Venta]]-sales[[#This Row],[costo_venta]]</f>
        <v>-970000</v>
      </c>
      <c r="J253" s="101">
        <f>[1]sales!K258</f>
        <v>30000</v>
      </c>
      <c r="K253" s="79">
        <f>[1]sales!I258</f>
        <v>30000</v>
      </c>
      <c r="L253" s="52">
        <f>[1]sales!J258</f>
        <v>0</v>
      </c>
      <c r="M253" s="1">
        <f>[1]sales!L258*sales[[#This Row],[cantidad]]</f>
        <v>1000000</v>
      </c>
      <c r="N253" s="37">
        <f>+(sales[[#This Row],[Venta]]-sales[[#This Row],[costo_venta]])/sales[[#This Row],[Venta]]</f>
        <v>-32.333333333333336</v>
      </c>
    </row>
    <row r="254" spans="1:14" x14ac:dyDescent="0.2">
      <c r="A254" s="14">
        <f>[1]sales!A259</f>
        <v>46092</v>
      </c>
      <c r="B254" s="188">
        <f>[1]sales!B259</f>
        <v>0.61656250000000001</v>
      </c>
      <c r="C254" s="184" t="s">
        <v>49</v>
      </c>
      <c r="D254" s="14" t="str">
        <f>[1]sales!D259</f>
        <v xml:space="preserve"> Chorizo con papa/arepa</v>
      </c>
      <c r="E254" s="3">
        <f>+[1]sales!G259</f>
        <v>1</v>
      </c>
      <c r="F254" s="195">
        <f>+_xlfn.XLOOKUP(sales[[#This Row],[Fecha]],OPEX_SALES!A:A,OPEX_SALES!B:B)</f>
        <v>3</v>
      </c>
      <c r="G254" s="14" t="str">
        <f>+_xlfn.XLOOKUP(sales[[#This Row],[Fecha]],OPEX_SALES!A:A,OPEX_SALES!E:E)</f>
        <v>A) Día hábil</v>
      </c>
      <c r="H254" s="14" t="str">
        <f>+TEXT(sales[[#This Row],[Fecha]],"ddd")</f>
        <v>mié</v>
      </c>
      <c r="I254" s="185">
        <f>+sales[[#This Row],[Venta]]-sales[[#This Row],[costo_venta]]</f>
        <v>3660</v>
      </c>
      <c r="J254" s="101">
        <f>[1]sales!K259</f>
        <v>8000</v>
      </c>
      <c r="K254" s="79">
        <f>[1]sales!I259</f>
        <v>8000</v>
      </c>
      <c r="L254" s="52">
        <f>[1]sales!J259</f>
        <v>0</v>
      </c>
      <c r="M254" s="1">
        <f>[1]sales!L259*sales[[#This Row],[cantidad]]</f>
        <v>4340</v>
      </c>
      <c r="N254" s="37">
        <f>+(sales[[#This Row],[Venta]]-sales[[#This Row],[costo_venta]])/sales[[#This Row],[Venta]]</f>
        <v>0.45750000000000002</v>
      </c>
    </row>
    <row r="255" spans="1:14" x14ac:dyDescent="0.2">
      <c r="A255" s="14">
        <f>[1]sales!A260</f>
        <v>46092</v>
      </c>
      <c r="B255" s="188">
        <f>[1]sales!B260</f>
        <v>0.68093749999999997</v>
      </c>
      <c r="C255" s="184" t="s">
        <v>49</v>
      </c>
      <c r="D255" s="14" t="str">
        <f>[1]sales!D260</f>
        <v xml:space="preserve"> Chorizo con papa/arepa</v>
      </c>
      <c r="E255" s="3">
        <f>+[1]sales!G260</f>
        <v>3</v>
      </c>
      <c r="F255" s="195">
        <f>+_xlfn.XLOOKUP(sales[[#This Row],[Fecha]],OPEX_SALES!A:A,OPEX_SALES!B:B)</f>
        <v>3</v>
      </c>
      <c r="G255" s="14" t="str">
        <f>+_xlfn.XLOOKUP(sales[[#This Row],[Fecha]],OPEX_SALES!A:A,OPEX_SALES!E:E)</f>
        <v>A) Día hábil</v>
      </c>
      <c r="H255" s="14" t="str">
        <f>+TEXT(sales[[#This Row],[Fecha]],"ddd")</f>
        <v>mié</v>
      </c>
      <c r="I255" s="185">
        <f>+sales[[#This Row],[Venta]]-sales[[#This Row],[costo_venta]]</f>
        <v>10980</v>
      </c>
      <c r="J255" s="101">
        <f>[1]sales!K260</f>
        <v>24000</v>
      </c>
      <c r="K255" s="79">
        <f>[1]sales!I260</f>
        <v>24000</v>
      </c>
      <c r="L255" s="52">
        <f>[1]sales!J260</f>
        <v>0</v>
      </c>
      <c r="M255" s="1">
        <f>[1]sales!L260*sales[[#This Row],[cantidad]]</f>
        <v>13020</v>
      </c>
      <c r="N255" s="37">
        <f>+(sales[[#This Row],[Venta]]-sales[[#This Row],[costo_venta]])/sales[[#This Row],[Venta]]</f>
        <v>0.45750000000000002</v>
      </c>
    </row>
    <row r="256" spans="1:14" x14ac:dyDescent="0.2">
      <c r="A256" s="14">
        <f>[1]sales!A261</f>
        <v>46092</v>
      </c>
      <c r="B256" s="188">
        <f>[1]sales!B261</f>
        <v>0.68093749999999997</v>
      </c>
      <c r="C256" s="184" t="s">
        <v>49</v>
      </c>
      <c r="D256" s="14" t="str">
        <f>[1]sales!D261</f>
        <v>BEBIDA - Coca Cola</v>
      </c>
      <c r="E256" s="3">
        <f>+[1]sales!G261</f>
        <v>2</v>
      </c>
      <c r="F256" s="195">
        <f>+_xlfn.XLOOKUP(sales[[#This Row],[Fecha]],OPEX_SALES!A:A,OPEX_SALES!B:B)</f>
        <v>3</v>
      </c>
      <c r="G256" s="14" t="str">
        <f>+_xlfn.XLOOKUP(sales[[#This Row],[Fecha]],OPEX_SALES!A:A,OPEX_SALES!E:E)</f>
        <v>A) Día hábil</v>
      </c>
      <c r="H256" s="14" t="str">
        <f>+TEXT(sales[[#This Row],[Fecha]],"ddd")</f>
        <v>mié</v>
      </c>
      <c r="I256" s="185">
        <f>+sales[[#This Row],[Venta]]-sales[[#This Row],[costo_venta]]</f>
        <v>3600</v>
      </c>
      <c r="J256" s="101">
        <f>[1]sales!K261</f>
        <v>6000</v>
      </c>
      <c r="K256" s="79">
        <f>[1]sales!I261</f>
        <v>6000</v>
      </c>
      <c r="L256" s="52">
        <f>[1]sales!J261</f>
        <v>0</v>
      </c>
      <c r="M256" s="1">
        <f>[1]sales!L261*sales[[#This Row],[cantidad]]</f>
        <v>2400</v>
      </c>
      <c r="N256" s="37">
        <f>+(sales[[#This Row],[Venta]]-sales[[#This Row],[costo_venta]])/sales[[#This Row],[Venta]]</f>
        <v>0.6</v>
      </c>
    </row>
    <row r="257" spans="1:14" x14ac:dyDescent="0.2">
      <c r="A257" s="14">
        <f>[1]sales!A262</f>
        <v>46092</v>
      </c>
      <c r="B257" s="188">
        <f>[1]sales!B262</f>
        <v>0.69489583333333338</v>
      </c>
      <c r="C257" s="184" t="s">
        <v>49</v>
      </c>
      <c r="D257" s="14" t="str">
        <f>[1]sales!D262</f>
        <v xml:space="preserve"> Chorizo con papa/arepa</v>
      </c>
      <c r="E257" s="3">
        <f>+[1]sales!G262</f>
        <v>2</v>
      </c>
      <c r="F257" s="195">
        <f>+_xlfn.XLOOKUP(sales[[#This Row],[Fecha]],OPEX_SALES!A:A,OPEX_SALES!B:B)</f>
        <v>3</v>
      </c>
      <c r="G257" s="14" t="str">
        <f>+_xlfn.XLOOKUP(sales[[#This Row],[Fecha]],OPEX_SALES!A:A,OPEX_SALES!E:E)</f>
        <v>A) Día hábil</v>
      </c>
      <c r="H257" s="14" t="str">
        <f>+TEXT(sales[[#This Row],[Fecha]],"ddd")</f>
        <v>mié</v>
      </c>
      <c r="I257" s="185">
        <f>+sales[[#This Row],[Venta]]-sales[[#This Row],[costo_venta]]</f>
        <v>7320</v>
      </c>
      <c r="J257" s="101">
        <f>[1]sales!K262</f>
        <v>16000</v>
      </c>
      <c r="K257" s="79">
        <f>[1]sales!I262</f>
        <v>0</v>
      </c>
      <c r="L257" s="52">
        <f>[1]sales!J262</f>
        <v>16000</v>
      </c>
      <c r="M257" s="1">
        <f>[1]sales!L262*sales[[#This Row],[cantidad]]</f>
        <v>8680</v>
      </c>
      <c r="N257" s="37">
        <f>+(sales[[#This Row],[Venta]]-sales[[#This Row],[costo_venta]])/sales[[#This Row],[Venta]]</f>
        <v>0.45750000000000002</v>
      </c>
    </row>
    <row r="258" spans="1:14" x14ac:dyDescent="0.2">
      <c r="A258" s="14">
        <f>[1]sales!A263</f>
        <v>46092</v>
      </c>
      <c r="B258" s="188">
        <f>[1]sales!B263</f>
        <v>0.69489583333333338</v>
      </c>
      <c r="C258" s="184" t="s">
        <v>49</v>
      </c>
      <c r="D258" s="14" t="str">
        <f>[1]sales!D263</f>
        <v>BEBIDA - Coca Cola</v>
      </c>
      <c r="E258" s="3">
        <f>+[1]sales!G263</f>
        <v>2</v>
      </c>
      <c r="F258" s="195">
        <f>+_xlfn.XLOOKUP(sales[[#This Row],[Fecha]],OPEX_SALES!A:A,OPEX_SALES!B:B)</f>
        <v>3</v>
      </c>
      <c r="G258" s="14" t="str">
        <f>+_xlfn.XLOOKUP(sales[[#This Row],[Fecha]],OPEX_SALES!A:A,OPEX_SALES!E:E)</f>
        <v>A) Día hábil</v>
      </c>
      <c r="H258" s="14" t="str">
        <f>+TEXT(sales[[#This Row],[Fecha]],"ddd")</f>
        <v>mié</v>
      </c>
      <c r="I258" s="185">
        <f>+sales[[#This Row],[Venta]]-sales[[#This Row],[costo_venta]]</f>
        <v>3600</v>
      </c>
      <c r="J258" s="101">
        <f>[1]sales!K263</f>
        <v>6000</v>
      </c>
      <c r="K258" s="79">
        <f>[1]sales!I263</f>
        <v>0</v>
      </c>
      <c r="L258" s="52">
        <f>[1]sales!J263</f>
        <v>6000</v>
      </c>
      <c r="M258" s="1">
        <f>[1]sales!L263*sales[[#This Row],[cantidad]]</f>
        <v>2400</v>
      </c>
      <c r="N258" s="37">
        <f>+(sales[[#This Row],[Venta]]-sales[[#This Row],[costo_venta]])/sales[[#This Row],[Venta]]</f>
        <v>0.6</v>
      </c>
    </row>
    <row r="259" spans="1:14" x14ac:dyDescent="0.2">
      <c r="A259" s="14">
        <f>[1]sales!A264</f>
        <v>46092</v>
      </c>
      <c r="B259" s="188">
        <f>[1]sales!B264</f>
        <v>0.70828703703703699</v>
      </c>
      <c r="C259" s="184" t="s">
        <v>49</v>
      </c>
      <c r="D259" s="14" t="str">
        <f>[1]sales!D264</f>
        <v xml:space="preserve"> Chorizo con papa/arepa</v>
      </c>
      <c r="E259" s="3">
        <f>+[1]sales!G264</f>
        <v>3</v>
      </c>
      <c r="F259" s="195">
        <f>+_xlfn.XLOOKUP(sales[[#This Row],[Fecha]],OPEX_SALES!A:A,OPEX_SALES!B:B)</f>
        <v>3</v>
      </c>
      <c r="G259" s="14" t="str">
        <f>+_xlfn.XLOOKUP(sales[[#This Row],[Fecha]],OPEX_SALES!A:A,OPEX_SALES!E:E)</f>
        <v>A) Día hábil</v>
      </c>
      <c r="H259" s="14" t="str">
        <f>+TEXT(sales[[#This Row],[Fecha]],"ddd")</f>
        <v>mié</v>
      </c>
      <c r="I259" s="185">
        <f>+sales[[#This Row],[Venta]]-sales[[#This Row],[costo_venta]]</f>
        <v>10980</v>
      </c>
      <c r="J259" s="101">
        <f>[1]sales!K264</f>
        <v>24000</v>
      </c>
      <c r="K259" s="79">
        <f>[1]sales!I264</f>
        <v>24000</v>
      </c>
      <c r="L259" s="52">
        <f>[1]sales!J264</f>
        <v>0</v>
      </c>
      <c r="M259" s="1">
        <f>[1]sales!L264*sales[[#This Row],[cantidad]]</f>
        <v>13020</v>
      </c>
      <c r="N259" s="37">
        <f>+(sales[[#This Row],[Venta]]-sales[[#This Row],[costo_venta]])/sales[[#This Row],[Venta]]</f>
        <v>0.45750000000000002</v>
      </c>
    </row>
    <row r="260" spans="1:14" x14ac:dyDescent="0.2">
      <c r="A260" s="14">
        <f>[1]sales!A265</f>
        <v>46092</v>
      </c>
      <c r="B260" s="188">
        <f>[1]sales!B265</f>
        <v>0.70859953703703704</v>
      </c>
      <c r="C260" s="184" t="s">
        <v>49</v>
      </c>
      <c r="D260" s="14" t="str">
        <f>[1]sales!D265</f>
        <v xml:space="preserve"> Chorizo con papa/arepa</v>
      </c>
      <c r="E260" s="3">
        <f>+[1]sales!G265</f>
        <v>1</v>
      </c>
      <c r="F260" s="195">
        <f>+_xlfn.XLOOKUP(sales[[#This Row],[Fecha]],OPEX_SALES!A:A,OPEX_SALES!B:B)</f>
        <v>3</v>
      </c>
      <c r="G260" s="14" t="str">
        <f>+_xlfn.XLOOKUP(sales[[#This Row],[Fecha]],OPEX_SALES!A:A,OPEX_SALES!E:E)</f>
        <v>A) Día hábil</v>
      </c>
      <c r="H260" s="14" t="str">
        <f>+TEXT(sales[[#This Row],[Fecha]],"ddd")</f>
        <v>mié</v>
      </c>
      <c r="I260" s="185">
        <f>+sales[[#This Row],[Venta]]-sales[[#This Row],[costo_venta]]</f>
        <v>3660</v>
      </c>
      <c r="J260" s="101">
        <f>[1]sales!K265</f>
        <v>8000</v>
      </c>
      <c r="K260" s="79">
        <f>[1]sales!I265</f>
        <v>8000</v>
      </c>
      <c r="L260" s="52">
        <f>[1]sales!J265</f>
        <v>0</v>
      </c>
      <c r="M260" s="1">
        <f>[1]sales!L265*sales[[#This Row],[cantidad]]</f>
        <v>4340</v>
      </c>
      <c r="N260" s="37">
        <f>+(sales[[#This Row],[Venta]]-sales[[#This Row],[costo_venta]])/sales[[#This Row],[Venta]]</f>
        <v>0.45750000000000002</v>
      </c>
    </row>
    <row r="261" spans="1:14" x14ac:dyDescent="0.2">
      <c r="A261" s="14">
        <f>[1]sales!A266</f>
        <v>46092</v>
      </c>
      <c r="B261" s="188">
        <f>[1]sales!B266</f>
        <v>0.70859953703703704</v>
      </c>
      <c r="C261" s="184" t="s">
        <v>49</v>
      </c>
      <c r="D261" s="14" t="str">
        <f>[1]sales!D266</f>
        <v>BEBIDA - Coca Cola</v>
      </c>
      <c r="E261" s="3">
        <f>+[1]sales!G266</f>
        <v>1</v>
      </c>
      <c r="F261" s="195">
        <f>+_xlfn.XLOOKUP(sales[[#This Row],[Fecha]],OPEX_SALES!A:A,OPEX_SALES!B:B)</f>
        <v>3</v>
      </c>
      <c r="G261" s="14" t="str">
        <f>+_xlfn.XLOOKUP(sales[[#This Row],[Fecha]],OPEX_SALES!A:A,OPEX_SALES!E:E)</f>
        <v>A) Día hábil</v>
      </c>
      <c r="H261" s="14" t="str">
        <f>+TEXT(sales[[#This Row],[Fecha]],"ddd")</f>
        <v>mié</v>
      </c>
      <c r="I261" s="185">
        <f>+sales[[#This Row],[Venta]]-sales[[#This Row],[costo_venta]]</f>
        <v>1800</v>
      </c>
      <c r="J261" s="101">
        <f>[1]sales!K266</f>
        <v>3000</v>
      </c>
      <c r="K261" s="79">
        <f>[1]sales!I266</f>
        <v>3000</v>
      </c>
      <c r="L261" s="52">
        <f>[1]sales!J266</f>
        <v>0</v>
      </c>
      <c r="M261" s="1">
        <f>[1]sales!L266*sales[[#This Row],[cantidad]]</f>
        <v>1200</v>
      </c>
      <c r="N261" s="37">
        <f>+(sales[[#This Row],[Venta]]-sales[[#This Row],[costo_venta]])/sales[[#This Row],[Venta]]</f>
        <v>0.6</v>
      </c>
    </row>
    <row r="262" spans="1:14" x14ac:dyDescent="0.2">
      <c r="A262" s="14">
        <f>[1]sales!A267</f>
        <v>46092</v>
      </c>
      <c r="B262" s="188">
        <f>[1]sales!B267</f>
        <v>0.7418865740740741</v>
      </c>
      <c r="C262" s="184" t="s">
        <v>49</v>
      </c>
      <c r="D262" s="14" t="str">
        <f>[1]sales!D267</f>
        <v xml:space="preserve"> Chorizo con papa/arepa</v>
      </c>
      <c r="E262" s="3">
        <f>+[1]sales!G267</f>
        <v>2</v>
      </c>
      <c r="F262" s="195">
        <f>+_xlfn.XLOOKUP(sales[[#This Row],[Fecha]],OPEX_SALES!A:A,OPEX_SALES!B:B)</f>
        <v>3</v>
      </c>
      <c r="G262" s="14" t="str">
        <f>+_xlfn.XLOOKUP(sales[[#This Row],[Fecha]],OPEX_SALES!A:A,OPEX_SALES!E:E)</f>
        <v>A) Día hábil</v>
      </c>
      <c r="H262" s="14" t="str">
        <f>+TEXT(sales[[#This Row],[Fecha]],"ddd")</f>
        <v>mié</v>
      </c>
      <c r="I262" s="185">
        <f>+sales[[#This Row],[Venta]]-sales[[#This Row],[costo_venta]]</f>
        <v>7320</v>
      </c>
      <c r="J262" s="101">
        <f>[1]sales!K267</f>
        <v>16000</v>
      </c>
      <c r="K262" s="79">
        <f>[1]sales!I267</f>
        <v>0</v>
      </c>
      <c r="L262" s="52">
        <f>[1]sales!J267</f>
        <v>16000</v>
      </c>
      <c r="M262" s="1">
        <f>[1]sales!L267*sales[[#This Row],[cantidad]]</f>
        <v>8680</v>
      </c>
      <c r="N262" s="37">
        <f>+(sales[[#This Row],[Venta]]-sales[[#This Row],[costo_venta]])/sales[[#This Row],[Venta]]</f>
        <v>0.45750000000000002</v>
      </c>
    </row>
    <row r="263" spans="1:14" x14ac:dyDescent="0.2">
      <c r="A263" s="14">
        <f>[1]sales!A268</f>
        <v>46092</v>
      </c>
      <c r="B263" s="188">
        <f>[1]sales!B268</f>
        <v>0.7418865740740741</v>
      </c>
      <c r="C263" s="184" t="s">
        <v>49</v>
      </c>
      <c r="D263" s="14" t="str">
        <f>[1]sales!D268</f>
        <v>BEBIDA - Coca Cola</v>
      </c>
      <c r="E263" s="3">
        <f>+[1]sales!G268</f>
        <v>2</v>
      </c>
      <c r="F263" s="195">
        <f>+_xlfn.XLOOKUP(sales[[#This Row],[Fecha]],OPEX_SALES!A:A,OPEX_SALES!B:B)</f>
        <v>3</v>
      </c>
      <c r="G263" s="14" t="str">
        <f>+_xlfn.XLOOKUP(sales[[#This Row],[Fecha]],OPEX_SALES!A:A,OPEX_SALES!E:E)</f>
        <v>A) Día hábil</v>
      </c>
      <c r="H263" s="14" t="str">
        <f>+TEXT(sales[[#This Row],[Fecha]],"ddd")</f>
        <v>mié</v>
      </c>
      <c r="I263" s="185">
        <f>+sales[[#This Row],[Venta]]-sales[[#This Row],[costo_venta]]</f>
        <v>3600</v>
      </c>
      <c r="J263" s="101">
        <f>[1]sales!K268</f>
        <v>6000</v>
      </c>
      <c r="K263" s="79">
        <f>[1]sales!I268</f>
        <v>0</v>
      </c>
      <c r="L263" s="52">
        <f>[1]sales!J268</f>
        <v>6000</v>
      </c>
      <c r="M263" s="1">
        <f>[1]sales!L268*sales[[#This Row],[cantidad]]</f>
        <v>2400</v>
      </c>
      <c r="N263" s="37">
        <f>+(sales[[#This Row],[Venta]]-sales[[#This Row],[costo_venta]])/sales[[#This Row],[Venta]]</f>
        <v>0.6</v>
      </c>
    </row>
    <row r="264" spans="1:14" x14ac:dyDescent="0.2">
      <c r="A264" s="14">
        <f>[1]sales!A269</f>
        <v>46092</v>
      </c>
      <c r="B264" s="188">
        <f>[1]sales!B269</f>
        <v>0.7462037037037037</v>
      </c>
      <c r="C264" s="184" t="s">
        <v>49</v>
      </c>
      <c r="D264" s="14" t="str">
        <f>[1]sales!D269</f>
        <v xml:space="preserve"> Chorizo con papa/arepa</v>
      </c>
      <c r="E264" s="3">
        <f>+[1]sales!G269</f>
        <v>1</v>
      </c>
      <c r="F264" s="195">
        <f>+_xlfn.XLOOKUP(sales[[#This Row],[Fecha]],OPEX_SALES!A:A,OPEX_SALES!B:B)</f>
        <v>3</v>
      </c>
      <c r="G264" s="14" t="str">
        <f>+_xlfn.XLOOKUP(sales[[#This Row],[Fecha]],OPEX_SALES!A:A,OPEX_SALES!E:E)</f>
        <v>A) Día hábil</v>
      </c>
      <c r="H264" s="14" t="str">
        <f>+TEXT(sales[[#This Row],[Fecha]],"ddd")</f>
        <v>mié</v>
      </c>
      <c r="I264" s="185">
        <f>+sales[[#This Row],[Venta]]-sales[[#This Row],[costo_venta]]</f>
        <v>3660</v>
      </c>
      <c r="J264" s="101">
        <f>[1]sales!K269</f>
        <v>8000</v>
      </c>
      <c r="K264" s="79">
        <f>[1]sales!I269</f>
        <v>0</v>
      </c>
      <c r="L264" s="52">
        <f>[1]sales!J269</f>
        <v>8000</v>
      </c>
      <c r="M264" s="1">
        <f>[1]sales!L269*sales[[#This Row],[cantidad]]</f>
        <v>4340</v>
      </c>
      <c r="N264" s="37">
        <f>+(sales[[#This Row],[Venta]]-sales[[#This Row],[costo_venta]])/sales[[#This Row],[Venta]]</f>
        <v>0.45750000000000002</v>
      </c>
    </row>
    <row r="265" spans="1:14" x14ac:dyDescent="0.2">
      <c r="A265" s="14">
        <f>[1]sales!A270</f>
        <v>46092</v>
      </c>
      <c r="B265" s="188">
        <f>[1]sales!B270</f>
        <v>0.75146990740740738</v>
      </c>
      <c r="C265" s="184" t="s">
        <v>49</v>
      </c>
      <c r="D265" s="14" t="str">
        <f>[1]sales!D270</f>
        <v xml:space="preserve"> Chorizo con papa/arepa</v>
      </c>
      <c r="E265" s="3">
        <f>+[1]sales!G270</f>
        <v>1</v>
      </c>
      <c r="F265" s="195">
        <f>+_xlfn.XLOOKUP(sales[[#This Row],[Fecha]],OPEX_SALES!A:A,OPEX_SALES!B:B)</f>
        <v>3</v>
      </c>
      <c r="G265" s="14" t="str">
        <f>+_xlfn.XLOOKUP(sales[[#This Row],[Fecha]],OPEX_SALES!A:A,OPEX_SALES!E:E)</f>
        <v>A) Día hábil</v>
      </c>
      <c r="H265" s="14" t="str">
        <f>+TEXT(sales[[#This Row],[Fecha]],"ddd")</f>
        <v>mié</v>
      </c>
      <c r="I265" s="185">
        <f>+sales[[#This Row],[Venta]]-sales[[#This Row],[costo_venta]]</f>
        <v>3660</v>
      </c>
      <c r="J265" s="101">
        <f>[1]sales!K270</f>
        <v>8000</v>
      </c>
      <c r="K265" s="79">
        <f>[1]sales!I270</f>
        <v>8000</v>
      </c>
      <c r="L265" s="52">
        <f>[1]sales!J270</f>
        <v>0</v>
      </c>
      <c r="M265" s="1">
        <f>[1]sales!L270*sales[[#This Row],[cantidad]]</f>
        <v>4340</v>
      </c>
      <c r="N265" s="37">
        <f>+(sales[[#This Row],[Venta]]-sales[[#This Row],[costo_venta]])/sales[[#This Row],[Venta]]</f>
        <v>0.45750000000000002</v>
      </c>
    </row>
    <row r="266" spans="1:14" x14ac:dyDescent="0.2">
      <c r="A266" s="14">
        <f>[1]sales!A271</f>
        <v>46092</v>
      </c>
      <c r="B266" s="188">
        <f>[1]sales!B271</f>
        <v>0.75146990740740738</v>
      </c>
      <c r="C266" s="184" t="s">
        <v>49</v>
      </c>
      <c r="D266" s="14" t="str">
        <f>[1]sales!D271</f>
        <v>z. MP -  Chorizo CRUDO</v>
      </c>
      <c r="E266" s="3">
        <f>+[1]sales!G271</f>
        <v>3</v>
      </c>
      <c r="F266" s="195">
        <f>+_xlfn.XLOOKUP(sales[[#This Row],[Fecha]],OPEX_SALES!A:A,OPEX_SALES!B:B)</f>
        <v>3</v>
      </c>
      <c r="G266" s="14" t="str">
        <f>+_xlfn.XLOOKUP(sales[[#This Row],[Fecha]],OPEX_SALES!A:A,OPEX_SALES!E:E)</f>
        <v>A) Día hábil</v>
      </c>
      <c r="H266" s="14" t="str">
        <f>+TEXT(sales[[#This Row],[Fecha]],"ddd")</f>
        <v>mié</v>
      </c>
      <c r="I266" s="185">
        <f>+sales[[#This Row],[Venta]]-sales[[#This Row],[costo_venta]]</f>
        <v>3000</v>
      </c>
      <c r="J266" s="101">
        <f>[1]sales!K271</f>
        <v>13500</v>
      </c>
      <c r="K266" s="79">
        <f>[1]sales!I271</f>
        <v>13500</v>
      </c>
      <c r="L266" s="52">
        <f>[1]sales!J271</f>
        <v>0</v>
      </c>
      <c r="M266" s="1">
        <f>[1]sales!L271*sales[[#This Row],[cantidad]]</f>
        <v>10500</v>
      </c>
      <c r="N266" s="37">
        <f>+(sales[[#This Row],[Venta]]-sales[[#This Row],[costo_venta]])/sales[[#This Row],[Venta]]</f>
        <v>0.22222222222222221</v>
      </c>
    </row>
    <row r="267" spans="1:14" x14ac:dyDescent="0.2">
      <c r="A267" s="14">
        <f>[1]sales!A272</f>
        <v>46092</v>
      </c>
      <c r="B267" s="188">
        <f>[1]sales!B272</f>
        <v>0.75800925925925922</v>
      </c>
      <c r="C267" s="184" t="s">
        <v>49</v>
      </c>
      <c r="D267" s="14" t="str">
        <f>[1]sales!D272</f>
        <v xml:space="preserve"> Chorizo con papa/arepa</v>
      </c>
      <c r="E267" s="3">
        <f>+[1]sales!G272</f>
        <v>2</v>
      </c>
      <c r="F267" s="195">
        <f>+_xlfn.XLOOKUP(sales[[#This Row],[Fecha]],OPEX_SALES!A:A,OPEX_SALES!B:B)</f>
        <v>3</v>
      </c>
      <c r="G267" s="14" t="str">
        <f>+_xlfn.XLOOKUP(sales[[#This Row],[Fecha]],OPEX_SALES!A:A,OPEX_SALES!E:E)</f>
        <v>A) Día hábil</v>
      </c>
      <c r="H267" s="14" t="str">
        <f>+TEXT(sales[[#This Row],[Fecha]],"ddd")</f>
        <v>mié</v>
      </c>
      <c r="I267" s="185">
        <f>+sales[[#This Row],[Venta]]-sales[[#This Row],[costo_venta]]</f>
        <v>7320</v>
      </c>
      <c r="J267" s="101">
        <f>[1]sales!K272</f>
        <v>16000</v>
      </c>
      <c r="K267" s="79">
        <f>[1]sales!I272</f>
        <v>16000</v>
      </c>
      <c r="L267" s="52">
        <f>[1]sales!J272</f>
        <v>0</v>
      </c>
      <c r="M267" s="1">
        <f>[1]sales!L272*sales[[#This Row],[cantidad]]</f>
        <v>8680</v>
      </c>
      <c r="N267" s="37">
        <f>+(sales[[#This Row],[Venta]]-sales[[#This Row],[costo_venta]])/sales[[#This Row],[Venta]]</f>
        <v>0.45750000000000002</v>
      </c>
    </row>
    <row r="268" spans="1:14" x14ac:dyDescent="0.2">
      <c r="A268" s="14">
        <f>[1]sales!A273</f>
        <v>46092</v>
      </c>
      <c r="B268" s="188">
        <f>[1]sales!B273</f>
        <v>0.75800925925925922</v>
      </c>
      <c r="C268" s="184" t="s">
        <v>49</v>
      </c>
      <c r="D268" s="14" t="str">
        <f>[1]sales!D273</f>
        <v>BEBIDA - Coca Cola</v>
      </c>
      <c r="E268" s="3">
        <f>+[1]sales!G273</f>
        <v>1</v>
      </c>
      <c r="F268" s="195">
        <f>+_xlfn.XLOOKUP(sales[[#This Row],[Fecha]],OPEX_SALES!A:A,OPEX_SALES!B:B)</f>
        <v>3</v>
      </c>
      <c r="G268" s="14" t="str">
        <f>+_xlfn.XLOOKUP(sales[[#This Row],[Fecha]],OPEX_SALES!A:A,OPEX_SALES!E:E)</f>
        <v>A) Día hábil</v>
      </c>
      <c r="H268" s="14" t="str">
        <f>+TEXT(sales[[#This Row],[Fecha]],"ddd")</f>
        <v>mié</v>
      </c>
      <c r="I268" s="185">
        <f>+sales[[#This Row],[Venta]]-sales[[#This Row],[costo_venta]]</f>
        <v>1800</v>
      </c>
      <c r="J268" s="101">
        <f>[1]sales!K273</f>
        <v>3000</v>
      </c>
      <c r="K268" s="79">
        <f>[1]sales!I273</f>
        <v>3000</v>
      </c>
      <c r="L268" s="52">
        <f>[1]sales!J273</f>
        <v>0</v>
      </c>
      <c r="M268" s="1">
        <f>[1]sales!L273*sales[[#This Row],[cantidad]]</f>
        <v>1200</v>
      </c>
      <c r="N268" s="37">
        <f>+(sales[[#This Row],[Venta]]-sales[[#This Row],[costo_venta]])/sales[[#This Row],[Venta]]</f>
        <v>0.6</v>
      </c>
    </row>
    <row r="269" spans="1:14" x14ac:dyDescent="0.2">
      <c r="A269" s="14">
        <f>[1]sales!A274</f>
        <v>46092</v>
      </c>
      <c r="B269" s="188">
        <f>[1]sales!B274</f>
        <v>0.76033564814814814</v>
      </c>
      <c r="C269" s="184" t="s">
        <v>49</v>
      </c>
      <c r="D269" s="14" t="str">
        <f>[1]sales!D274</f>
        <v xml:space="preserve"> Chorizo con papa/arepa</v>
      </c>
      <c r="E269" s="3">
        <f>+[1]sales!G274</f>
        <v>4</v>
      </c>
      <c r="F269" s="195">
        <f>+_xlfn.XLOOKUP(sales[[#This Row],[Fecha]],OPEX_SALES!A:A,OPEX_SALES!B:B)</f>
        <v>3</v>
      </c>
      <c r="G269" s="14" t="str">
        <f>+_xlfn.XLOOKUP(sales[[#This Row],[Fecha]],OPEX_SALES!A:A,OPEX_SALES!E:E)</f>
        <v>A) Día hábil</v>
      </c>
      <c r="H269" s="14" t="str">
        <f>+TEXT(sales[[#This Row],[Fecha]],"ddd")</f>
        <v>mié</v>
      </c>
      <c r="I269" s="185">
        <f>+sales[[#This Row],[Venta]]-sales[[#This Row],[costo_venta]]</f>
        <v>14640</v>
      </c>
      <c r="J269" s="101">
        <f>[1]sales!K274</f>
        <v>32000</v>
      </c>
      <c r="K269" s="79">
        <f>[1]sales!I274</f>
        <v>0</v>
      </c>
      <c r="L269" s="52">
        <f>[1]sales!J274</f>
        <v>32000</v>
      </c>
      <c r="M269" s="1">
        <f>[1]sales!L274*sales[[#This Row],[cantidad]]</f>
        <v>17360</v>
      </c>
      <c r="N269" s="37">
        <f>+(sales[[#This Row],[Venta]]-sales[[#This Row],[costo_venta]])/sales[[#This Row],[Venta]]</f>
        <v>0.45750000000000002</v>
      </c>
    </row>
    <row r="270" spans="1:14" x14ac:dyDescent="0.2">
      <c r="A270" s="14">
        <f>[1]sales!A275</f>
        <v>46092</v>
      </c>
      <c r="B270" s="188">
        <f>[1]sales!B275</f>
        <v>0.76641203703703709</v>
      </c>
      <c r="C270" s="184" t="s">
        <v>49</v>
      </c>
      <c r="D270" s="14" t="str">
        <f>[1]sales!D275</f>
        <v xml:space="preserve"> Chorizo con papa/arepa</v>
      </c>
      <c r="E270" s="3">
        <f>+[1]sales!G275</f>
        <v>3</v>
      </c>
      <c r="F270" s="195">
        <f>+_xlfn.XLOOKUP(sales[[#This Row],[Fecha]],OPEX_SALES!A:A,OPEX_SALES!B:B)</f>
        <v>3</v>
      </c>
      <c r="G270" s="14" t="str">
        <f>+_xlfn.XLOOKUP(sales[[#This Row],[Fecha]],OPEX_SALES!A:A,OPEX_SALES!E:E)</f>
        <v>A) Día hábil</v>
      </c>
      <c r="H270" s="14" t="str">
        <f>+TEXT(sales[[#This Row],[Fecha]],"ddd")</f>
        <v>mié</v>
      </c>
      <c r="I270" s="185">
        <f>+sales[[#This Row],[Venta]]-sales[[#This Row],[costo_venta]]</f>
        <v>10980</v>
      </c>
      <c r="J270" s="101">
        <f>[1]sales!K275</f>
        <v>24000</v>
      </c>
      <c r="K270" s="79">
        <f>[1]sales!I275</f>
        <v>0</v>
      </c>
      <c r="L270" s="52">
        <f>[1]sales!J275</f>
        <v>24000</v>
      </c>
      <c r="M270" s="1">
        <f>[1]sales!L275*sales[[#This Row],[cantidad]]</f>
        <v>13020</v>
      </c>
      <c r="N270" s="37">
        <f>+(sales[[#This Row],[Venta]]-sales[[#This Row],[costo_venta]])/sales[[#This Row],[Venta]]</f>
        <v>0.45750000000000002</v>
      </c>
    </row>
    <row r="271" spans="1:14" x14ac:dyDescent="0.2">
      <c r="A271" s="14">
        <f>[1]sales!A276</f>
        <v>46092</v>
      </c>
      <c r="B271" s="188">
        <f>[1]sales!B276</f>
        <v>0.76652777777777781</v>
      </c>
      <c r="C271" s="184" t="s">
        <v>49</v>
      </c>
      <c r="D271" s="14" t="str">
        <f>[1]sales!D276</f>
        <v xml:space="preserve"> Chorizo con papa/arepa</v>
      </c>
      <c r="E271" s="3">
        <f>+[1]sales!G276</f>
        <v>1</v>
      </c>
      <c r="F271" s="195">
        <f>+_xlfn.XLOOKUP(sales[[#This Row],[Fecha]],OPEX_SALES!A:A,OPEX_SALES!B:B)</f>
        <v>3</v>
      </c>
      <c r="G271" s="14" t="str">
        <f>+_xlfn.XLOOKUP(sales[[#This Row],[Fecha]],OPEX_SALES!A:A,OPEX_SALES!E:E)</f>
        <v>A) Día hábil</v>
      </c>
      <c r="H271" s="14" t="str">
        <f>+TEXT(sales[[#This Row],[Fecha]],"ddd")</f>
        <v>mié</v>
      </c>
      <c r="I271" s="185">
        <f>+sales[[#This Row],[Venta]]-sales[[#This Row],[costo_venta]]</f>
        <v>3660</v>
      </c>
      <c r="J271" s="101">
        <f>[1]sales!K276</f>
        <v>8000</v>
      </c>
      <c r="K271" s="79">
        <f>[1]sales!I276</f>
        <v>8000</v>
      </c>
      <c r="L271" s="52">
        <f>[1]sales!J276</f>
        <v>0</v>
      </c>
      <c r="M271" s="1">
        <f>[1]sales!L276*sales[[#This Row],[cantidad]]</f>
        <v>4340</v>
      </c>
      <c r="N271" s="37">
        <f>+(sales[[#This Row],[Venta]]-sales[[#This Row],[costo_venta]])/sales[[#This Row],[Venta]]</f>
        <v>0.45750000000000002</v>
      </c>
    </row>
    <row r="272" spans="1:14" x14ac:dyDescent="0.2">
      <c r="A272" s="14">
        <f>[1]sales!A277</f>
        <v>46092</v>
      </c>
      <c r="B272" s="188">
        <f>[1]sales!B277</f>
        <v>0.76664351851851853</v>
      </c>
      <c r="C272" s="184" t="s">
        <v>49</v>
      </c>
      <c r="D272" s="14" t="str">
        <f>[1]sales!D277</f>
        <v xml:space="preserve"> Chorizo con papa/arepa</v>
      </c>
      <c r="E272" s="3">
        <f>+[1]sales!G277</f>
        <v>1</v>
      </c>
      <c r="F272" s="195">
        <f>+_xlfn.XLOOKUP(sales[[#This Row],[Fecha]],OPEX_SALES!A:A,OPEX_SALES!B:B)</f>
        <v>3</v>
      </c>
      <c r="G272" s="14" t="str">
        <f>+_xlfn.XLOOKUP(sales[[#This Row],[Fecha]],OPEX_SALES!A:A,OPEX_SALES!E:E)</f>
        <v>A) Día hábil</v>
      </c>
      <c r="H272" s="14" t="str">
        <f>+TEXT(sales[[#This Row],[Fecha]],"ddd")</f>
        <v>mié</v>
      </c>
      <c r="I272" s="185">
        <f>+sales[[#This Row],[Venta]]-sales[[#This Row],[costo_venta]]</f>
        <v>3660</v>
      </c>
      <c r="J272" s="101">
        <f>[1]sales!K277</f>
        <v>8000</v>
      </c>
      <c r="K272" s="79">
        <f>[1]sales!I277</f>
        <v>0</v>
      </c>
      <c r="L272" s="52">
        <f>[1]sales!J277</f>
        <v>8000</v>
      </c>
      <c r="M272" s="1">
        <f>[1]sales!L277*sales[[#This Row],[cantidad]]</f>
        <v>4340</v>
      </c>
      <c r="N272" s="37">
        <f>+(sales[[#This Row],[Venta]]-sales[[#This Row],[costo_venta]])/sales[[#This Row],[Venta]]</f>
        <v>0.45750000000000002</v>
      </c>
    </row>
    <row r="273" spans="1:14" x14ac:dyDescent="0.2">
      <c r="A273" s="14">
        <f>[1]sales!A278</f>
        <v>46092</v>
      </c>
      <c r="B273" s="188">
        <f>[1]sales!B278</f>
        <v>0.7713888888888889</v>
      </c>
      <c r="C273" s="184" t="s">
        <v>49</v>
      </c>
      <c r="D273" s="14" t="str">
        <f>[1]sales!D278</f>
        <v xml:space="preserve"> Chorizo con papa/arepa</v>
      </c>
      <c r="E273" s="3">
        <f>+[1]sales!G278</f>
        <v>4</v>
      </c>
      <c r="F273" s="195">
        <f>+_xlfn.XLOOKUP(sales[[#This Row],[Fecha]],OPEX_SALES!A:A,OPEX_SALES!B:B)</f>
        <v>3</v>
      </c>
      <c r="G273" s="14" t="str">
        <f>+_xlfn.XLOOKUP(sales[[#This Row],[Fecha]],OPEX_SALES!A:A,OPEX_SALES!E:E)</f>
        <v>A) Día hábil</v>
      </c>
      <c r="H273" s="14" t="str">
        <f>+TEXT(sales[[#This Row],[Fecha]],"ddd")</f>
        <v>mié</v>
      </c>
      <c r="I273" s="185">
        <f>+sales[[#This Row],[Venta]]-sales[[#This Row],[costo_venta]]</f>
        <v>14640</v>
      </c>
      <c r="J273" s="101">
        <f>[1]sales!K278</f>
        <v>32000</v>
      </c>
      <c r="K273" s="79">
        <f>[1]sales!I278</f>
        <v>32000</v>
      </c>
      <c r="L273" s="52">
        <f>[1]sales!J278</f>
        <v>0</v>
      </c>
      <c r="M273" s="1">
        <f>[1]sales!L278*sales[[#This Row],[cantidad]]</f>
        <v>17360</v>
      </c>
      <c r="N273" s="37">
        <f>+(sales[[#This Row],[Venta]]-sales[[#This Row],[costo_venta]])/sales[[#This Row],[Venta]]</f>
        <v>0.45750000000000002</v>
      </c>
    </row>
    <row r="274" spans="1:14" x14ac:dyDescent="0.2">
      <c r="A274" s="14">
        <f>[1]sales!A279</f>
        <v>46092</v>
      </c>
      <c r="B274" s="188">
        <f>[1]sales!B279</f>
        <v>0.77219907407407407</v>
      </c>
      <c r="C274" s="184" t="s">
        <v>49</v>
      </c>
      <c r="D274" s="14" t="str">
        <f>[1]sales!D279</f>
        <v xml:space="preserve"> Chorizo con papa/arepa</v>
      </c>
      <c r="E274" s="3">
        <f>+[1]sales!G279</f>
        <v>1</v>
      </c>
      <c r="F274" s="195">
        <f>+_xlfn.XLOOKUP(sales[[#This Row],[Fecha]],OPEX_SALES!A:A,OPEX_SALES!B:B)</f>
        <v>3</v>
      </c>
      <c r="G274" s="14" t="str">
        <f>+_xlfn.XLOOKUP(sales[[#This Row],[Fecha]],OPEX_SALES!A:A,OPEX_SALES!E:E)</f>
        <v>A) Día hábil</v>
      </c>
      <c r="H274" s="14" t="str">
        <f>+TEXT(sales[[#This Row],[Fecha]],"ddd")</f>
        <v>mié</v>
      </c>
      <c r="I274" s="185">
        <f>+sales[[#This Row],[Venta]]-sales[[#This Row],[costo_venta]]</f>
        <v>3660</v>
      </c>
      <c r="J274" s="101">
        <f>[1]sales!K279</f>
        <v>8000</v>
      </c>
      <c r="K274" s="79">
        <f>[1]sales!I279</f>
        <v>0</v>
      </c>
      <c r="L274" s="52">
        <f>[1]sales!J279</f>
        <v>8000</v>
      </c>
      <c r="M274" s="1">
        <f>[1]sales!L279*sales[[#This Row],[cantidad]]</f>
        <v>4340</v>
      </c>
      <c r="N274" s="37">
        <f>+(sales[[#This Row],[Venta]]-sales[[#This Row],[costo_venta]])/sales[[#This Row],[Venta]]</f>
        <v>0.45750000000000002</v>
      </c>
    </row>
    <row r="275" spans="1:14" x14ac:dyDescent="0.2">
      <c r="A275" s="14">
        <f>[1]sales!A280</f>
        <v>46092</v>
      </c>
      <c r="B275" s="188">
        <f>[1]sales!B280</f>
        <v>0.77287037037037032</v>
      </c>
      <c r="C275" s="184" t="s">
        <v>49</v>
      </c>
      <c r="D275" s="14" t="str">
        <f>[1]sales!D280</f>
        <v xml:space="preserve"> Chorizo con papa/arepa</v>
      </c>
      <c r="E275" s="3">
        <f>+[1]sales!G280</f>
        <v>1</v>
      </c>
      <c r="F275" s="195">
        <f>+_xlfn.XLOOKUP(sales[[#This Row],[Fecha]],OPEX_SALES!A:A,OPEX_SALES!B:B)</f>
        <v>3</v>
      </c>
      <c r="G275" s="14" t="str">
        <f>+_xlfn.XLOOKUP(sales[[#This Row],[Fecha]],OPEX_SALES!A:A,OPEX_SALES!E:E)</f>
        <v>A) Día hábil</v>
      </c>
      <c r="H275" s="14" t="str">
        <f>+TEXT(sales[[#This Row],[Fecha]],"ddd")</f>
        <v>mié</v>
      </c>
      <c r="I275" s="185">
        <f>+sales[[#This Row],[Venta]]-sales[[#This Row],[costo_venta]]</f>
        <v>3660</v>
      </c>
      <c r="J275" s="101">
        <f>[1]sales!K280</f>
        <v>8000</v>
      </c>
      <c r="K275" s="79">
        <f>[1]sales!I280</f>
        <v>8000</v>
      </c>
      <c r="L275" s="52">
        <f>[1]sales!J280</f>
        <v>0</v>
      </c>
      <c r="M275" s="1">
        <f>[1]sales!L280*sales[[#This Row],[cantidad]]</f>
        <v>4340</v>
      </c>
      <c r="N275" s="37">
        <f>+(sales[[#This Row],[Venta]]-sales[[#This Row],[costo_venta]])/sales[[#This Row],[Venta]]</f>
        <v>0.45750000000000002</v>
      </c>
    </row>
    <row r="276" spans="1:14" x14ac:dyDescent="0.2">
      <c r="A276" s="14">
        <f>[1]sales!A281</f>
        <v>46092</v>
      </c>
      <c r="B276" s="188">
        <f>[1]sales!B281</f>
        <v>0.77287037037037032</v>
      </c>
      <c r="C276" s="184" t="s">
        <v>49</v>
      </c>
      <c r="D276" s="14" t="str">
        <f>[1]sales!D281</f>
        <v>BEBIDA - Coca Cola</v>
      </c>
      <c r="E276" s="3">
        <f>+[1]sales!G281</f>
        <v>1</v>
      </c>
      <c r="F276" s="195">
        <f>+_xlfn.XLOOKUP(sales[[#This Row],[Fecha]],OPEX_SALES!A:A,OPEX_SALES!B:B)</f>
        <v>3</v>
      </c>
      <c r="G276" s="14" t="str">
        <f>+_xlfn.XLOOKUP(sales[[#This Row],[Fecha]],OPEX_SALES!A:A,OPEX_SALES!E:E)</f>
        <v>A) Día hábil</v>
      </c>
      <c r="H276" s="14" t="str">
        <f>+TEXT(sales[[#This Row],[Fecha]],"ddd")</f>
        <v>mié</v>
      </c>
      <c r="I276" s="185">
        <f>+sales[[#This Row],[Venta]]-sales[[#This Row],[costo_venta]]</f>
        <v>1800</v>
      </c>
      <c r="J276" s="101">
        <f>[1]sales!K281</f>
        <v>3000</v>
      </c>
      <c r="K276" s="79">
        <f>[1]sales!I281</f>
        <v>3000</v>
      </c>
      <c r="L276" s="52">
        <f>[1]sales!J281</f>
        <v>0</v>
      </c>
      <c r="M276" s="1">
        <f>[1]sales!L281*sales[[#This Row],[cantidad]]</f>
        <v>1200</v>
      </c>
      <c r="N276" s="37">
        <f>+(sales[[#This Row],[Venta]]-sales[[#This Row],[costo_venta]])/sales[[#This Row],[Venta]]</f>
        <v>0.6</v>
      </c>
    </row>
    <row r="277" spans="1:14" x14ac:dyDescent="0.2">
      <c r="A277" s="14">
        <f>[1]sales!A282</f>
        <v>46092</v>
      </c>
      <c r="B277" s="188">
        <f>[1]sales!B282</f>
        <v>0.7971759259259259</v>
      </c>
      <c r="C277" s="184" t="s">
        <v>49</v>
      </c>
      <c r="D277" s="14" t="str">
        <f>[1]sales!D282</f>
        <v xml:space="preserve"> Chorizo con papa/arepa</v>
      </c>
      <c r="E277" s="3">
        <f>+[1]sales!G282</f>
        <v>1</v>
      </c>
      <c r="F277" s="195">
        <f>+_xlfn.XLOOKUP(sales[[#This Row],[Fecha]],OPEX_SALES!A:A,OPEX_SALES!B:B)</f>
        <v>3</v>
      </c>
      <c r="G277" s="14" t="str">
        <f>+_xlfn.XLOOKUP(sales[[#This Row],[Fecha]],OPEX_SALES!A:A,OPEX_SALES!E:E)</f>
        <v>A) Día hábil</v>
      </c>
      <c r="H277" s="14" t="str">
        <f>+TEXT(sales[[#This Row],[Fecha]],"ddd")</f>
        <v>mié</v>
      </c>
      <c r="I277" s="185">
        <f>+sales[[#This Row],[Venta]]-sales[[#This Row],[costo_venta]]</f>
        <v>3660</v>
      </c>
      <c r="J277" s="101">
        <f>[1]sales!K282</f>
        <v>8000</v>
      </c>
      <c r="K277" s="79">
        <f>[1]sales!I282</f>
        <v>8000</v>
      </c>
      <c r="L277" s="52">
        <f>[1]sales!J282</f>
        <v>0</v>
      </c>
      <c r="M277" s="1">
        <f>[1]sales!L282*sales[[#This Row],[cantidad]]</f>
        <v>4340</v>
      </c>
      <c r="N277" s="37">
        <f>+(sales[[#This Row],[Venta]]-sales[[#This Row],[costo_venta]])/sales[[#This Row],[Venta]]</f>
        <v>0.45750000000000002</v>
      </c>
    </row>
    <row r="278" spans="1:14" x14ac:dyDescent="0.2">
      <c r="A278" s="14">
        <f>[1]sales!A283</f>
        <v>46092</v>
      </c>
      <c r="B278" s="188">
        <f>[1]sales!B283</f>
        <v>0.80481481481481476</v>
      </c>
      <c r="C278" s="184" t="s">
        <v>49</v>
      </c>
      <c r="D278" s="14" t="str">
        <f>[1]sales!D283</f>
        <v xml:space="preserve"> Chorizo con papa/arepa</v>
      </c>
      <c r="E278" s="3">
        <f>+[1]sales!G283</f>
        <v>1</v>
      </c>
      <c r="F278" s="195">
        <f>+_xlfn.XLOOKUP(sales[[#This Row],[Fecha]],OPEX_SALES!A:A,OPEX_SALES!B:B)</f>
        <v>3</v>
      </c>
      <c r="G278" s="14" t="str">
        <f>+_xlfn.XLOOKUP(sales[[#This Row],[Fecha]],OPEX_SALES!A:A,OPEX_SALES!E:E)</f>
        <v>A) Día hábil</v>
      </c>
      <c r="H278" s="14" t="str">
        <f>+TEXT(sales[[#This Row],[Fecha]],"ddd")</f>
        <v>mié</v>
      </c>
      <c r="I278" s="185">
        <f>+sales[[#This Row],[Venta]]-sales[[#This Row],[costo_venta]]</f>
        <v>3660</v>
      </c>
      <c r="J278" s="101">
        <f>[1]sales!K283</f>
        <v>8000</v>
      </c>
      <c r="K278" s="79">
        <f>[1]sales!I283</f>
        <v>8000</v>
      </c>
      <c r="L278" s="52">
        <f>[1]sales!J283</f>
        <v>0</v>
      </c>
      <c r="M278" s="1">
        <f>[1]sales!L283*sales[[#This Row],[cantidad]]</f>
        <v>4340</v>
      </c>
      <c r="N278" s="37">
        <f>+(sales[[#This Row],[Venta]]-sales[[#This Row],[costo_venta]])/sales[[#This Row],[Venta]]</f>
        <v>0.45750000000000002</v>
      </c>
    </row>
    <row r="279" spans="1:14" x14ac:dyDescent="0.2">
      <c r="A279" s="14">
        <f>[1]sales!A284</f>
        <v>46092</v>
      </c>
      <c r="B279" s="188">
        <f>[1]sales!B284</f>
        <v>0.81021990740740746</v>
      </c>
      <c r="C279" s="184" t="s">
        <v>49</v>
      </c>
      <c r="D279" s="14" t="str">
        <f>[1]sales!D284</f>
        <v xml:space="preserve"> Chorizo con papa/arepa</v>
      </c>
      <c r="E279" s="3">
        <f>+[1]sales!G284</f>
        <v>1</v>
      </c>
      <c r="F279" s="195">
        <f>+_xlfn.XLOOKUP(sales[[#This Row],[Fecha]],OPEX_SALES!A:A,OPEX_SALES!B:B)</f>
        <v>3</v>
      </c>
      <c r="G279" s="14" t="str">
        <f>+_xlfn.XLOOKUP(sales[[#This Row],[Fecha]],OPEX_SALES!A:A,OPEX_SALES!E:E)</f>
        <v>A) Día hábil</v>
      </c>
      <c r="H279" s="14" t="str">
        <f>+TEXT(sales[[#This Row],[Fecha]],"ddd")</f>
        <v>mié</v>
      </c>
      <c r="I279" s="185">
        <f>+sales[[#This Row],[Venta]]-sales[[#This Row],[costo_venta]]</f>
        <v>3660</v>
      </c>
      <c r="J279" s="101">
        <f>[1]sales!K284</f>
        <v>8000</v>
      </c>
      <c r="K279" s="79">
        <f>[1]sales!I284</f>
        <v>8000</v>
      </c>
      <c r="L279" s="52">
        <f>[1]sales!J284</f>
        <v>0</v>
      </c>
      <c r="M279" s="1">
        <f>[1]sales!L284*sales[[#This Row],[cantidad]]</f>
        <v>4340</v>
      </c>
      <c r="N279" s="37">
        <f>+(sales[[#This Row],[Venta]]-sales[[#This Row],[costo_venta]])/sales[[#This Row],[Venta]]</f>
        <v>0.45750000000000002</v>
      </c>
    </row>
    <row r="280" spans="1:14" x14ac:dyDescent="0.2">
      <c r="A280" s="14">
        <f>[1]sales!A285</f>
        <v>46092</v>
      </c>
      <c r="B280" s="188">
        <f>[1]sales!B285</f>
        <v>0.81021990740740746</v>
      </c>
      <c r="C280" s="184" t="s">
        <v>49</v>
      </c>
      <c r="D280" s="14" t="str">
        <f>[1]sales!D285</f>
        <v>BEBIDA - Coca Cola</v>
      </c>
      <c r="E280" s="3">
        <f>+[1]sales!G285</f>
        <v>1</v>
      </c>
      <c r="F280" s="195">
        <f>+_xlfn.XLOOKUP(sales[[#This Row],[Fecha]],OPEX_SALES!A:A,OPEX_SALES!B:B)</f>
        <v>3</v>
      </c>
      <c r="G280" s="14" t="str">
        <f>+_xlfn.XLOOKUP(sales[[#This Row],[Fecha]],OPEX_SALES!A:A,OPEX_SALES!E:E)</f>
        <v>A) Día hábil</v>
      </c>
      <c r="H280" s="14" t="str">
        <f>+TEXT(sales[[#This Row],[Fecha]],"ddd")</f>
        <v>mié</v>
      </c>
      <c r="I280" s="185">
        <f>+sales[[#This Row],[Venta]]-sales[[#This Row],[costo_venta]]</f>
        <v>1800</v>
      </c>
      <c r="J280" s="101">
        <f>[1]sales!K285</f>
        <v>3000</v>
      </c>
      <c r="K280" s="79">
        <f>[1]sales!I285</f>
        <v>3000</v>
      </c>
      <c r="L280" s="52">
        <f>[1]sales!J285</f>
        <v>0</v>
      </c>
      <c r="M280" s="1">
        <f>[1]sales!L285*sales[[#This Row],[cantidad]]</f>
        <v>1200</v>
      </c>
      <c r="N280" s="37">
        <f>+(sales[[#This Row],[Venta]]-sales[[#This Row],[costo_venta]])/sales[[#This Row],[Venta]]</f>
        <v>0.6</v>
      </c>
    </row>
    <row r="281" spans="1:14" x14ac:dyDescent="0.2">
      <c r="A281" s="14">
        <f>[1]sales!A286</f>
        <v>46092</v>
      </c>
      <c r="B281" s="188">
        <f>[1]sales!B286</f>
        <v>0.8158333333333333</v>
      </c>
      <c r="C281" s="184" t="s">
        <v>49</v>
      </c>
      <c r="D281" s="14" t="str">
        <f>[1]sales!D286</f>
        <v xml:space="preserve"> Chorizo con papa/arepa</v>
      </c>
      <c r="E281" s="3">
        <f>+[1]sales!G286</f>
        <v>2</v>
      </c>
      <c r="F281" s="195">
        <f>+_xlfn.XLOOKUP(sales[[#This Row],[Fecha]],OPEX_SALES!A:A,OPEX_SALES!B:B)</f>
        <v>3</v>
      </c>
      <c r="G281" s="14" t="str">
        <f>+_xlfn.XLOOKUP(sales[[#This Row],[Fecha]],OPEX_SALES!A:A,OPEX_SALES!E:E)</f>
        <v>A) Día hábil</v>
      </c>
      <c r="H281" s="14" t="str">
        <f>+TEXT(sales[[#This Row],[Fecha]],"ddd")</f>
        <v>mié</v>
      </c>
      <c r="I281" s="185">
        <f>+sales[[#This Row],[Venta]]-sales[[#This Row],[costo_venta]]</f>
        <v>7320</v>
      </c>
      <c r="J281" s="101">
        <f>[1]sales!K286</f>
        <v>16000</v>
      </c>
      <c r="K281" s="79">
        <f>[1]sales!I286</f>
        <v>16000</v>
      </c>
      <c r="L281" s="52">
        <f>[1]sales!J286</f>
        <v>0</v>
      </c>
      <c r="M281" s="1">
        <f>[1]sales!L286*sales[[#This Row],[cantidad]]</f>
        <v>8680</v>
      </c>
      <c r="N281" s="37">
        <f>+(sales[[#This Row],[Venta]]-sales[[#This Row],[costo_venta]])/sales[[#This Row],[Venta]]</f>
        <v>0.45750000000000002</v>
      </c>
    </row>
    <row r="282" spans="1:14" x14ac:dyDescent="0.2">
      <c r="A282" s="14">
        <f>[1]sales!A287</f>
        <v>46092</v>
      </c>
      <c r="B282" s="188">
        <f>[1]sales!B287</f>
        <v>0.8158333333333333</v>
      </c>
      <c r="C282" s="184" t="s">
        <v>49</v>
      </c>
      <c r="D282" s="14" t="str">
        <f>[1]sales!D287</f>
        <v>BEBIDA - Postobón</v>
      </c>
      <c r="E282" s="3">
        <f>+[1]sales!G287</f>
        <v>2</v>
      </c>
      <c r="F282" s="195">
        <f>+_xlfn.XLOOKUP(sales[[#This Row],[Fecha]],OPEX_SALES!A:A,OPEX_SALES!B:B)</f>
        <v>3</v>
      </c>
      <c r="G282" s="14" t="str">
        <f>+_xlfn.XLOOKUP(sales[[#This Row],[Fecha]],OPEX_SALES!A:A,OPEX_SALES!E:E)</f>
        <v>A) Día hábil</v>
      </c>
      <c r="H282" s="14" t="str">
        <f>+TEXT(sales[[#This Row],[Fecha]],"ddd")</f>
        <v>mié</v>
      </c>
      <c r="I282" s="185">
        <f>+sales[[#This Row],[Venta]]-sales[[#This Row],[costo_venta]]</f>
        <v>3733.34</v>
      </c>
      <c r="J282" s="101">
        <f>[1]sales!K287</f>
        <v>6000</v>
      </c>
      <c r="K282" s="79">
        <f>[1]sales!I287</f>
        <v>6000</v>
      </c>
      <c r="L282" s="52">
        <f>[1]sales!J287</f>
        <v>0</v>
      </c>
      <c r="M282" s="1">
        <f>[1]sales!L287*sales[[#This Row],[cantidad]]</f>
        <v>2266.66</v>
      </c>
      <c r="N282" s="37">
        <f>+(sales[[#This Row],[Venta]]-sales[[#This Row],[costo_venta]])/sales[[#This Row],[Venta]]</f>
        <v>0.62222333333333335</v>
      </c>
    </row>
    <row r="283" spans="1:14" x14ac:dyDescent="0.2">
      <c r="A283" s="14">
        <f>[1]sales!A288</f>
        <v>46092</v>
      </c>
      <c r="B283" s="188">
        <f>[1]sales!B288</f>
        <v>0.81793981481481481</v>
      </c>
      <c r="C283" s="184" t="s">
        <v>49</v>
      </c>
      <c r="D283" s="14" t="str">
        <f>[1]sales!D288</f>
        <v xml:space="preserve"> Chorizo con papa/arepa</v>
      </c>
      <c r="E283" s="3">
        <f>+[1]sales!G288</f>
        <v>1</v>
      </c>
      <c r="F283" s="195">
        <f>+_xlfn.XLOOKUP(sales[[#This Row],[Fecha]],OPEX_SALES!A:A,OPEX_SALES!B:B)</f>
        <v>3</v>
      </c>
      <c r="G283" s="14" t="str">
        <f>+_xlfn.XLOOKUP(sales[[#This Row],[Fecha]],OPEX_SALES!A:A,OPEX_SALES!E:E)</f>
        <v>A) Día hábil</v>
      </c>
      <c r="H283" s="14" t="str">
        <f>+TEXT(sales[[#This Row],[Fecha]],"ddd")</f>
        <v>mié</v>
      </c>
      <c r="I283" s="185">
        <f>+sales[[#This Row],[Venta]]-sales[[#This Row],[costo_venta]]</f>
        <v>3660</v>
      </c>
      <c r="J283" s="101">
        <f>[1]sales!K288</f>
        <v>8000</v>
      </c>
      <c r="K283" s="79">
        <f>[1]sales!I288</f>
        <v>8000</v>
      </c>
      <c r="L283" s="52">
        <f>[1]sales!J288</f>
        <v>0</v>
      </c>
      <c r="M283" s="1">
        <f>[1]sales!L288*sales[[#This Row],[cantidad]]</f>
        <v>4340</v>
      </c>
      <c r="N283" s="37">
        <f>+(sales[[#This Row],[Venta]]-sales[[#This Row],[costo_venta]])/sales[[#This Row],[Venta]]</f>
        <v>0.45750000000000002</v>
      </c>
    </row>
    <row r="284" spans="1:14" x14ac:dyDescent="0.2">
      <c r="A284" s="14">
        <f>[1]sales!A289</f>
        <v>46092</v>
      </c>
      <c r="B284" s="188">
        <f>[1]sales!B289</f>
        <v>0.82393518518518516</v>
      </c>
      <c r="C284" s="184" t="s">
        <v>49</v>
      </c>
      <c r="D284" s="14" t="str">
        <f>[1]sales!D289</f>
        <v xml:space="preserve"> Chorizo con papa/arepa</v>
      </c>
      <c r="E284" s="3">
        <f>+[1]sales!G289</f>
        <v>1</v>
      </c>
      <c r="F284" s="195">
        <f>+_xlfn.XLOOKUP(sales[[#This Row],[Fecha]],OPEX_SALES!A:A,OPEX_SALES!B:B)</f>
        <v>3</v>
      </c>
      <c r="G284" s="14" t="str">
        <f>+_xlfn.XLOOKUP(sales[[#This Row],[Fecha]],OPEX_SALES!A:A,OPEX_SALES!E:E)</f>
        <v>A) Día hábil</v>
      </c>
      <c r="H284" s="14" t="str">
        <f>+TEXT(sales[[#This Row],[Fecha]],"ddd")</f>
        <v>mié</v>
      </c>
      <c r="I284" s="185">
        <f>+sales[[#This Row],[Venta]]-sales[[#This Row],[costo_venta]]</f>
        <v>3660</v>
      </c>
      <c r="J284" s="101">
        <f>[1]sales!K289</f>
        <v>8000</v>
      </c>
      <c r="K284" s="79">
        <f>[1]sales!I289</f>
        <v>0</v>
      </c>
      <c r="L284" s="52">
        <f>[1]sales!J289</f>
        <v>8000</v>
      </c>
      <c r="M284" s="1">
        <f>[1]sales!L289*sales[[#This Row],[cantidad]]</f>
        <v>4340</v>
      </c>
      <c r="N284" s="37">
        <f>+(sales[[#This Row],[Venta]]-sales[[#This Row],[costo_venta]])/sales[[#This Row],[Venta]]</f>
        <v>0.45750000000000002</v>
      </c>
    </row>
    <row r="285" spans="1:14" x14ac:dyDescent="0.2">
      <c r="A285" s="14">
        <f>[1]sales!A290</f>
        <v>46092</v>
      </c>
      <c r="B285" s="188">
        <f>[1]sales!B290</f>
        <v>0.82393518518518516</v>
      </c>
      <c r="C285" s="184" t="s">
        <v>49</v>
      </c>
      <c r="D285" s="14" t="str">
        <f>[1]sales!D290</f>
        <v>BEBIDA - Coca Cola</v>
      </c>
      <c r="E285" s="3">
        <f>+[1]sales!G290</f>
        <v>1</v>
      </c>
      <c r="F285" s="195">
        <f>+_xlfn.XLOOKUP(sales[[#This Row],[Fecha]],OPEX_SALES!A:A,OPEX_SALES!B:B)</f>
        <v>3</v>
      </c>
      <c r="G285" s="14" t="str">
        <f>+_xlfn.XLOOKUP(sales[[#This Row],[Fecha]],OPEX_SALES!A:A,OPEX_SALES!E:E)</f>
        <v>A) Día hábil</v>
      </c>
      <c r="H285" s="14" t="str">
        <f>+TEXT(sales[[#This Row],[Fecha]],"ddd")</f>
        <v>mié</v>
      </c>
      <c r="I285" s="185">
        <f>+sales[[#This Row],[Venta]]-sales[[#This Row],[costo_venta]]</f>
        <v>1800</v>
      </c>
      <c r="J285" s="101">
        <f>[1]sales!K290</f>
        <v>3000</v>
      </c>
      <c r="K285" s="79">
        <f>[1]sales!I290</f>
        <v>0</v>
      </c>
      <c r="L285" s="52">
        <f>[1]sales!J290</f>
        <v>3000</v>
      </c>
      <c r="M285" s="1">
        <f>[1]sales!L290*sales[[#This Row],[cantidad]]</f>
        <v>1200</v>
      </c>
      <c r="N285" s="37">
        <f>+(sales[[#This Row],[Venta]]-sales[[#This Row],[costo_venta]])/sales[[#This Row],[Venta]]</f>
        <v>0.6</v>
      </c>
    </row>
    <row r="286" spans="1:14" x14ac:dyDescent="0.2">
      <c r="A286" s="14">
        <f>[1]sales!A291</f>
        <v>46092</v>
      </c>
      <c r="B286" s="188">
        <f>[1]sales!B291</f>
        <v>0.84908564814814813</v>
      </c>
      <c r="C286" s="184" t="s">
        <v>49</v>
      </c>
      <c r="D286" s="14" t="str">
        <f>[1]sales!D291</f>
        <v xml:space="preserve"> Chorizo con papa/arepa</v>
      </c>
      <c r="E286" s="3">
        <f>+[1]sales!G291</f>
        <v>1</v>
      </c>
      <c r="F286" s="195">
        <f>+_xlfn.XLOOKUP(sales[[#This Row],[Fecha]],OPEX_SALES!A:A,OPEX_SALES!B:B)</f>
        <v>3</v>
      </c>
      <c r="G286" s="14" t="str">
        <f>+_xlfn.XLOOKUP(sales[[#This Row],[Fecha]],OPEX_SALES!A:A,OPEX_SALES!E:E)</f>
        <v>A) Día hábil</v>
      </c>
      <c r="H286" s="14" t="str">
        <f>+TEXT(sales[[#This Row],[Fecha]],"ddd")</f>
        <v>mié</v>
      </c>
      <c r="I286" s="185">
        <f>+sales[[#This Row],[Venta]]-sales[[#This Row],[costo_venta]]</f>
        <v>3660</v>
      </c>
      <c r="J286" s="101">
        <f>[1]sales!K291</f>
        <v>8000</v>
      </c>
      <c r="K286" s="79">
        <f>[1]sales!I291</f>
        <v>8000</v>
      </c>
      <c r="L286" s="52">
        <f>[1]sales!J291</f>
        <v>0</v>
      </c>
      <c r="M286" s="1">
        <f>[1]sales!L291*sales[[#This Row],[cantidad]]</f>
        <v>4340</v>
      </c>
      <c r="N286" s="37">
        <f>+(sales[[#This Row],[Venta]]-sales[[#This Row],[costo_venta]])/sales[[#This Row],[Venta]]</f>
        <v>0.45750000000000002</v>
      </c>
    </row>
    <row r="287" spans="1:14" x14ac:dyDescent="0.2">
      <c r="A287" s="14">
        <f>[1]sales!A292</f>
        <v>46093</v>
      </c>
      <c r="B287" s="188">
        <f>[1]sales!B292</f>
        <v>0.61758101851851854</v>
      </c>
      <c r="C287" s="184" t="s">
        <v>49</v>
      </c>
      <c r="D287" s="14" t="str">
        <f>[1]sales!D292</f>
        <v xml:space="preserve"> Chorizo con papa/arepa</v>
      </c>
      <c r="E287" s="3">
        <f>+[1]sales!G292</f>
        <v>1</v>
      </c>
      <c r="F287" s="195">
        <f>+_xlfn.XLOOKUP(sales[[#This Row],[Fecha]],OPEX_SALES!A:A,OPEX_SALES!B:B)</f>
        <v>3</v>
      </c>
      <c r="G287" s="14" t="str">
        <f>+_xlfn.XLOOKUP(sales[[#This Row],[Fecha]],OPEX_SALES!A:A,OPEX_SALES!E:E)</f>
        <v>A) Día hábil</v>
      </c>
      <c r="H287" s="14" t="str">
        <f>+TEXT(sales[[#This Row],[Fecha]],"ddd")</f>
        <v>jue</v>
      </c>
      <c r="I287" s="185">
        <f>+sales[[#This Row],[Venta]]-sales[[#This Row],[costo_venta]]</f>
        <v>3660</v>
      </c>
      <c r="J287" s="101">
        <f>[1]sales!K292</f>
        <v>8000</v>
      </c>
      <c r="K287" s="79">
        <f>[1]sales!I292</f>
        <v>0</v>
      </c>
      <c r="L287" s="52">
        <f>[1]sales!J292</f>
        <v>8000</v>
      </c>
      <c r="M287" s="1">
        <f>[1]sales!L292*sales[[#This Row],[cantidad]]</f>
        <v>4340</v>
      </c>
      <c r="N287" s="37">
        <f>+(sales[[#This Row],[Venta]]-sales[[#This Row],[costo_venta]])/sales[[#This Row],[Venta]]</f>
        <v>0.45750000000000002</v>
      </c>
    </row>
    <row r="288" spans="1:14" x14ac:dyDescent="0.2">
      <c r="A288" s="14">
        <f>[1]sales!A293</f>
        <v>46093</v>
      </c>
      <c r="B288" s="188">
        <f>[1]sales!B293</f>
        <v>0.61758101851851854</v>
      </c>
      <c r="C288" s="184" t="s">
        <v>49</v>
      </c>
      <c r="D288" s="14" t="str">
        <f>[1]sales!D293</f>
        <v>Bandeja Choriboni - 35</v>
      </c>
      <c r="E288" s="3">
        <f>+[1]sales!G293</f>
        <v>1</v>
      </c>
      <c r="F288" s="195">
        <f>+_xlfn.XLOOKUP(sales[[#This Row],[Fecha]],OPEX_SALES!A:A,OPEX_SALES!B:B)</f>
        <v>3</v>
      </c>
      <c r="G288" s="14" t="str">
        <f>+_xlfn.XLOOKUP(sales[[#This Row],[Fecha]],OPEX_SALES!A:A,OPEX_SALES!E:E)</f>
        <v>A) Día hábil</v>
      </c>
      <c r="H288" s="14" t="str">
        <f>+TEXT(sales[[#This Row],[Fecha]],"ddd")</f>
        <v>jue</v>
      </c>
      <c r="I288" s="185">
        <f>+sales[[#This Row],[Venta]]-sales[[#This Row],[costo_venta]]</f>
        <v>31500</v>
      </c>
      <c r="J288" s="101">
        <f>[1]sales!K293</f>
        <v>35000</v>
      </c>
      <c r="K288" s="79">
        <f>[1]sales!I293</f>
        <v>0</v>
      </c>
      <c r="L288" s="52">
        <f>[1]sales!J293</f>
        <v>35000</v>
      </c>
      <c r="M288" s="1">
        <f>[1]sales!L293*sales[[#This Row],[cantidad]]</f>
        <v>3500</v>
      </c>
      <c r="N288" s="37">
        <f>+(sales[[#This Row],[Venta]]-sales[[#This Row],[costo_venta]])/sales[[#This Row],[Venta]]</f>
        <v>0.9</v>
      </c>
    </row>
    <row r="289" spans="1:14" x14ac:dyDescent="0.2">
      <c r="A289" s="14">
        <f>[1]sales!A294</f>
        <v>46093</v>
      </c>
      <c r="B289" s="188">
        <f>[1]sales!B294</f>
        <v>0.61758101851851854</v>
      </c>
      <c r="C289" s="184" t="s">
        <v>49</v>
      </c>
      <c r="D289" s="14" t="str">
        <f>[1]sales!D294</f>
        <v>BEBIDA - Coca Cola</v>
      </c>
      <c r="E289" s="3">
        <f>+[1]sales!G294</f>
        <v>1</v>
      </c>
      <c r="F289" s="195">
        <f>+_xlfn.XLOOKUP(sales[[#This Row],[Fecha]],OPEX_SALES!A:A,OPEX_SALES!B:B)</f>
        <v>3</v>
      </c>
      <c r="G289" s="14" t="str">
        <f>+_xlfn.XLOOKUP(sales[[#This Row],[Fecha]],OPEX_SALES!A:A,OPEX_SALES!E:E)</f>
        <v>A) Día hábil</v>
      </c>
      <c r="H289" s="14" t="str">
        <f>+TEXT(sales[[#This Row],[Fecha]],"ddd")</f>
        <v>jue</v>
      </c>
      <c r="I289" s="185">
        <f>+sales[[#This Row],[Venta]]-sales[[#This Row],[costo_venta]]</f>
        <v>1800</v>
      </c>
      <c r="J289" s="101">
        <f>[1]sales!K294</f>
        <v>3000</v>
      </c>
      <c r="K289" s="79">
        <f>[1]sales!I294</f>
        <v>0</v>
      </c>
      <c r="L289" s="52">
        <f>[1]sales!J294</f>
        <v>3000</v>
      </c>
      <c r="M289" s="1">
        <f>[1]sales!L294*sales[[#This Row],[cantidad]]</f>
        <v>1200</v>
      </c>
      <c r="N289" s="37">
        <f>+(sales[[#This Row],[Venta]]-sales[[#This Row],[costo_venta]])/sales[[#This Row],[Venta]]</f>
        <v>0.6</v>
      </c>
    </row>
    <row r="290" spans="1:14" x14ac:dyDescent="0.2">
      <c r="A290" s="14">
        <f>[1]sales!A295</f>
        <v>46093</v>
      </c>
      <c r="B290" s="188">
        <f>[1]sales!B295</f>
        <v>0.61758101851851854</v>
      </c>
      <c r="C290" s="184" t="s">
        <v>49</v>
      </c>
      <c r="D290" s="14" t="str">
        <f>[1]sales!D295</f>
        <v>BEBIDA - Postobón</v>
      </c>
      <c r="E290" s="3">
        <f>+[1]sales!G295</f>
        <v>3</v>
      </c>
      <c r="F290" s="195">
        <f>+_xlfn.XLOOKUP(sales[[#This Row],[Fecha]],OPEX_SALES!A:A,OPEX_SALES!B:B)</f>
        <v>3</v>
      </c>
      <c r="G290" s="14" t="str">
        <f>+_xlfn.XLOOKUP(sales[[#This Row],[Fecha]],OPEX_SALES!A:A,OPEX_SALES!E:E)</f>
        <v>A) Día hábil</v>
      </c>
      <c r="H290" s="14" t="str">
        <f>+TEXT(sales[[#This Row],[Fecha]],"ddd")</f>
        <v>jue</v>
      </c>
      <c r="I290" s="185">
        <f>+sales[[#This Row],[Venta]]-sales[[#This Row],[costo_venta]]</f>
        <v>5600.01</v>
      </c>
      <c r="J290" s="101">
        <f>[1]sales!K295</f>
        <v>9000</v>
      </c>
      <c r="K290" s="79">
        <f>[1]sales!I295</f>
        <v>0</v>
      </c>
      <c r="L290" s="52">
        <f>[1]sales!J295</f>
        <v>9000</v>
      </c>
      <c r="M290" s="1">
        <f>[1]sales!L295*sales[[#This Row],[cantidad]]</f>
        <v>3399.99</v>
      </c>
      <c r="N290" s="37">
        <f>+(sales[[#This Row],[Venta]]-sales[[#This Row],[costo_venta]])/sales[[#This Row],[Venta]]</f>
        <v>0.62222333333333335</v>
      </c>
    </row>
    <row r="291" spans="1:14" x14ac:dyDescent="0.2">
      <c r="A291" s="14">
        <f>[1]sales!A296</f>
        <v>46093</v>
      </c>
      <c r="B291" s="188">
        <f>[1]sales!B296</f>
        <v>0.61758101851851854</v>
      </c>
      <c r="C291" s="184" t="s">
        <v>49</v>
      </c>
      <c r="D291" s="14" t="str">
        <f>[1]sales!D296</f>
        <v>Ham. Doble combo - ELIMINAR</v>
      </c>
      <c r="E291" s="3">
        <f>+[1]sales!G296</f>
        <v>1</v>
      </c>
      <c r="F291" s="195">
        <f>+_xlfn.XLOOKUP(sales[[#This Row],[Fecha]],OPEX_SALES!A:A,OPEX_SALES!B:B)</f>
        <v>3</v>
      </c>
      <c r="G291" s="14" t="str">
        <f>+_xlfn.XLOOKUP(sales[[#This Row],[Fecha]],OPEX_SALES!A:A,OPEX_SALES!E:E)</f>
        <v>A) Día hábil</v>
      </c>
      <c r="H291" s="14" t="str">
        <f>+TEXT(sales[[#This Row],[Fecha]],"ddd")</f>
        <v>jue</v>
      </c>
      <c r="I291" s="185">
        <f>+sales[[#This Row],[Venta]]-sales[[#This Row],[costo_venta]]</f>
        <v>-973000</v>
      </c>
      <c r="J291" s="101">
        <f>[1]sales!K296</f>
        <v>27000</v>
      </c>
      <c r="K291" s="79">
        <f>[1]sales!I296</f>
        <v>0</v>
      </c>
      <c r="L291" s="52">
        <f>[1]sales!J296</f>
        <v>27000</v>
      </c>
      <c r="M291" s="1">
        <f>[1]sales!L296*sales[[#This Row],[cantidad]]</f>
        <v>1000000</v>
      </c>
      <c r="N291" s="37">
        <f>+(sales[[#This Row],[Venta]]-sales[[#This Row],[costo_venta]])/sales[[#This Row],[Venta]]</f>
        <v>-36.037037037037038</v>
      </c>
    </row>
    <row r="292" spans="1:14" x14ac:dyDescent="0.2">
      <c r="A292" s="14">
        <f>[1]sales!A297</f>
        <v>46093</v>
      </c>
      <c r="B292" s="188">
        <f>[1]sales!B297</f>
        <v>0.68311342592592594</v>
      </c>
      <c r="C292" s="184" t="s">
        <v>49</v>
      </c>
      <c r="D292" s="14" t="str">
        <f>[1]sales!D297</f>
        <v xml:space="preserve"> Chorizo con papa/arepa</v>
      </c>
      <c r="E292" s="3">
        <f>+[1]sales!G297</f>
        <v>3</v>
      </c>
      <c r="F292" s="195">
        <f>+_xlfn.XLOOKUP(sales[[#This Row],[Fecha]],OPEX_SALES!A:A,OPEX_SALES!B:B)</f>
        <v>3</v>
      </c>
      <c r="G292" s="14" t="str">
        <f>+_xlfn.XLOOKUP(sales[[#This Row],[Fecha]],OPEX_SALES!A:A,OPEX_SALES!E:E)</f>
        <v>A) Día hábil</v>
      </c>
      <c r="H292" s="14" t="str">
        <f>+TEXT(sales[[#This Row],[Fecha]],"ddd")</f>
        <v>jue</v>
      </c>
      <c r="I292" s="185">
        <f>+sales[[#This Row],[Venta]]-sales[[#This Row],[costo_venta]]</f>
        <v>10980</v>
      </c>
      <c r="J292" s="101">
        <f>[1]sales!K297</f>
        <v>24000</v>
      </c>
      <c r="K292" s="79">
        <f>[1]sales!I297</f>
        <v>0</v>
      </c>
      <c r="L292" s="52">
        <f>[1]sales!J297</f>
        <v>24000</v>
      </c>
      <c r="M292" s="1">
        <f>[1]sales!L297*sales[[#This Row],[cantidad]]</f>
        <v>13020</v>
      </c>
      <c r="N292" s="37">
        <f>+(sales[[#This Row],[Venta]]-sales[[#This Row],[costo_venta]])/sales[[#This Row],[Venta]]</f>
        <v>0.45750000000000002</v>
      </c>
    </row>
    <row r="293" spans="1:14" x14ac:dyDescent="0.2">
      <c r="A293" s="14">
        <f>[1]sales!A298</f>
        <v>46093</v>
      </c>
      <c r="B293" s="188">
        <f>[1]sales!B298</f>
        <v>0.73273148148148148</v>
      </c>
      <c r="C293" s="184" t="s">
        <v>49</v>
      </c>
      <c r="D293" s="14" t="str">
        <f>[1]sales!D298</f>
        <v xml:space="preserve"> Chorizo con papa/arepa</v>
      </c>
      <c r="E293" s="3">
        <f>+[1]sales!G298</f>
        <v>1</v>
      </c>
      <c r="F293" s="195">
        <f>+_xlfn.XLOOKUP(sales[[#This Row],[Fecha]],OPEX_SALES!A:A,OPEX_SALES!B:B)</f>
        <v>3</v>
      </c>
      <c r="G293" s="14" t="str">
        <f>+_xlfn.XLOOKUP(sales[[#This Row],[Fecha]],OPEX_SALES!A:A,OPEX_SALES!E:E)</f>
        <v>A) Día hábil</v>
      </c>
      <c r="H293" s="14" t="str">
        <f>+TEXT(sales[[#This Row],[Fecha]],"ddd")</f>
        <v>jue</v>
      </c>
      <c r="I293" s="185">
        <f>+sales[[#This Row],[Venta]]-sales[[#This Row],[costo_venta]]</f>
        <v>3660</v>
      </c>
      <c r="J293" s="101">
        <f>[1]sales!K298</f>
        <v>8000</v>
      </c>
      <c r="K293" s="79">
        <f>[1]sales!I298</f>
        <v>8000</v>
      </c>
      <c r="L293" s="52">
        <f>[1]sales!J298</f>
        <v>0</v>
      </c>
      <c r="M293" s="1">
        <f>[1]sales!L298*sales[[#This Row],[cantidad]]</f>
        <v>4340</v>
      </c>
      <c r="N293" s="37">
        <f>+(sales[[#This Row],[Venta]]-sales[[#This Row],[costo_venta]])/sales[[#This Row],[Venta]]</f>
        <v>0.45750000000000002</v>
      </c>
    </row>
    <row r="294" spans="1:14" x14ac:dyDescent="0.2">
      <c r="A294" s="14">
        <f>[1]sales!A299</f>
        <v>46093</v>
      </c>
      <c r="B294" s="188">
        <f>[1]sales!B299</f>
        <v>0.73388888888888892</v>
      </c>
      <c r="C294" s="184" t="s">
        <v>49</v>
      </c>
      <c r="D294" s="14" t="str">
        <f>[1]sales!D299</f>
        <v xml:space="preserve"> Chorizo con papa/arepa</v>
      </c>
      <c r="E294" s="3">
        <f>+[1]sales!G299</f>
        <v>1</v>
      </c>
      <c r="F294" s="195">
        <f>+_xlfn.XLOOKUP(sales[[#This Row],[Fecha]],OPEX_SALES!A:A,OPEX_SALES!B:B)</f>
        <v>3</v>
      </c>
      <c r="G294" s="14" t="str">
        <f>+_xlfn.XLOOKUP(sales[[#This Row],[Fecha]],OPEX_SALES!A:A,OPEX_SALES!E:E)</f>
        <v>A) Día hábil</v>
      </c>
      <c r="H294" s="14" t="str">
        <f>+TEXT(sales[[#This Row],[Fecha]],"ddd")</f>
        <v>jue</v>
      </c>
      <c r="I294" s="185">
        <f>+sales[[#This Row],[Venta]]-sales[[#This Row],[costo_venta]]</f>
        <v>3660</v>
      </c>
      <c r="J294" s="101">
        <f>[1]sales!K299</f>
        <v>8000</v>
      </c>
      <c r="K294" s="79">
        <f>[1]sales!I299</f>
        <v>0</v>
      </c>
      <c r="L294" s="52">
        <f>[1]sales!J299</f>
        <v>8000</v>
      </c>
      <c r="M294" s="1">
        <f>[1]sales!L299*sales[[#This Row],[cantidad]]</f>
        <v>4340</v>
      </c>
      <c r="N294" s="37">
        <f>+(sales[[#This Row],[Venta]]-sales[[#This Row],[costo_venta]])/sales[[#This Row],[Venta]]</f>
        <v>0.45750000000000002</v>
      </c>
    </row>
    <row r="295" spans="1:14" x14ac:dyDescent="0.2">
      <c r="A295" s="14">
        <f>[1]sales!A300</f>
        <v>46093</v>
      </c>
      <c r="B295" s="188">
        <f>[1]sales!B300</f>
        <v>0.73388888888888892</v>
      </c>
      <c r="C295" s="184" t="s">
        <v>49</v>
      </c>
      <c r="D295" s="14" t="str">
        <f>[1]sales!D300</f>
        <v>BEBIDA - Coca Cola</v>
      </c>
      <c r="E295" s="3">
        <f>+[1]sales!G300</f>
        <v>1</v>
      </c>
      <c r="F295" s="195">
        <f>+_xlfn.XLOOKUP(sales[[#This Row],[Fecha]],OPEX_SALES!A:A,OPEX_SALES!B:B)</f>
        <v>3</v>
      </c>
      <c r="G295" s="14" t="str">
        <f>+_xlfn.XLOOKUP(sales[[#This Row],[Fecha]],OPEX_SALES!A:A,OPEX_SALES!E:E)</f>
        <v>A) Día hábil</v>
      </c>
      <c r="H295" s="14" t="str">
        <f>+TEXT(sales[[#This Row],[Fecha]],"ddd")</f>
        <v>jue</v>
      </c>
      <c r="I295" s="185">
        <f>+sales[[#This Row],[Venta]]-sales[[#This Row],[costo_venta]]</f>
        <v>1800</v>
      </c>
      <c r="J295" s="101">
        <f>[1]sales!K300</f>
        <v>3000</v>
      </c>
      <c r="K295" s="79">
        <f>[1]sales!I300</f>
        <v>0</v>
      </c>
      <c r="L295" s="52">
        <f>[1]sales!J300</f>
        <v>3000</v>
      </c>
      <c r="M295" s="1">
        <f>[1]sales!L300*sales[[#This Row],[cantidad]]</f>
        <v>1200</v>
      </c>
      <c r="N295" s="37">
        <f>+(sales[[#This Row],[Venta]]-sales[[#This Row],[costo_venta]])/sales[[#This Row],[Venta]]</f>
        <v>0.6</v>
      </c>
    </row>
    <row r="296" spans="1:14" x14ac:dyDescent="0.2">
      <c r="A296" s="14">
        <f>[1]sales!A301</f>
        <v>46093</v>
      </c>
      <c r="B296" s="188">
        <f>[1]sales!B301</f>
        <v>0.73430555555555554</v>
      </c>
      <c r="C296" s="184" t="s">
        <v>49</v>
      </c>
      <c r="D296" s="14" t="str">
        <f>[1]sales!D301</f>
        <v xml:space="preserve"> Chorizo con papa/arepa</v>
      </c>
      <c r="E296" s="3">
        <f>+[1]sales!G301</f>
        <v>3</v>
      </c>
      <c r="F296" s="195">
        <f>+_xlfn.XLOOKUP(sales[[#This Row],[Fecha]],OPEX_SALES!A:A,OPEX_SALES!B:B)</f>
        <v>3</v>
      </c>
      <c r="G296" s="14" t="str">
        <f>+_xlfn.XLOOKUP(sales[[#This Row],[Fecha]],OPEX_SALES!A:A,OPEX_SALES!E:E)</f>
        <v>A) Día hábil</v>
      </c>
      <c r="H296" s="14" t="str">
        <f>+TEXT(sales[[#This Row],[Fecha]],"ddd")</f>
        <v>jue</v>
      </c>
      <c r="I296" s="185">
        <f>+sales[[#This Row],[Venta]]-sales[[#This Row],[costo_venta]]</f>
        <v>10980</v>
      </c>
      <c r="J296" s="101">
        <f>[1]sales!K301</f>
        <v>24000</v>
      </c>
      <c r="K296" s="79">
        <f>[1]sales!I301</f>
        <v>24000</v>
      </c>
      <c r="L296" s="52">
        <f>[1]sales!J301</f>
        <v>0</v>
      </c>
      <c r="M296" s="1">
        <f>[1]sales!L301*sales[[#This Row],[cantidad]]</f>
        <v>13020</v>
      </c>
      <c r="N296" s="37">
        <f>+(sales[[#This Row],[Venta]]-sales[[#This Row],[costo_venta]])/sales[[#This Row],[Venta]]</f>
        <v>0.45750000000000002</v>
      </c>
    </row>
    <row r="297" spans="1:14" x14ac:dyDescent="0.2">
      <c r="A297" s="14">
        <f>[1]sales!A302</f>
        <v>46093</v>
      </c>
      <c r="B297" s="188">
        <f>[1]sales!B302</f>
        <v>0.74609953703703702</v>
      </c>
      <c r="C297" s="184" t="s">
        <v>49</v>
      </c>
      <c r="D297" s="14" t="str">
        <f>[1]sales!D302</f>
        <v xml:space="preserve"> Chorizo con papa/arepa</v>
      </c>
      <c r="E297" s="3">
        <f>+[1]sales!G302</f>
        <v>3</v>
      </c>
      <c r="F297" s="195">
        <f>+_xlfn.XLOOKUP(sales[[#This Row],[Fecha]],OPEX_SALES!A:A,OPEX_SALES!B:B)</f>
        <v>3</v>
      </c>
      <c r="G297" s="14" t="str">
        <f>+_xlfn.XLOOKUP(sales[[#This Row],[Fecha]],OPEX_SALES!A:A,OPEX_SALES!E:E)</f>
        <v>A) Día hábil</v>
      </c>
      <c r="H297" s="14" t="str">
        <f>+TEXT(sales[[#This Row],[Fecha]],"ddd")</f>
        <v>jue</v>
      </c>
      <c r="I297" s="185">
        <f>+sales[[#This Row],[Venta]]-sales[[#This Row],[costo_venta]]</f>
        <v>10980</v>
      </c>
      <c r="J297" s="101">
        <f>[1]sales!K302</f>
        <v>24000</v>
      </c>
      <c r="K297" s="79">
        <f>[1]sales!I302</f>
        <v>24000</v>
      </c>
      <c r="L297" s="52">
        <f>[1]sales!J302</f>
        <v>0</v>
      </c>
      <c r="M297" s="1">
        <f>[1]sales!L302*sales[[#This Row],[cantidad]]</f>
        <v>13020</v>
      </c>
      <c r="N297" s="37">
        <f>+(sales[[#This Row],[Venta]]-sales[[#This Row],[costo_venta]])/sales[[#This Row],[Venta]]</f>
        <v>0.45750000000000002</v>
      </c>
    </row>
    <row r="298" spans="1:14" x14ac:dyDescent="0.2">
      <c r="A298" s="14">
        <f>[1]sales!A303</f>
        <v>46093</v>
      </c>
      <c r="B298" s="188">
        <f>[1]sales!B303</f>
        <v>0.74609953703703702</v>
      </c>
      <c r="C298" s="184" t="s">
        <v>49</v>
      </c>
      <c r="D298" s="14" t="str">
        <f>[1]sales!D303</f>
        <v>BEBIDA - Coca Cola</v>
      </c>
      <c r="E298" s="3">
        <f>+[1]sales!G303</f>
        <v>1</v>
      </c>
      <c r="F298" s="195">
        <f>+_xlfn.XLOOKUP(sales[[#This Row],[Fecha]],OPEX_SALES!A:A,OPEX_SALES!B:B)</f>
        <v>3</v>
      </c>
      <c r="G298" s="14" t="str">
        <f>+_xlfn.XLOOKUP(sales[[#This Row],[Fecha]],OPEX_SALES!A:A,OPEX_SALES!E:E)</f>
        <v>A) Día hábil</v>
      </c>
      <c r="H298" s="14" t="str">
        <f>+TEXT(sales[[#This Row],[Fecha]],"ddd")</f>
        <v>jue</v>
      </c>
      <c r="I298" s="185">
        <f>+sales[[#This Row],[Venta]]-sales[[#This Row],[costo_venta]]</f>
        <v>1800</v>
      </c>
      <c r="J298" s="101">
        <f>[1]sales!K303</f>
        <v>3000</v>
      </c>
      <c r="K298" s="79">
        <f>[1]sales!I303</f>
        <v>3000</v>
      </c>
      <c r="L298" s="52">
        <f>[1]sales!J303</f>
        <v>0</v>
      </c>
      <c r="M298" s="1">
        <f>[1]sales!L303*sales[[#This Row],[cantidad]]</f>
        <v>1200</v>
      </c>
      <c r="N298" s="37">
        <f>+(sales[[#This Row],[Venta]]-sales[[#This Row],[costo_venta]])/sales[[#This Row],[Venta]]</f>
        <v>0.6</v>
      </c>
    </row>
    <row r="299" spans="1:14" x14ac:dyDescent="0.2">
      <c r="A299" s="14">
        <f>[1]sales!A304</f>
        <v>46093</v>
      </c>
      <c r="B299" s="188">
        <f>[1]sales!B304</f>
        <v>0.75689814814814815</v>
      </c>
      <c r="C299" s="184" t="s">
        <v>49</v>
      </c>
      <c r="D299" s="14" t="str">
        <f>[1]sales!D304</f>
        <v xml:space="preserve"> Chorizo con papa/arepa</v>
      </c>
      <c r="E299" s="3">
        <f>+[1]sales!G304</f>
        <v>1</v>
      </c>
      <c r="F299" s="195">
        <f>+_xlfn.XLOOKUP(sales[[#This Row],[Fecha]],OPEX_SALES!A:A,OPEX_SALES!B:B)</f>
        <v>3</v>
      </c>
      <c r="G299" s="14" t="str">
        <f>+_xlfn.XLOOKUP(sales[[#This Row],[Fecha]],OPEX_SALES!A:A,OPEX_SALES!E:E)</f>
        <v>A) Día hábil</v>
      </c>
      <c r="H299" s="14" t="str">
        <f>+TEXT(sales[[#This Row],[Fecha]],"ddd")</f>
        <v>jue</v>
      </c>
      <c r="I299" s="185">
        <f>+sales[[#This Row],[Venta]]-sales[[#This Row],[costo_venta]]</f>
        <v>3660</v>
      </c>
      <c r="J299" s="101">
        <f>[1]sales!K304</f>
        <v>8000</v>
      </c>
      <c r="K299" s="79">
        <f>[1]sales!I304</f>
        <v>8000</v>
      </c>
      <c r="L299" s="52">
        <f>[1]sales!J304</f>
        <v>0</v>
      </c>
      <c r="M299" s="1">
        <f>[1]sales!L304*sales[[#This Row],[cantidad]]</f>
        <v>4340</v>
      </c>
      <c r="N299" s="37">
        <f>+(sales[[#This Row],[Venta]]-sales[[#This Row],[costo_venta]])/sales[[#This Row],[Venta]]</f>
        <v>0.45750000000000002</v>
      </c>
    </row>
    <row r="300" spans="1:14" x14ac:dyDescent="0.2">
      <c r="A300" s="14">
        <f>[1]sales!A305</f>
        <v>46093</v>
      </c>
      <c r="B300" s="188">
        <f>[1]sales!B305</f>
        <v>0.78898148148148151</v>
      </c>
      <c r="C300" s="184" t="s">
        <v>49</v>
      </c>
      <c r="D300" s="14" t="str">
        <f>[1]sales!D305</f>
        <v xml:space="preserve"> Chorizo con papa/arepa</v>
      </c>
      <c r="E300" s="3">
        <f>+[1]sales!G305</f>
        <v>3</v>
      </c>
      <c r="F300" s="195">
        <f>+_xlfn.XLOOKUP(sales[[#This Row],[Fecha]],OPEX_SALES!A:A,OPEX_SALES!B:B)</f>
        <v>3</v>
      </c>
      <c r="G300" s="14" t="str">
        <f>+_xlfn.XLOOKUP(sales[[#This Row],[Fecha]],OPEX_SALES!A:A,OPEX_SALES!E:E)</f>
        <v>A) Día hábil</v>
      </c>
      <c r="H300" s="14" t="str">
        <f>+TEXT(sales[[#This Row],[Fecha]],"ddd")</f>
        <v>jue</v>
      </c>
      <c r="I300" s="185">
        <f>+sales[[#This Row],[Venta]]-sales[[#This Row],[costo_venta]]</f>
        <v>10980</v>
      </c>
      <c r="J300" s="101">
        <f>[1]sales!K305</f>
        <v>24000</v>
      </c>
      <c r="K300" s="79">
        <f>[1]sales!I305</f>
        <v>0</v>
      </c>
      <c r="L300" s="52">
        <f>[1]sales!J305</f>
        <v>24000</v>
      </c>
      <c r="M300" s="1">
        <f>[1]sales!L305*sales[[#This Row],[cantidad]]</f>
        <v>13020</v>
      </c>
      <c r="N300" s="37">
        <f>+(sales[[#This Row],[Venta]]-sales[[#This Row],[costo_venta]])/sales[[#This Row],[Venta]]</f>
        <v>0.45750000000000002</v>
      </c>
    </row>
    <row r="301" spans="1:14" x14ac:dyDescent="0.2">
      <c r="A301" s="14">
        <f>[1]sales!A306</f>
        <v>46093</v>
      </c>
      <c r="B301" s="188">
        <f>[1]sales!B306</f>
        <v>0.80218750000000005</v>
      </c>
      <c r="C301" s="184" t="s">
        <v>49</v>
      </c>
      <c r="D301" s="14" t="str">
        <f>[1]sales!D306</f>
        <v xml:space="preserve"> Chorizo con papa/arepa</v>
      </c>
      <c r="E301" s="3">
        <f>+[1]sales!G306</f>
        <v>1</v>
      </c>
      <c r="F301" s="195">
        <f>+_xlfn.XLOOKUP(sales[[#This Row],[Fecha]],OPEX_SALES!A:A,OPEX_SALES!B:B)</f>
        <v>3</v>
      </c>
      <c r="G301" s="14" t="str">
        <f>+_xlfn.XLOOKUP(sales[[#This Row],[Fecha]],OPEX_SALES!A:A,OPEX_SALES!E:E)</f>
        <v>A) Día hábil</v>
      </c>
      <c r="H301" s="14" t="str">
        <f>+TEXT(sales[[#This Row],[Fecha]],"ddd")</f>
        <v>jue</v>
      </c>
      <c r="I301" s="185">
        <f>+sales[[#This Row],[Venta]]-sales[[#This Row],[costo_venta]]</f>
        <v>3660</v>
      </c>
      <c r="J301" s="101">
        <f>[1]sales!K306</f>
        <v>8000</v>
      </c>
      <c r="K301" s="79">
        <f>[1]sales!I306</f>
        <v>0</v>
      </c>
      <c r="L301" s="52">
        <f>[1]sales!J306</f>
        <v>8000</v>
      </c>
      <c r="M301" s="1">
        <f>[1]sales!L306*sales[[#This Row],[cantidad]]</f>
        <v>4340</v>
      </c>
      <c r="N301" s="37">
        <f>+(sales[[#This Row],[Venta]]-sales[[#This Row],[costo_venta]])/sales[[#This Row],[Venta]]</f>
        <v>0.45750000000000002</v>
      </c>
    </row>
    <row r="302" spans="1:14" x14ac:dyDescent="0.2">
      <c r="A302" s="14">
        <f>[1]sales!A307</f>
        <v>46093</v>
      </c>
      <c r="B302" s="188">
        <f>[1]sales!B307</f>
        <v>0.80218750000000005</v>
      </c>
      <c r="C302" s="184" t="s">
        <v>49</v>
      </c>
      <c r="D302" s="14" t="str">
        <f>[1]sales!D307</f>
        <v>BEBIDA - Coca Cola</v>
      </c>
      <c r="E302" s="3">
        <f>+[1]sales!G307</f>
        <v>1</v>
      </c>
      <c r="F302" s="195">
        <f>+_xlfn.XLOOKUP(sales[[#This Row],[Fecha]],OPEX_SALES!A:A,OPEX_SALES!B:B)</f>
        <v>3</v>
      </c>
      <c r="G302" s="14" t="str">
        <f>+_xlfn.XLOOKUP(sales[[#This Row],[Fecha]],OPEX_SALES!A:A,OPEX_SALES!E:E)</f>
        <v>A) Día hábil</v>
      </c>
      <c r="H302" s="14" t="str">
        <f>+TEXT(sales[[#This Row],[Fecha]],"ddd")</f>
        <v>jue</v>
      </c>
      <c r="I302" s="185">
        <f>+sales[[#This Row],[Venta]]-sales[[#This Row],[costo_venta]]</f>
        <v>1800</v>
      </c>
      <c r="J302" s="101">
        <f>[1]sales!K307</f>
        <v>3000</v>
      </c>
      <c r="K302" s="79">
        <f>[1]sales!I307</f>
        <v>0</v>
      </c>
      <c r="L302" s="52">
        <f>[1]sales!J307</f>
        <v>3000</v>
      </c>
      <c r="M302" s="1">
        <f>[1]sales!L307*sales[[#This Row],[cantidad]]</f>
        <v>1200</v>
      </c>
      <c r="N302" s="37">
        <f>+(sales[[#This Row],[Venta]]-sales[[#This Row],[costo_venta]])/sales[[#This Row],[Venta]]</f>
        <v>0.6</v>
      </c>
    </row>
    <row r="303" spans="1:14" x14ac:dyDescent="0.2">
      <c r="A303" s="14">
        <f>[1]sales!A308</f>
        <v>46093</v>
      </c>
      <c r="B303" s="188">
        <f>[1]sales!B308</f>
        <v>0.81907407407407407</v>
      </c>
      <c r="C303" s="184" t="s">
        <v>49</v>
      </c>
      <c r="D303" s="14" t="str">
        <f>[1]sales!D308</f>
        <v xml:space="preserve"> Chorizo con papa/arepa</v>
      </c>
      <c r="E303" s="3">
        <f>+[1]sales!G308</f>
        <v>3</v>
      </c>
      <c r="F303" s="195">
        <f>+_xlfn.XLOOKUP(sales[[#This Row],[Fecha]],OPEX_SALES!A:A,OPEX_SALES!B:B)</f>
        <v>3</v>
      </c>
      <c r="G303" s="14" t="str">
        <f>+_xlfn.XLOOKUP(sales[[#This Row],[Fecha]],OPEX_SALES!A:A,OPEX_SALES!E:E)</f>
        <v>A) Día hábil</v>
      </c>
      <c r="H303" s="14" t="str">
        <f>+TEXT(sales[[#This Row],[Fecha]],"ddd")</f>
        <v>jue</v>
      </c>
      <c r="I303" s="185">
        <f>+sales[[#This Row],[Venta]]-sales[[#This Row],[costo_venta]]</f>
        <v>10980</v>
      </c>
      <c r="J303" s="101">
        <f>[1]sales!K308</f>
        <v>24000</v>
      </c>
      <c r="K303" s="79">
        <f>[1]sales!I308</f>
        <v>0</v>
      </c>
      <c r="L303" s="52">
        <f>[1]sales!J308</f>
        <v>24000</v>
      </c>
      <c r="M303" s="1">
        <f>[1]sales!L308*sales[[#This Row],[cantidad]]</f>
        <v>13020</v>
      </c>
      <c r="N303" s="37">
        <f>+(sales[[#This Row],[Venta]]-sales[[#This Row],[costo_venta]])/sales[[#This Row],[Venta]]</f>
        <v>0.45750000000000002</v>
      </c>
    </row>
    <row r="304" spans="1:14" x14ac:dyDescent="0.2">
      <c r="A304" s="14">
        <f>[1]sales!A309</f>
        <v>46094</v>
      </c>
      <c r="B304" s="188">
        <f>[1]sales!B309</f>
        <v>0.96432870370370372</v>
      </c>
      <c r="C304" s="184" t="s">
        <v>49</v>
      </c>
      <c r="D304" s="14" t="str">
        <f>[1]sales!D309</f>
        <v xml:space="preserve"> Chorizo con papa/arepa</v>
      </c>
      <c r="E304" s="3">
        <f>+[1]sales!G309</f>
        <v>1</v>
      </c>
      <c r="F304" s="195">
        <f>+_xlfn.XLOOKUP(sales[[#This Row],[Fecha]],OPEX_SALES!A:A,OPEX_SALES!B:B)</f>
        <v>3</v>
      </c>
      <c r="G304" s="14" t="str">
        <f>+_xlfn.XLOOKUP(sales[[#This Row],[Fecha]],OPEX_SALES!A:A,OPEX_SALES!E:E)</f>
        <v>B) Viernes</v>
      </c>
      <c r="H304" s="14" t="str">
        <f>+TEXT(sales[[#This Row],[Fecha]],"ddd")</f>
        <v>vie</v>
      </c>
      <c r="I304" s="185">
        <f>+sales[[#This Row],[Venta]]-sales[[#This Row],[costo_venta]]</f>
        <v>3660</v>
      </c>
      <c r="J304" s="101">
        <f>[1]sales!K309</f>
        <v>8000</v>
      </c>
      <c r="K304" s="79">
        <f>[1]sales!I309</f>
        <v>8000</v>
      </c>
      <c r="L304" s="52">
        <f>[1]sales!J309</f>
        <v>0</v>
      </c>
      <c r="M304" s="1">
        <f>[1]sales!L309*sales[[#This Row],[cantidad]]</f>
        <v>4340</v>
      </c>
      <c r="N304" s="37">
        <f>+(sales[[#This Row],[Venta]]-sales[[#This Row],[costo_venta]])/sales[[#This Row],[Venta]]</f>
        <v>0.45750000000000002</v>
      </c>
    </row>
    <row r="305" spans="1:14" x14ac:dyDescent="0.2">
      <c r="A305" s="14">
        <f>[1]sales!A310</f>
        <v>46094</v>
      </c>
      <c r="B305" s="188">
        <f>[1]sales!B310</f>
        <v>0.96482638888888894</v>
      </c>
      <c r="C305" s="184" t="s">
        <v>49</v>
      </c>
      <c r="D305" s="14" t="str">
        <f>[1]sales!D310</f>
        <v xml:space="preserve"> Chorizo con papa/arepa</v>
      </c>
      <c r="E305" s="3">
        <f>+[1]sales!G310</f>
        <v>2</v>
      </c>
      <c r="F305" s="195">
        <f>+_xlfn.XLOOKUP(sales[[#This Row],[Fecha]],OPEX_SALES!A:A,OPEX_SALES!B:B)</f>
        <v>3</v>
      </c>
      <c r="G305" s="14" t="str">
        <f>+_xlfn.XLOOKUP(sales[[#This Row],[Fecha]],OPEX_SALES!A:A,OPEX_SALES!E:E)</f>
        <v>B) Viernes</v>
      </c>
      <c r="H305" s="14" t="str">
        <f>+TEXT(sales[[#This Row],[Fecha]],"ddd")</f>
        <v>vie</v>
      </c>
      <c r="I305" s="185">
        <f>+sales[[#This Row],[Venta]]-sales[[#This Row],[costo_venta]]</f>
        <v>7320</v>
      </c>
      <c r="J305" s="101">
        <f>[1]sales!K310</f>
        <v>16000</v>
      </c>
      <c r="K305" s="79">
        <f>[1]sales!I310</f>
        <v>16000</v>
      </c>
      <c r="L305" s="52">
        <f>[1]sales!J310</f>
        <v>0</v>
      </c>
      <c r="M305" s="1">
        <f>[1]sales!L310*sales[[#This Row],[cantidad]]</f>
        <v>8680</v>
      </c>
      <c r="N305" s="37">
        <f>+(sales[[#This Row],[Venta]]-sales[[#This Row],[costo_venta]])/sales[[#This Row],[Venta]]</f>
        <v>0.45750000000000002</v>
      </c>
    </row>
    <row r="306" spans="1:14" x14ac:dyDescent="0.2">
      <c r="A306" s="14">
        <f>[1]sales!A311</f>
        <v>46094</v>
      </c>
      <c r="B306" s="188">
        <f>[1]sales!B311</f>
        <v>0.96482638888888894</v>
      </c>
      <c r="C306" s="184" t="s">
        <v>49</v>
      </c>
      <c r="D306" s="14" t="str">
        <f>[1]sales!D311</f>
        <v>BEBIDA - Coca Cola</v>
      </c>
      <c r="E306" s="3">
        <f>+[1]sales!G311</f>
        <v>2</v>
      </c>
      <c r="F306" s="195">
        <f>+_xlfn.XLOOKUP(sales[[#This Row],[Fecha]],OPEX_SALES!A:A,OPEX_SALES!B:B)</f>
        <v>3</v>
      </c>
      <c r="G306" s="14" t="str">
        <f>+_xlfn.XLOOKUP(sales[[#This Row],[Fecha]],OPEX_SALES!A:A,OPEX_SALES!E:E)</f>
        <v>B) Viernes</v>
      </c>
      <c r="H306" s="14" t="str">
        <f>+TEXT(sales[[#This Row],[Fecha]],"ddd")</f>
        <v>vie</v>
      </c>
      <c r="I306" s="185">
        <f>+sales[[#This Row],[Venta]]-sales[[#This Row],[costo_venta]]</f>
        <v>3600</v>
      </c>
      <c r="J306" s="101">
        <f>[1]sales!K311</f>
        <v>6000</v>
      </c>
      <c r="K306" s="79">
        <f>[1]sales!I311</f>
        <v>6000</v>
      </c>
      <c r="L306" s="52">
        <f>[1]sales!J311</f>
        <v>0</v>
      </c>
      <c r="M306" s="1">
        <f>[1]sales!L311*sales[[#This Row],[cantidad]]</f>
        <v>2400</v>
      </c>
      <c r="N306" s="37">
        <f>+(sales[[#This Row],[Venta]]-sales[[#This Row],[costo_venta]])/sales[[#This Row],[Venta]]</f>
        <v>0.6</v>
      </c>
    </row>
    <row r="307" spans="1:14" x14ac:dyDescent="0.2">
      <c r="A307" s="14">
        <f>[1]sales!A312</f>
        <v>46094</v>
      </c>
      <c r="B307" s="188">
        <f>[1]sales!B312</f>
        <v>0.96505787037037039</v>
      </c>
      <c r="C307" s="184" t="s">
        <v>49</v>
      </c>
      <c r="D307" s="14" t="str">
        <f>[1]sales!D312</f>
        <v>z. MP -  Chorizo CRUDO</v>
      </c>
      <c r="E307" s="3">
        <f>+[1]sales!G312</f>
        <v>3</v>
      </c>
      <c r="F307" s="195">
        <f>+_xlfn.XLOOKUP(sales[[#This Row],[Fecha]],OPEX_SALES!A:A,OPEX_SALES!B:B)</f>
        <v>3</v>
      </c>
      <c r="G307" s="14" t="str">
        <f>+_xlfn.XLOOKUP(sales[[#This Row],[Fecha]],OPEX_SALES!A:A,OPEX_SALES!E:E)</f>
        <v>B) Viernes</v>
      </c>
      <c r="H307" s="14" t="str">
        <f>+TEXT(sales[[#This Row],[Fecha]],"ddd")</f>
        <v>vie</v>
      </c>
      <c r="I307" s="185">
        <f>+sales[[#This Row],[Venta]]-sales[[#This Row],[costo_venta]]</f>
        <v>3000</v>
      </c>
      <c r="J307" s="101">
        <f>[1]sales!K312</f>
        <v>13500</v>
      </c>
      <c r="K307" s="79">
        <f>[1]sales!I312</f>
        <v>13500</v>
      </c>
      <c r="L307" s="52">
        <f>[1]sales!J312</f>
        <v>0</v>
      </c>
      <c r="M307" s="1">
        <f>[1]sales!L312*sales[[#This Row],[cantidad]]</f>
        <v>10500</v>
      </c>
      <c r="N307" s="37">
        <f>+(sales[[#This Row],[Venta]]-sales[[#This Row],[costo_venta]])/sales[[#This Row],[Venta]]</f>
        <v>0.22222222222222221</v>
      </c>
    </row>
    <row r="308" spans="1:14" x14ac:dyDescent="0.2">
      <c r="A308" s="14">
        <f>[1]sales!A313</f>
        <v>46094</v>
      </c>
      <c r="B308" s="188">
        <f>[1]sales!B313</f>
        <v>0.96568287037037037</v>
      </c>
      <c r="C308" s="184" t="s">
        <v>49</v>
      </c>
      <c r="D308" s="14" t="str">
        <f>[1]sales!D313</f>
        <v xml:space="preserve"> Chorizo con papa/arepa</v>
      </c>
      <c r="E308" s="3">
        <f>+[1]sales!G313</f>
        <v>3</v>
      </c>
      <c r="F308" s="195">
        <f>+_xlfn.XLOOKUP(sales[[#This Row],[Fecha]],OPEX_SALES!A:A,OPEX_SALES!B:B)</f>
        <v>3</v>
      </c>
      <c r="G308" s="14" t="str">
        <f>+_xlfn.XLOOKUP(sales[[#This Row],[Fecha]],OPEX_SALES!A:A,OPEX_SALES!E:E)</f>
        <v>B) Viernes</v>
      </c>
      <c r="H308" s="14" t="str">
        <f>+TEXT(sales[[#This Row],[Fecha]],"ddd")</f>
        <v>vie</v>
      </c>
      <c r="I308" s="185">
        <f>+sales[[#This Row],[Venta]]-sales[[#This Row],[costo_venta]]</f>
        <v>10980</v>
      </c>
      <c r="J308" s="101">
        <f>[1]sales!K313</f>
        <v>24000</v>
      </c>
      <c r="K308" s="79">
        <f>[1]sales!I313</f>
        <v>24000</v>
      </c>
      <c r="L308" s="52">
        <f>[1]sales!J313</f>
        <v>0</v>
      </c>
      <c r="M308" s="1">
        <f>[1]sales!L313*sales[[#This Row],[cantidad]]</f>
        <v>13020</v>
      </c>
      <c r="N308" s="37">
        <f>+(sales[[#This Row],[Venta]]-sales[[#This Row],[costo_venta]])/sales[[#This Row],[Venta]]</f>
        <v>0.45750000000000002</v>
      </c>
    </row>
    <row r="309" spans="1:14" x14ac:dyDescent="0.2">
      <c r="A309" s="14">
        <f>[1]sales!A314</f>
        <v>46094</v>
      </c>
      <c r="B309" s="188">
        <f>[1]sales!B314</f>
        <v>0.96568287037037037</v>
      </c>
      <c r="C309" s="184" t="s">
        <v>49</v>
      </c>
      <c r="D309" s="14" t="str">
        <f>[1]sales!D314</f>
        <v>BEBIDA - Coca Cola</v>
      </c>
      <c r="E309" s="3">
        <f>+[1]sales!G314</f>
        <v>3</v>
      </c>
      <c r="F309" s="195">
        <f>+_xlfn.XLOOKUP(sales[[#This Row],[Fecha]],OPEX_SALES!A:A,OPEX_SALES!B:B)</f>
        <v>3</v>
      </c>
      <c r="G309" s="14" t="str">
        <f>+_xlfn.XLOOKUP(sales[[#This Row],[Fecha]],OPEX_SALES!A:A,OPEX_SALES!E:E)</f>
        <v>B) Viernes</v>
      </c>
      <c r="H309" s="14" t="str">
        <f>+TEXT(sales[[#This Row],[Fecha]],"ddd")</f>
        <v>vie</v>
      </c>
      <c r="I309" s="185">
        <f>+sales[[#This Row],[Venta]]-sales[[#This Row],[costo_venta]]</f>
        <v>5400</v>
      </c>
      <c r="J309" s="101">
        <f>[1]sales!K314</f>
        <v>9000</v>
      </c>
      <c r="K309" s="79">
        <f>[1]sales!I314</f>
        <v>9000</v>
      </c>
      <c r="L309" s="52">
        <f>[1]sales!J314</f>
        <v>0</v>
      </c>
      <c r="M309" s="1">
        <f>[1]sales!L314*sales[[#This Row],[cantidad]]</f>
        <v>3600</v>
      </c>
      <c r="N309" s="37">
        <f>+(sales[[#This Row],[Venta]]-sales[[#This Row],[costo_venta]])/sales[[#This Row],[Venta]]</f>
        <v>0.6</v>
      </c>
    </row>
    <row r="310" spans="1:14" x14ac:dyDescent="0.2">
      <c r="A310" s="14">
        <f>[1]sales!A315</f>
        <v>46094</v>
      </c>
      <c r="B310" s="188">
        <f>[1]sales!B315</f>
        <v>0.96591435185185182</v>
      </c>
      <c r="C310" s="184" t="s">
        <v>49</v>
      </c>
      <c r="D310" s="14" t="str">
        <f>[1]sales!D315</f>
        <v>z. MP -  Chorizo CRUDO</v>
      </c>
      <c r="E310" s="3">
        <f>+[1]sales!G315</f>
        <v>4</v>
      </c>
      <c r="F310" s="195">
        <f>+_xlfn.XLOOKUP(sales[[#This Row],[Fecha]],OPEX_SALES!A:A,OPEX_SALES!B:B)</f>
        <v>3</v>
      </c>
      <c r="G310" s="14" t="str">
        <f>+_xlfn.XLOOKUP(sales[[#This Row],[Fecha]],OPEX_SALES!A:A,OPEX_SALES!E:E)</f>
        <v>B) Viernes</v>
      </c>
      <c r="H310" s="14" t="str">
        <f>+TEXT(sales[[#This Row],[Fecha]],"ddd")</f>
        <v>vie</v>
      </c>
      <c r="I310" s="185">
        <f>+sales[[#This Row],[Venta]]-sales[[#This Row],[costo_venta]]</f>
        <v>4000</v>
      </c>
      <c r="J310" s="101">
        <f>[1]sales!K315</f>
        <v>18000</v>
      </c>
      <c r="K310" s="79">
        <f>[1]sales!I315</f>
        <v>18000</v>
      </c>
      <c r="L310" s="52">
        <f>[1]sales!J315</f>
        <v>0</v>
      </c>
      <c r="M310" s="1">
        <f>[1]sales!L315*sales[[#This Row],[cantidad]]</f>
        <v>14000</v>
      </c>
      <c r="N310" s="37">
        <f>+(sales[[#This Row],[Venta]]-sales[[#This Row],[costo_venta]])/sales[[#This Row],[Venta]]</f>
        <v>0.22222222222222221</v>
      </c>
    </row>
    <row r="311" spans="1:14" x14ac:dyDescent="0.2">
      <c r="A311" s="14">
        <f>[1]sales!A316</f>
        <v>46094</v>
      </c>
      <c r="B311" s="188">
        <f>[1]sales!B316</f>
        <v>0.96614583333333337</v>
      </c>
      <c r="C311" s="184" t="s">
        <v>49</v>
      </c>
      <c r="D311" s="14" t="str">
        <f>[1]sales!D316</f>
        <v xml:space="preserve"> Chorizo con papa/arepa</v>
      </c>
      <c r="E311" s="3">
        <f>+[1]sales!G316</f>
        <v>1</v>
      </c>
      <c r="F311" s="195">
        <f>+_xlfn.XLOOKUP(sales[[#This Row],[Fecha]],OPEX_SALES!A:A,OPEX_SALES!B:B)</f>
        <v>3</v>
      </c>
      <c r="G311" s="14" t="str">
        <f>+_xlfn.XLOOKUP(sales[[#This Row],[Fecha]],OPEX_SALES!A:A,OPEX_SALES!E:E)</f>
        <v>B) Viernes</v>
      </c>
      <c r="H311" s="14" t="str">
        <f>+TEXT(sales[[#This Row],[Fecha]],"ddd")</f>
        <v>vie</v>
      </c>
      <c r="I311" s="185">
        <f>+sales[[#This Row],[Venta]]-sales[[#This Row],[costo_venta]]</f>
        <v>3660</v>
      </c>
      <c r="J311" s="101">
        <f>[1]sales!K316</f>
        <v>8000</v>
      </c>
      <c r="K311" s="79">
        <f>[1]sales!I316</f>
        <v>8000</v>
      </c>
      <c r="L311" s="52">
        <f>[1]sales!J316</f>
        <v>0</v>
      </c>
      <c r="M311" s="1">
        <f>[1]sales!L316*sales[[#This Row],[cantidad]]</f>
        <v>4340</v>
      </c>
      <c r="N311" s="37">
        <f>+(sales[[#This Row],[Venta]]-sales[[#This Row],[costo_venta]])/sales[[#This Row],[Venta]]</f>
        <v>0.45750000000000002</v>
      </c>
    </row>
    <row r="312" spans="1:14" x14ac:dyDescent="0.2">
      <c r="A312" s="14">
        <f>[1]sales!A317</f>
        <v>46094</v>
      </c>
      <c r="B312" s="188">
        <f>[1]sales!B317</f>
        <v>0.96630787037037036</v>
      </c>
      <c r="C312" s="184" t="s">
        <v>49</v>
      </c>
      <c r="D312" s="14" t="str">
        <f>[1]sales!D317</f>
        <v>Parrillada de 30</v>
      </c>
      <c r="E312" s="3">
        <f>+[1]sales!G317</f>
        <v>1</v>
      </c>
      <c r="F312" s="195">
        <f>+_xlfn.XLOOKUP(sales[[#This Row],[Fecha]],OPEX_SALES!A:A,OPEX_SALES!B:B)</f>
        <v>3</v>
      </c>
      <c r="G312" s="14" t="str">
        <f>+_xlfn.XLOOKUP(sales[[#This Row],[Fecha]],OPEX_SALES!A:A,OPEX_SALES!E:E)</f>
        <v>B) Viernes</v>
      </c>
      <c r="H312" s="14" t="str">
        <f>+TEXT(sales[[#This Row],[Fecha]],"ddd")</f>
        <v>vie</v>
      </c>
      <c r="I312" s="185">
        <f>+sales[[#This Row],[Venta]]-sales[[#This Row],[costo_venta]]</f>
        <v>-970000</v>
      </c>
      <c r="J312" s="101">
        <f>[1]sales!K317</f>
        <v>30000</v>
      </c>
      <c r="K312" s="79">
        <f>[1]sales!I317</f>
        <v>30000</v>
      </c>
      <c r="L312" s="52">
        <f>[1]sales!J317</f>
        <v>0</v>
      </c>
      <c r="M312" s="1">
        <f>[1]sales!L317*sales[[#This Row],[cantidad]]</f>
        <v>1000000</v>
      </c>
      <c r="N312" s="37">
        <f>+(sales[[#This Row],[Venta]]-sales[[#This Row],[costo_venta]])/sales[[#This Row],[Venta]]</f>
        <v>-32.333333333333336</v>
      </c>
    </row>
    <row r="313" spans="1:14" x14ac:dyDescent="0.2">
      <c r="A313" s="14">
        <f>[1]sales!A318</f>
        <v>46095</v>
      </c>
      <c r="B313" s="188">
        <f>[1]sales!B318</f>
        <v>0.63886574074074076</v>
      </c>
      <c r="C313" s="184" t="s">
        <v>49</v>
      </c>
      <c r="D313" s="14" t="str">
        <f>[1]sales!D318</f>
        <v xml:space="preserve"> Chorizo con papa/arepa</v>
      </c>
      <c r="E313" s="3">
        <f>+[1]sales!G318</f>
        <v>2</v>
      </c>
      <c r="F313" s="195">
        <f>+_xlfn.XLOOKUP(sales[[#This Row],[Fecha]],OPEX_SALES!A:A,OPEX_SALES!B:B)</f>
        <v>3</v>
      </c>
      <c r="G313" s="14" t="str">
        <f>+_xlfn.XLOOKUP(sales[[#This Row],[Fecha]],OPEX_SALES!A:A,OPEX_SALES!E:E)</f>
        <v>C) Sábado</v>
      </c>
      <c r="H313" s="14" t="str">
        <f>+TEXT(sales[[#This Row],[Fecha]],"ddd")</f>
        <v>sáb</v>
      </c>
      <c r="I313" s="185">
        <f>+sales[[#This Row],[Venta]]-sales[[#This Row],[costo_venta]]</f>
        <v>7320</v>
      </c>
      <c r="J313" s="101">
        <f>[1]sales!K318</f>
        <v>16000</v>
      </c>
      <c r="K313" s="79">
        <f>[1]sales!I318</f>
        <v>16000</v>
      </c>
      <c r="L313" s="52">
        <f>[1]sales!J318</f>
        <v>0</v>
      </c>
      <c r="M313" s="1">
        <f>[1]sales!L318*sales[[#This Row],[cantidad]]</f>
        <v>8680</v>
      </c>
      <c r="N313" s="37">
        <f>+(sales[[#This Row],[Venta]]-sales[[#This Row],[costo_venta]])/sales[[#This Row],[Venta]]</f>
        <v>0.45750000000000002</v>
      </c>
    </row>
    <row r="314" spans="1:14" x14ac:dyDescent="0.2">
      <c r="A314" s="14">
        <f>[1]sales!A319</f>
        <v>46095</v>
      </c>
      <c r="B314" s="188">
        <f>[1]sales!B319</f>
        <v>0.63886574074074076</v>
      </c>
      <c r="C314" s="184" t="s">
        <v>49</v>
      </c>
      <c r="D314" s="14" t="str">
        <f>[1]sales!D319</f>
        <v>BEBIDA - Coca Cola</v>
      </c>
      <c r="E314" s="3">
        <f>+[1]sales!G319</f>
        <v>2</v>
      </c>
      <c r="F314" s="195">
        <f>+_xlfn.XLOOKUP(sales[[#This Row],[Fecha]],OPEX_SALES!A:A,OPEX_SALES!B:B)</f>
        <v>3</v>
      </c>
      <c r="G314" s="14" t="str">
        <f>+_xlfn.XLOOKUP(sales[[#This Row],[Fecha]],OPEX_SALES!A:A,OPEX_SALES!E:E)</f>
        <v>C) Sábado</v>
      </c>
      <c r="H314" s="14" t="str">
        <f>+TEXT(sales[[#This Row],[Fecha]],"ddd")</f>
        <v>sáb</v>
      </c>
      <c r="I314" s="185">
        <f>+sales[[#This Row],[Venta]]-sales[[#This Row],[costo_venta]]</f>
        <v>3600</v>
      </c>
      <c r="J314" s="101">
        <f>[1]sales!K319</f>
        <v>6000</v>
      </c>
      <c r="K314" s="79">
        <f>[1]sales!I319</f>
        <v>6000</v>
      </c>
      <c r="L314" s="52">
        <f>[1]sales!J319</f>
        <v>0</v>
      </c>
      <c r="M314" s="1">
        <f>[1]sales!L319*sales[[#This Row],[cantidad]]</f>
        <v>2400</v>
      </c>
      <c r="N314" s="37">
        <f>+(sales[[#This Row],[Venta]]-sales[[#This Row],[costo_venta]])/sales[[#This Row],[Venta]]</f>
        <v>0.6</v>
      </c>
    </row>
    <row r="315" spans="1:14" x14ac:dyDescent="0.2">
      <c r="A315" s="14">
        <f>[1]sales!A320</f>
        <v>46095</v>
      </c>
      <c r="B315" s="188">
        <f>[1]sales!B320</f>
        <v>0.63942129629629629</v>
      </c>
      <c r="C315" s="184" t="s">
        <v>49</v>
      </c>
      <c r="D315" s="14" t="str">
        <f>[1]sales!D320</f>
        <v xml:space="preserve"> Chorizo con papa/arepa</v>
      </c>
      <c r="E315" s="3">
        <f>+[1]sales!G320</f>
        <v>1</v>
      </c>
      <c r="F315" s="195">
        <f>+_xlfn.XLOOKUP(sales[[#This Row],[Fecha]],OPEX_SALES!A:A,OPEX_SALES!B:B)</f>
        <v>3</v>
      </c>
      <c r="G315" s="14" t="str">
        <f>+_xlfn.XLOOKUP(sales[[#This Row],[Fecha]],OPEX_SALES!A:A,OPEX_SALES!E:E)</f>
        <v>C) Sábado</v>
      </c>
      <c r="H315" s="14" t="str">
        <f>+TEXT(sales[[#This Row],[Fecha]],"ddd")</f>
        <v>sáb</v>
      </c>
      <c r="I315" s="185">
        <f>+sales[[#This Row],[Venta]]-sales[[#This Row],[costo_venta]]</f>
        <v>3660</v>
      </c>
      <c r="J315" s="101">
        <f>[1]sales!K320</f>
        <v>8000</v>
      </c>
      <c r="K315" s="79">
        <f>[1]sales!I320</f>
        <v>8000</v>
      </c>
      <c r="L315" s="52">
        <f>[1]sales!J320</f>
        <v>0</v>
      </c>
      <c r="M315" s="1">
        <f>[1]sales!L320*sales[[#This Row],[cantidad]]</f>
        <v>4340</v>
      </c>
      <c r="N315" s="37">
        <f>+(sales[[#This Row],[Venta]]-sales[[#This Row],[costo_venta]])/sales[[#This Row],[Venta]]</f>
        <v>0.45750000000000002</v>
      </c>
    </row>
    <row r="316" spans="1:14" x14ac:dyDescent="0.2">
      <c r="A316" s="14">
        <f>[1]sales!A321</f>
        <v>46095</v>
      </c>
      <c r="B316" s="188">
        <f>[1]sales!B321</f>
        <v>0.63942129629629629</v>
      </c>
      <c r="C316" s="184" t="s">
        <v>49</v>
      </c>
      <c r="D316" s="14" t="str">
        <f>[1]sales!D321</f>
        <v>BEBIDA - Coca Cola</v>
      </c>
      <c r="E316" s="3">
        <f>+[1]sales!G321</f>
        <v>1</v>
      </c>
      <c r="F316" s="195">
        <f>+_xlfn.XLOOKUP(sales[[#This Row],[Fecha]],OPEX_SALES!A:A,OPEX_SALES!B:B)</f>
        <v>3</v>
      </c>
      <c r="G316" s="14" t="str">
        <f>+_xlfn.XLOOKUP(sales[[#This Row],[Fecha]],OPEX_SALES!A:A,OPEX_SALES!E:E)</f>
        <v>C) Sábado</v>
      </c>
      <c r="H316" s="14" t="str">
        <f>+TEXT(sales[[#This Row],[Fecha]],"ddd")</f>
        <v>sáb</v>
      </c>
      <c r="I316" s="185">
        <f>+sales[[#This Row],[Venta]]-sales[[#This Row],[costo_venta]]</f>
        <v>1800</v>
      </c>
      <c r="J316" s="101">
        <f>[1]sales!K321</f>
        <v>3000</v>
      </c>
      <c r="K316" s="79">
        <f>[1]sales!I321</f>
        <v>3000</v>
      </c>
      <c r="L316" s="52">
        <f>[1]sales!J321</f>
        <v>0</v>
      </c>
      <c r="M316" s="1">
        <f>[1]sales!L321*sales[[#This Row],[cantidad]]</f>
        <v>1200</v>
      </c>
      <c r="N316" s="37">
        <f>+(sales[[#This Row],[Venta]]-sales[[#This Row],[costo_venta]])/sales[[#This Row],[Venta]]</f>
        <v>0.6</v>
      </c>
    </row>
    <row r="317" spans="1:14" x14ac:dyDescent="0.2">
      <c r="A317" s="14">
        <f>[1]sales!A322</f>
        <v>46095</v>
      </c>
      <c r="B317" s="188">
        <f>[1]sales!B322</f>
        <v>0.64011574074074074</v>
      </c>
      <c r="C317" s="184" t="s">
        <v>49</v>
      </c>
      <c r="D317" s="14" t="str">
        <f>[1]sales!D322</f>
        <v>z. MP -  Chorizo CRUDO</v>
      </c>
      <c r="E317" s="3">
        <f>+[1]sales!G322</f>
        <v>2</v>
      </c>
      <c r="F317" s="195">
        <f>+_xlfn.XLOOKUP(sales[[#This Row],[Fecha]],OPEX_SALES!A:A,OPEX_SALES!B:B)</f>
        <v>3</v>
      </c>
      <c r="G317" s="14" t="str">
        <f>+_xlfn.XLOOKUP(sales[[#This Row],[Fecha]],OPEX_SALES!A:A,OPEX_SALES!E:E)</f>
        <v>C) Sábado</v>
      </c>
      <c r="H317" s="14" t="str">
        <f>+TEXT(sales[[#This Row],[Fecha]],"ddd")</f>
        <v>sáb</v>
      </c>
      <c r="I317" s="185">
        <f>+sales[[#This Row],[Venta]]-sales[[#This Row],[costo_venta]]</f>
        <v>2000</v>
      </c>
      <c r="J317" s="101">
        <f>[1]sales!K322</f>
        <v>9000</v>
      </c>
      <c r="K317" s="79">
        <f>[1]sales!I322</f>
        <v>9000</v>
      </c>
      <c r="L317" s="52">
        <f>[1]sales!J322</f>
        <v>0</v>
      </c>
      <c r="M317" s="1">
        <f>[1]sales!L322*sales[[#This Row],[cantidad]]</f>
        <v>7000</v>
      </c>
      <c r="N317" s="37">
        <f>+(sales[[#This Row],[Venta]]-sales[[#This Row],[costo_venta]])/sales[[#This Row],[Venta]]</f>
        <v>0.22222222222222221</v>
      </c>
    </row>
    <row r="318" spans="1:14" x14ac:dyDescent="0.2">
      <c r="A318" s="14">
        <f>[1]sales!A323</f>
        <v>46095</v>
      </c>
      <c r="B318" s="188">
        <f>[1]sales!B323</f>
        <v>0.64046296296296301</v>
      </c>
      <c r="C318" s="184" t="s">
        <v>49</v>
      </c>
      <c r="D318" s="14" t="str">
        <f>[1]sales!D323</f>
        <v xml:space="preserve"> Chorizo con papa/arepa</v>
      </c>
      <c r="E318" s="3">
        <f>+[1]sales!G323</f>
        <v>2</v>
      </c>
      <c r="F318" s="195">
        <f>+_xlfn.XLOOKUP(sales[[#This Row],[Fecha]],OPEX_SALES!A:A,OPEX_SALES!B:B)</f>
        <v>3</v>
      </c>
      <c r="G318" s="14" t="str">
        <f>+_xlfn.XLOOKUP(sales[[#This Row],[Fecha]],OPEX_SALES!A:A,OPEX_SALES!E:E)</f>
        <v>C) Sábado</v>
      </c>
      <c r="H318" s="14" t="str">
        <f>+TEXT(sales[[#This Row],[Fecha]],"ddd")</f>
        <v>sáb</v>
      </c>
      <c r="I318" s="185">
        <f>+sales[[#This Row],[Venta]]-sales[[#This Row],[costo_venta]]</f>
        <v>7320</v>
      </c>
      <c r="J318" s="101">
        <f>[1]sales!K323</f>
        <v>16000</v>
      </c>
      <c r="K318" s="79">
        <f>[1]sales!I323</f>
        <v>16000</v>
      </c>
      <c r="L318" s="52">
        <f>[1]sales!J323</f>
        <v>0</v>
      </c>
      <c r="M318" s="1">
        <f>[1]sales!L323*sales[[#This Row],[cantidad]]</f>
        <v>8680</v>
      </c>
      <c r="N318" s="37">
        <f>+(sales[[#This Row],[Venta]]-sales[[#This Row],[costo_venta]])/sales[[#This Row],[Venta]]</f>
        <v>0.45750000000000002</v>
      </c>
    </row>
    <row r="319" spans="1:14" x14ac:dyDescent="0.2">
      <c r="A319" s="14">
        <f>[1]sales!A324</f>
        <v>46095</v>
      </c>
      <c r="B319" s="188">
        <f>[1]sales!B324</f>
        <v>0.64046296296296301</v>
      </c>
      <c r="C319" s="184" t="s">
        <v>49</v>
      </c>
      <c r="D319" s="14" t="str">
        <f>[1]sales!D324</f>
        <v>BEBIDA - Coca Cola</v>
      </c>
      <c r="E319" s="3">
        <f>+[1]sales!G324</f>
        <v>2</v>
      </c>
      <c r="F319" s="195">
        <f>+_xlfn.XLOOKUP(sales[[#This Row],[Fecha]],OPEX_SALES!A:A,OPEX_SALES!B:B)</f>
        <v>3</v>
      </c>
      <c r="G319" s="14" t="str">
        <f>+_xlfn.XLOOKUP(sales[[#This Row],[Fecha]],OPEX_SALES!A:A,OPEX_SALES!E:E)</f>
        <v>C) Sábado</v>
      </c>
      <c r="H319" s="14" t="str">
        <f>+TEXT(sales[[#This Row],[Fecha]],"ddd")</f>
        <v>sáb</v>
      </c>
      <c r="I319" s="185">
        <f>+sales[[#This Row],[Venta]]-sales[[#This Row],[costo_venta]]</f>
        <v>3600</v>
      </c>
      <c r="J319" s="101">
        <f>[1]sales!K324</f>
        <v>6000</v>
      </c>
      <c r="K319" s="79">
        <f>[1]sales!I324</f>
        <v>6000</v>
      </c>
      <c r="L319" s="52">
        <f>[1]sales!J324</f>
        <v>0</v>
      </c>
      <c r="M319" s="1">
        <f>[1]sales!L324*sales[[#This Row],[cantidad]]</f>
        <v>2400</v>
      </c>
      <c r="N319" s="37">
        <f>+(sales[[#This Row],[Venta]]-sales[[#This Row],[costo_venta]])/sales[[#This Row],[Venta]]</f>
        <v>0.6</v>
      </c>
    </row>
    <row r="320" spans="1:14" x14ac:dyDescent="0.2">
      <c r="A320" s="14">
        <f>[1]sales!A325</f>
        <v>46095</v>
      </c>
      <c r="B320" s="188">
        <f>[1]sales!B325</f>
        <v>0.6466319444444445</v>
      </c>
      <c r="C320" s="184" t="s">
        <v>49</v>
      </c>
      <c r="D320" s="14" t="str">
        <f>[1]sales!D325</f>
        <v xml:space="preserve"> Chorizo solo</v>
      </c>
      <c r="E320" s="3">
        <f>+[1]sales!G325</f>
        <v>1</v>
      </c>
      <c r="F320" s="195">
        <f>+_xlfn.XLOOKUP(sales[[#This Row],[Fecha]],OPEX_SALES!A:A,OPEX_SALES!B:B)</f>
        <v>3</v>
      </c>
      <c r="G320" s="14" t="str">
        <f>+_xlfn.XLOOKUP(sales[[#This Row],[Fecha]],OPEX_SALES!A:A,OPEX_SALES!E:E)</f>
        <v>C) Sábado</v>
      </c>
      <c r="H320" s="14" t="str">
        <f>+TEXT(sales[[#This Row],[Fecha]],"ddd")</f>
        <v>sáb</v>
      </c>
      <c r="I320" s="185">
        <f>+sales[[#This Row],[Venta]]-sales[[#This Row],[costo_venta]]</f>
        <v>3500</v>
      </c>
      <c r="J320" s="101">
        <f>[1]sales!K325</f>
        <v>7000</v>
      </c>
      <c r="K320" s="79">
        <f>[1]sales!I325</f>
        <v>7000</v>
      </c>
      <c r="L320" s="52">
        <f>[1]sales!J325</f>
        <v>0</v>
      </c>
      <c r="M320" s="1">
        <f>[1]sales!L325*sales[[#This Row],[cantidad]]</f>
        <v>3500</v>
      </c>
      <c r="N320" s="37">
        <f>+(sales[[#This Row],[Venta]]-sales[[#This Row],[costo_venta]])/sales[[#This Row],[Venta]]</f>
        <v>0.5</v>
      </c>
    </row>
    <row r="321" spans="1:14" x14ac:dyDescent="0.2">
      <c r="A321" s="14">
        <f>[1]sales!A326</f>
        <v>46095</v>
      </c>
      <c r="B321" s="188">
        <f>[1]sales!B326</f>
        <v>0.6466319444444445</v>
      </c>
      <c r="C321" s="184" t="s">
        <v>49</v>
      </c>
      <c r="D321" s="14" t="str">
        <f>[1]sales!D326</f>
        <v>Bandeja Choriboni - 30</v>
      </c>
      <c r="E321" s="3">
        <f>+[1]sales!G326</f>
        <v>1</v>
      </c>
      <c r="F321" s="195">
        <f>+_xlfn.XLOOKUP(sales[[#This Row],[Fecha]],OPEX_SALES!A:A,OPEX_SALES!B:B)</f>
        <v>3</v>
      </c>
      <c r="G321" s="14" t="str">
        <f>+_xlfn.XLOOKUP(sales[[#This Row],[Fecha]],OPEX_SALES!A:A,OPEX_SALES!E:E)</f>
        <v>C) Sábado</v>
      </c>
      <c r="H321" s="14" t="str">
        <f>+TEXT(sales[[#This Row],[Fecha]],"ddd")</f>
        <v>sáb</v>
      </c>
      <c r="I321" s="185">
        <f>+sales[[#This Row],[Venta]]-sales[[#This Row],[costo_venta]]</f>
        <v>26500</v>
      </c>
      <c r="J321" s="101">
        <f>[1]sales!K326</f>
        <v>30000</v>
      </c>
      <c r="K321" s="79">
        <f>[1]sales!I326</f>
        <v>30000</v>
      </c>
      <c r="L321" s="52">
        <f>[1]sales!J326</f>
        <v>0</v>
      </c>
      <c r="M321" s="1">
        <f>[1]sales!L326*sales[[#This Row],[cantidad]]</f>
        <v>3500</v>
      </c>
      <c r="N321" s="37">
        <f>+(sales[[#This Row],[Venta]]-sales[[#This Row],[costo_venta]])/sales[[#This Row],[Venta]]</f>
        <v>0.8833333333333333</v>
      </c>
    </row>
    <row r="322" spans="1:14" x14ac:dyDescent="0.2">
      <c r="A322" s="14">
        <f>[1]sales!A327</f>
        <v>46095</v>
      </c>
      <c r="B322" s="188">
        <f>[1]sales!B327</f>
        <v>0.64921296296296294</v>
      </c>
      <c r="C322" s="184" t="s">
        <v>49</v>
      </c>
      <c r="D322" s="14" t="str">
        <f>[1]sales!D327</f>
        <v xml:space="preserve"> Chorizo con papa/arepa</v>
      </c>
      <c r="E322" s="3">
        <f>+[1]sales!G327</f>
        <v>3</v>
      </c>
      <c r="F322" s="195">
        <f>+_xlfn.XLOOKUP(sales[[#This Row],[Fecha]],OPEX_SALES!A:A,OPEX_SALES!B:B)</f>
        <v>3</v>
      </c>
      <c r="G322" s="14" t="str">
        <f>+_xlfn.XLOOKUP(sales[[#This Row],[Fecha]],OPEX_SALES!A:A,OPEX_SALES!E:E)</f>
        <v>C) Sábado</v>
      </c>
      <c r="H322" s="14" t="str">
        <f>+TEXT(sales[[#This Row],[Fecha]],"ddd")</f>
        <v>sáb</v>
      </c>
      <c r="I322" s="185">
        <f>+sales[[#This Row],[Venta]]-sales[[#This Row],[costo_venta]]</f>
        <v>10980</v>
      </c>
      <c r="J322" s="101">
        <f>[1]sales!K327</f>
        <v>24000</v>
      </c>
      <c r="K322" s="79">
        <f>[1]sales!I327</f>
        <v>24000</v>
      </c>
      <c r="L322" s="52">
        <f>[1]sales!J327</f>
        <v>0</v>
      </c>
      <c r="M322" s="1">
        <f>[1]sales!L327*sales[[#This Row],[cantidad]]</f>
        <v>13020</v>
      </c>
      <c r="N322" s="37">
        <f>+(sales[[#This Row],[Venta]]-sales[[#This Row],[costo_venta]])/sales[[#This Row],[Venta]]</f>
        <v>0.45750000000000002</v>
      </c>
    </row>
    <row r="323" spans="1:14" x14ac:dyDescent="0.2">
      <c r="A323" s="14">
        <f>[1]sales!A328</f>
        <v>46095</v>
      </c>
      <c r="B323" s="188">
        <f>[1]sales!B328</f>
        <v>0.64921296296296294</v>
      </c>
      <c r="C323" s="184" t="s">
        <v>49</v>
      </c>
      <c r="D323" s="14" t="str">
        <f>[1]sales!D328</f>
        <v>BEBIDA - Coca Cola</v>
      </c>
      <c r="E323" s="3">
        <f>+[1]sales!G328</f>
        <v>1</v>
      </c>
      <c r="F323" s="195">
        <f>+_xlfn.XLOOKUP(sales[[#This Row],[Fecha]],OPEX_SALES!A:A,OPEX_SALES!B:B)</f>
        <v>3</v>
      </c>
      <c r="G323" s="14" t="str">
        <f>+_xlfn.XLOOKUP(sales[[#This Row],[Fecha]],OPEX_SALES!A:A,OPEX_SALES!E:E)</f>
        <v>C) Sábado</v>
      </c>
      <c r="H323" s="14" t="str">
        <f>+TEXT(sales[[#This Row],[Fecha]],"ddd")</f>
        <v>sáb</v>
      </c>
      <c r="I323" s="185">
        <f>+sales[[#This Row],[Venta]]-sales[[#This Row],[costo_venta]]</f>
        <v>1800</v>
      </c>
      <c r="J323" s="101">
        <f>[1]sales!K328</f>
        <v>3000</v>
      </c>
      <c r="K323" s="79">
        <f>[1]sales!I328</f>
        <v>3000</v>
      </c>
      <c r="L323" s="52">
        <f>[1]sales!J328</f>
        <v>0</v>
      </c>
      <c r="M323" s="1">
        <f>[1]sales!L328*sales[[#This Row],[cantidad]]</f>
        <v>1200</v>
      </c>
      <c r="N323" s="37">
        <f>+(sales[[#This Row],[Venta]]-sales[[#This Row],[costo_venta]])/sales[[#This Row],[Venta]]</f>
        <v>0.6</v>
      </c>
    </row>
    <row r="324" spans="1:14" x14ac:dyDescent="0.2">
      <c r="A324" s="14">
        <f>[1]sales!A329</f>
        <v>46095</v>
      </c>
      <c r="B324" s="188">
        <f>[1]sales!B329</f>
        <v>0.64921296296296294</v>
      </c>
      <c r="C324" s="184" t="s">
        <v>49</v>
      </c>
      <c r="D324" s="14" t="str">
        <f>[1]sales!D329</f>
        <v>CARNES - Media carne</v>
      </c>
      <c r="E324" s="3">
        <f>+[1]sales!G329</f>
        <v>1</v>
      </c>
      <c r="F324" s="195">
        <f>+_xlfn.XLOOKUP(sales[[#This Row],[Fecha]],OPEX_SALES!A:A,OPEX_SALES!B:B)</f>
        <v>3</v>
      </c>
      <c r="G324" s="14" t="str">
        <f>+_xlfn.XLOOKUP(sales[[#This Row],[Fecha]],OPEX_SALES!A:A,OPEX_SALES!E:E)</f>
        <v>C) Sábado</v>
      </c>
      <c r="H324" s="14" t="str">
        <f>+TEXT(sales[[#This Row],[Fecha]],"ddd")</f>
        <v>sáb</v>
      </c>
      <c r="I324" s="185">
        <f>+sales[[#This Row],[Venta]]-sales[[#This Row],[costo_venta]]</f>
        <v>-985000</v>
      </c>
      <c r="J324" s="101">
        <f>[1]sales!K329</f>
        <v>15000</v>
      </c>
      <c r="K324" s="79">
        <f>[1]sales!I329</f>
        <v>15000</v>
      </c>
      <c r="L324" s="52">
        <f>[1]sales!J329</f>
        <v>0</v>
      </c>
      <c r="M324" s="1">
        <f>[1]sales!L329*sales[[#This Row],[cantidad]]</f>
        <v>1000000</v>
      </c>
      <c r="N324" s="37">
        <f>+(sales[[#This Row],[Venta]]-sales[[#This Row],[costo_venta]])/sales[[#This Row],[Venta]]</f>
        <v>-65.666666666666671</v>
      </c>
    </row>
    <row r="325" spans="1:14" x14ac:dyDescent="0.2">
      <c r="A325" s="14">
        <f>[1]sales!A330</f>
        <v>46095</v>
      </c>
      <c r="B325" s="188">
        <f>[1]sales!B330</f>
        <v>0.66251157407407413</v>
      </c>
      <c r="C325" s="184" t="s">
        <v>49</v>
      </c>
      <c r="D325" s="14" t="str">
        <f>[1]sales!D330</f>
        <v>CARNES - Carne asada 23</v>
      </c>
      <c r="E325" s="3">
        <f>+[1]sales!G330</f>
        <v>1</v>
      </c>
      <c r="F325" s="195">
        <f>+_xlfn.XLOOKUP(sales[[#This Row],[Fecha]],OPEX_SALES!A:A,OPEX_SALES!B:B)</f>
        <v>3</v>
      </c>
      <c r="G325" s="14" t="str">
        <f>+_xlfn.XLOOKUP(sales[[#This Row],[Fecha]],OPEX_SALES!A:A,OPEX_SALES!E:E)</f>
        <v>C) Sábado</v>
      </c>
      <c r="H325" s="14" t="str">
        <f>+TEXT(sales[[#This Row],[Fecha]],"ddd")</f>
        <v>sáb</v>
      </c>
      <c r="I325" s="185">
        <f>+sales[[#This Row],[Venta]]-sales[[#This Row],[costo_venta]]</f>
        <v>-977000</v>
      </c>
      <c r="J325" s="101">
        <f>[1]sales!K330</f>
        <v>23000</v>
      </c>
      <c r="K325" s="79">
        <f>[1]sales!I330</f>
        <v>0</v>
      </c>
      <c r="L325" s="52">
        <f>[1]sales!J330</f>
        <v>23000</v>
      </c>
      <c r="M325" s="1">
        <f>[1]sales!L330*sales[[#This Row],[cantidad]]</f>
        <v>1000000</v>
      </c>
      <c r="N325" s="37">
        <f>+(sales[[#This Row],[Venta]]-sales[[#This Row],[costo_venta]])/sales[[#This Row],[Venta]]</f>
        <v>-42.478260869565219</v>
      </c>
    </row>
    <row r="326" spans="1:14" x14ac:dyDescent="0.2">
      <c r="A326" s="14">
        <f>[1]sales!A331</f>
        <v>46095</v>
      </c>
      <c r="B326" s="188">
        <f>[1]sales!B331</f>
        <v>0.66951388888888885</v>
      </c>
      <c r="C326" s="184" t="s">
        <v>49</v>
      </c>
      <c r="D326" s="14" t="str">
        <f>[1]sales!D331</f>
        <v xml:space="preserve"> Chorizo con papa/arepa</v>
      </c>
      <c r="E326" s="3">
        <f>+[1]sales!G331</f>
        <v>1</v>
      </c>
      <c r="F326" s="195">
        <f>+_xlfn.XLOOKUP(sales[[#This Row],[Fecha]],OPEX_SALES!A:A,OPEX_SALES!B:B)</f>
        <v>3</v>
      </c>
      <c r="G326" s="14" t="str">
        <f>+_xlfn.XLOOKUP(sales[[#This Row],[Fecha]],OPEX_SALES!A:A,OPEX_SALES!E:E)</f>
        <v>C) Sábado</v>
      </c>
      <c r="H326" s="14" t="str">
        <f>+TEXT(sales[[#This Row],[Fecha]],"ddd")</f>
        <v>sáb</v>
      </c>
      <c r="I326" s="185">
        <f>+sales[[#This Row],[Venta]]-sales[[#This Row],[costo_venta]]</f>
        <v>3660</v>
      </c>
      <c r="J326" s="101">
        <f>[1]sales!K331</f>
        <v>8000</v>
      </c>
      <c r="K326" s="79">
        <f>[1]sales!I331</f>
        <v>0</v>
      </c>
      <c r="L326" s="52">
        <f>[1]sales!J331</f>
        <v>8000</v>
      </c>
      <c r="M326" s="1">
        <f>[1]sales!L331*sales[[#This Row],[cantidad]]</f>
        <v>4340</v>
      </c>
      <c r="N326" s="37">
        <f>+(sales[[#This Row],[Venta]]-sales[[#This Row],[costo_venta]])/sales[[#This Row],[Venta]]</f>
        <v>0.45750000000000002</v>
      </c>
    </row>
    <row r="327" spans="1:14" x14ac:dyDescent="0.2">
      <c r="A327" s="14">
        <f>[1]sales!A332</f>
        <v>46095</v>
      </c>
      <c r="B327" s="188">
        <f>[1]sales!B332</f>
        <v>0.66951388888888885</v>
      </c>
      <c r="C327" s="184" t="s">
        <v>49</v>
      </c>
      <c r="D327" s="14" t="str">
        <f>[1]sales!D332</f>
        <v>BEBIDA - Coca Cola</v>
      </c>
      <c r="E327" s="3">
        <f>+[1]sales!G332</f>
        <v>1</v>
      </c>
      <c r="F327" s="195">
        <f>+_xlfn.XLOOKUP(sales[[#This Row],[Fecha]],OPEX_SALES!A:A,OPEX_SALES!B:B)</f>
        <v>3</v>
      </c>
      <c r="G327" s="14" t="str">
        <f>+_xlfn.XLOOKUP(sales[[#This Row],[Fecha]],OPEX_SALES!A:A,OPEX_SALES!E:E)</f>
        <v>C) Sábado</v>
      </c>
      <c r="H327" s="14" t="str">
        <f>+TEXT(sales[[#This Row],[Fecha]],"ddd")</f>
        <v>sáb</v>
      </c>
      <c r="I327" s="185">
        <f>+sales[[#This Row],[Venta]]-sales[[#This Row],[costo_venta]]</f>
        <v>1800</v>
      </c>
      <c r="J327" s="101">
        <f>[1]sales!K332</f>
        <v>3000</v>
      </c>
      <c r="K327" s="79">
        <f>[1]sales!I332</f>
        <v>0</v>
      </c>
      <c r="L327" s="52">
        <f>[1]sales!J332</f>
        <v>3000</v>
      </c>
      <c r="M327" s="1">
        <f>[1]sales!L332*sales[[#This Row],[cantidad]]</f>
        <v>1200</v>
      </c>
      <c r="N327" s="37">
        <f>+(sales[[#This Row],[Venta]]-sales[[#This Row],[costo_venta]])/sales[[#This Row],[Venta]]</f>
        <v>0.6</v>
      </c>
    </row>
    <row r="328" spans="1:14" x14ac:dyDescent="0.2">
      <c r="A328" s="14">
        <f>[1]sales!A333</f>
        <v>46095</v>
      </c>
      <c r="B328" s="188">
        <f>[1]sales!B333</f>
        <v>0.67760416666666667</v>
      </c>
      <c r="C328" s="184" t="s">
        <v>49</v>
      </c>
      <c r="D328" s="14" t="str">
        <f>[1]sales!D333</f>
        <v>CARNES  - Carne asada  - 20</v>
      </c>
      <c r="E328" s="3">
        <f>+[1]sales!G333</f>
        <v>1</v>
      </c>
      <c r="F328" s="195">
        <f>+_xlfn.XLOOKUP(sales[[#This Row],[Fecha]],OPEX_SALES!A:A,OPEX_SALES!B:B)</f>
        <v>3</v>
      </c>
      <c r="G328" s="14" t="str">
        <f>+_xlfn.XLOOKUP(sales[[#This Row],[Fecha]],OPEX_SALES!A:A,OPEX_SALES!E:E)</f>
        <v>C) Sábado</v>
      </c>
      <c r="H328" s="14" t="str">
        <f>+TEXT(sales[[#This Row],[Fecha]],"ddd")</f>
        <v>sáb</v>
      </c>
      <c r="I328" s="185">
        <f>+sales[[#This Row],[Venta]]-sales[[#This Row],[costo_venta]]</f>
        <v>-980000</v>
      </c>
      <c r="J328" s="101">
        <f>[1]sales!K333</f>
        <v>20000</v>
      </c>
      <c r="K328" s="79">
        <f>[1]sales!I333</f>
        <v>20000</v>
      </c>
      <c r="L328" s="52">
        <f>[1]sales!J333</f>
        <v>0</v>
      </c>
      <c r="M328" s="1">
        <f>[1]sales!L333*sales[[#This Row],[cantidad]]</f>
        <v>1000000</v>
      </c>
      <c r="N328" s="37">
        <f>+(sales[[#This Row],[Venta]]-sales[[#This Row],[costo_venta]])/sales[[#This Row],[Venta]]</f>
        <v>-49</v>
      </c>
    </row>
    <row r="329" spans="1:14" x14ac:dyDescent="0.2">
      <c r="A329" s="14">
        <f>[1]sales!A334</f>
        <v>46095</v>
      </c>
      <c r="B329" s="188">
        <f>[1]sales!B334</f>
        <v>0.68554398148148143</v>
      </c>
      <c r="C329" s="184" t="s">
        <v>49</v>
      </c>
      <c r="D329" s="14" t="str">
        <f>[1]sales!D334</f>
        <v xml:space="preserve"> Chorizo con papa/arepa</v>
      </c>
      <c r="E329" s="3">
        <f>+[1]sales!G334</f>
        <v>3</v>
      </c>
      <c r="F329" s="195">
        <f>+_xlfn.XLOOKUP(sales[[#This Row],[Fecha]],OPEX_SALES!A:A,OPEX_SALES!B:B)</f>
        <v>3</v>
      </c>
      <c r="G329" s="14" t="str">
        <f>+_xlfn.XLOOKUP(sales[[#This Row],[Fecha]],OPEX_SALES!A:A,OPEX_SALES!E:E)</f>
        <v>C) Sábado</v>
      </c>
      <c r="H329" s="14" t="str">
        <f>+TEXT(sales[[#This Row],[Fecha]],"ddd")</f>
        <v>sáb</v>
      </c>
      <c r="I329" s="185">
        <f>+sales[[#This Row],[Venta]]-sales[[#This Row],[costo_venta]]</f>
        <v>10980</v>
      </c>
      <c r="J329" s="101">
        <f>[1]sales!K334</f>
        <v>24000</v>
      </c>
      <c r="K329" s="79">
        <f>[1]sales!I334</f>
        <v>24000</v>
      </c>
      <c r="L329" s="52">
        <f>[1]sales!J334</f>
        <v>0</v>
      </c>
      <c r="M329" s="1">
        <f>[1]sales!L334*sales[[#This Row],[cantidad]]</f>
        <v>13020</v>
      </c>
      <c r="N329" s="37">
        <f>+(sales[[#This Row],[Venta]]-sales[[#This Row],[costo_venta]])/sales[[#This Row],[Venta]]</f>
        <v>0.45750000000000002</v>
      </c>
    </row>
    <row r="330" spans="1:14" x14ac:dyDescent="0.2">
      <c r="A330" s="14">
        <f>[1]sales!A335</f>
        <v>46095</v>
      </c>
      <c r="B330" s="188">
        <f>[1]sales!B335</f>
        <v>0.68554398148148143</v>
      </c>
      <c r="C330" s="184" t="s">
        <v>49</v>
      </c>
      <c r="D330" s="14" t="str">
        <f>[1]sales!D335</f>
        <v xml:space="preserve"> Chorizo solo</v>
      </c>
      <c r="E330" s="3">
        <f>+[1]sales!G335</f>
        <v>1</v>
      </c>
      <c r="F330" s="195">
        <f>+_xlfn.XLOOKUP(sales[[#This Row],[Fecha]],OPEX_SALES!A:A,OPEX_SALES!B:B)</f>
        <v>3</v>
      </c>
      <c r="G330" s="14" t="str">
        <f>+_xlfn.XLOOKUP(sales[[#This Row],[Fecha]],OPEX_SALES!A:A,OPEX_SALES!E:E)</f>
        <v>C) Sábado</v>
      </c>
      <c r="H330" s="14" t="str">
        <f>+TEXT(sales[[#This Row],[Fecha]],"ddd")</f>
        <v>sáb</v>
      </c>
      <c r="I330" s="185">
        <f>+sales[[#This Row],[Venta]]-sales[[#This Row],[costo_venta]]</f>
        <v>3500</v>
      </c>
      <c r="J330" s="101">
        <f>[1]sales!K335</f>
        <v>7000</v>
      </c>
      <c r="K330" s="79">
        <f>[1]sales!I335</f>
        <v>7000</v>
      </c>
      <c r="L330" s="52">
        <f>[1]sales!J335</f>
        <v>0</v>
      </c>
      <c r="M330" s="1">
        <f>[1]sales!L335*sales[[#This Row],[cantidad]]</f>
        <v>3500</v>
      </c>
      <c r="N330" s="37">
        <f>+(sales[[#This Row],[Venta]]-sales[[#This Row],[costo_venta]])/sales[[#This Row],[Venta]]</f>
        <v>0.5</v>
      </c>
    </row>
    <row r="331" spans="1:14" x14ac:dyDescent="0.2">
      <c r="A331" s="14">
        <f>[1]sales!A336</f>
        <v>46095</v>
      </c>
      <c r="B331" s="188">
        <f>[1]sales!B336</f>
        <v>0.68554398148148143</v>
      </c>
      <c r="C331" s="184" t="s">
        <v>49</v>
      </c>
      <c r="D331" s="14" t="str">
        <f>[1]sales!D336</f>
        <v>BEBIDA - Coca Cola</v>
      </c>
      <c r="E331" s="3">
        <f>+[1]sales!G336</f>
        <v>3</v>
      </c>
      <c r="F331" s="195">
        <f>+_xlfn.XLOOKUP(sales[[#This Row],[Fecha]],OPEX_SALES!A:A,OPEX_SALES!B:B)</f>
        <v>3</v>
      </c>
      <c r="G331" s="14" t="str">
        <f>+_xlfn.XLOOKUP(sales[[#This Row],[Fecha]],OPEX_SALES!A:A,OPEX_SALES!E:E)</f>
        <v>C) Sábado</v>
      </c>
      <c r="H331" s="14" t="str">
        <f>+TEXT(sales[[#This Row],[Fecha]],"ddd")</f>
        <v>sáb</v>
      </c>
      <c r="I331" s="185">
        <f>+sales[[#This Row],[Venta]]-sales[[#This Row],[costo_venta]]</f>
        <v>5400</v>
      </c>
      <c r="J331" s="101">
        <f>[1]sales!K336</f>
        <v>9000</v>
      </c>
      <c r="K331" s="79">
        <f>[1]sales!I336</f>
        <v>9000</v>
      </c>
      <c r="L331" s="52">
        <f>[1]sales!J336</f>
        <v>0</v>
      </c>
      <c r="M331" s="1">
        <f>[1]sales!L336*sales[[#This Row],[cantidad]]</f>
        <v>3600</v>
      </c>
      <c r="N331" s="37">
        <f>+(sales[[#This Row],[Venta]]-sales[[#This Row],[costo_venta]])/sales[[#This Row],[Venta]]</f>
        <v>0.6</v>
      </c>
    </row>
    <row r="332" spans="1:14" x14ac:dyDescent="0.2">
      <c r="A332" s="14">
        <f>[1]sales!A337</f>
        <v>46095</v>
      </c>
      <c r="B332" s="188">
        <f>[1]sales!B337</f>
        <v>0.68554398148148143</v>
      </c>
      <c r="C332" s="184" t="s">
        <v>49</v>
      </c>
      <c r="D332" s="14" t="str">
        <f>[1]sales!D337</f>
        <v>Parrillada de 60</v>
      </c>
      <c r="E332" s="3">
        <f>+[1]sales!G337</f>
        <v>1</v>
      </c>
      <c r="F332" s="195">
        <f>+_xlfn.XLOOKUP(sales[[#This Row],[Fecha]],OPEX_SALES!A:A,OPEX_SALES!B:B)</f>
        <v>3</v>
      </c>
      <c r="G332" s="14" t="str">
        <f>+_xlfn.XLOOKUP(sales[[#This Row],[Fecha]],OPEX_SALES!A:A,OPEX_SALES!E:E)</f>
        <v>C) Sábado</v>
      </c>
      <c r="H332" s="14" t="str">
        <f>+TEXT(sales[[#This Row],[Fecha]],"ddd")</f>
        <v>sáb</v>
      </c>
      <c r="I332" s="185">
        <f>+sales[[#This Row],[Venta]]-sales[[#This Row],[costo_venta]]</f>
        <v>-940000</v>
      </c>
      <c r="J332" s="101">
        <f>[1]sales!K337</f>
        <v>60000</v>
      </c>
      <c r="K332" s="79">
        <f>[1]sales!I337</f>
        <v>60000</v>
      </c>
      <c r="L332" s="52">
        <f>[1]sales!J337</f>
        <v>0</v>
      </c>
      <c r="M332" s="1">
        <f>[1]sales!L337*sales[[#This Row],[cantidad]]</f>
        <v>1000000</v>
      </c>
      <c r="N332" s="37">
        <f>+(sales[[#This Row],[Venta]]-sales[[#This Row],[costo_venta]])/sales[[#This Row],[Venta]]</f>
        <v>-15.666666666666666</v>
      </c>
    </row>
    <row r="333" spans="1:14" x14ac:dyDescent="0.2">
      <c r="A333" s="14">
        <f>[1]sales!A338</f>
        <v>46095</v>
      </c>
      <c r="B333" s="188">
        <f>[1]sales!B338</f>
        <v>0.70613425925925921</v>
      </c>
      <c r="C333" s="184" t="s">
        <v>49</v>
      </c>
      <c r="D333" s="14" t="str">
        <f>[1]sales!D338</f>
        <v>BEBIDA - Botella de Agua</v>
      </c>
      <c r="E333" s="3">
        <f>+[1]sales!G338</f>
        <v>1</v>
      </c>
      <c r="F333" s="195">
        <f>+_xlfn.XLOOKUP(sales[[#This Row],[Fecha]],OPEX_SALES!A:A,OPEX_SALES!B:B)</f>
        <v>3</v>
      </c>
      <c r="G333" s="14" t="str">
        <f>+_xlfn.XLOOKUP(sales[[#This Row],[Fecha]],OPEX_SALES!A:A,OPEX_SALES!E:E)</f>
        <v>C) Sábado</v>
      </c>
      <c r="H333" s="14" t="str">
        <f>+TEXT(sales[[#This Row],[Fecha]],"ddd")</f>
        <v>sáb</v>
      </c>
      <c r="I333" s="185">
        <f>+sales[[#This Row],[Venta]]-sales[[#This Row],[costo_venta]]</f>
        <v>2083.33</v>
      </c>
      <c r="J333" s="101">
        <f>[1]sales!K338</f>
        <v>3500</v>
      </c>
      <c r="K333" s="79">
        <f>[1]sales!I338</f>
        <v>0</v>
      </c>
      <c r="L333" s="52">
        <f>[1]sales!J338</f>
        <v>3500</v>
      </c>
      <c r="M333" s="1">
        <f>[1]sales!L338*sales[[#This Row],[cantidad]]</f>
        <v>1416.67</v>
      </c>
      <c r="N333" s="37">
        <f>+(sales[[#This Row],[Venta]]-sales[[#This Row],[costo_venta]])/sales[[#This Row],[Venta]]</f>
        <v>0.5952371428571428</v>
      </c>
    </row>
    <row r="334" spans="1:14" x14ac:dyDescent="0.2">
      <c r="A334" s="14">
        <f>[1]sales!A339</f>
        <v>46095</v>
      </c>
      <c r="B334" s="188">
        <f>[1]sales!B339</f>
        <v>0.70613425925925921</v>
      </c>
      <c r="C334" s="184" t="s">
        <v>49</v>
      </c>
      <c r="D334" s="14" t="str">
        <f>[1]sales!D339</f>
        <v>BEBIDA - Coca Cola</v>
      </c>
      <c r="E334" s="3">
        <f>+[1]sales!G339</f>
        <v>1</v>
      </c>
      <c r="F334" s="195">
        <f>+_xlfn.XLOOKUP(sales[[#This Row],[Fecha]],OPEX_SALES!A:A,OPEX_SALES!B:B)</f>
        <v>3</v>
      </c>
      <c r="G334" s="14" t="str">
        <f>+_xlfn.XLOOKUP(sales[[#This Row],[Fecha]],OPEX_SALES!A:A,OPEX_SALES!E:E)</f>
        <v>C) Sábado</v>
      </c>
      <c r="H334" s="14" t="str">
        <f>+TEXT(sales[[#This Row],[Fecha]],"ddd")</f>
        <v>sáb</v>
      </c>
      <c r="I334" s="185">
        <f>+sales[[#This Row],[Venta]]-sales[[#This Row],[costo_venta]]</f>
        <v>1800</v>
      </c>
      <c r="J334" s="101">
        <f>[1]sales!K339</f>
        <v>3000</v>
      </c>
      <c r="K334" s="79">
        <f>[1]sales!I339</f>
        <v>0</v>
      </c>
      <c r="L334" s="52">
        <f>[1]sales!J339</f>
        <v>3000</v>
      </c>
      <c r="M334" s="1">
        <f>[1]sales!L339*sales[[#This Row],[cantidad]]</f>
        <v>1200</v>
      </c>
      <c r="N334" s="37">
        <f>+(sales[[#This Row],[Venta]]-sales[[#This Row],[costo_venta]])/sales[[#This Row],[Venta]]</f>
        <v>0.6</v>
      </c>
    </row>
    <row r="335" spans="1:14" x14ac:dyDescent="0.2">
      <c r="A335" s="14">
        <f>[1]sales!A340</f>
        <v>46095</v>
      </c>
      <c r="B335" s="188">
        <f>[1]sales!B340</f>
        <v>0.70613425925925921</v>
      </c>
      <c r="C335" s="184" t="s">
        <v>49</v>
      </c>
      <c r="D335" s="14" t="str">
        <f>[1]sales!D340</f>
        <v>BEBIDA - Jugo Hit</v>
      </c>
      <c r="E335" s="3">
        <f>+[1]sales!G340</f>
        <v>1</v>
      </c>
      <c r="F335" s="195">
        <f>+_xlfn.XLOOKUP(sales[[#This Row],[Fecha]],OPEX_SALES!A:A,OPEX_SALES!B:B)</f>
        <v>3</v>
      </c>
      <c r="G335" s="14" t="str">
        <f>+_xlfn.XLOOKUP(sales[[#This Row],[Fecha]],OPEX_SALES!A:A,OPEX_SALES!E:E)</f>
        <v>C) Sábado</v>
      </c>
      <c r="H335" s="14" t="str">
        <f>+TEXT(sales[[#This Row],[Fecha]],"ddd")</f>
        <v>sáb</v>
      </c>
      <c r="I335" s="185">
        <f>+sales[[#This Row],[Venta]]-sales[[#This Row],[costo_venta]]</f>
        <v>2083.33</v>
      </c>
      <c r="J335" s="101">
        <f>[1]sales!K340</f>
        <v>4500</v>
      </c>
      <c r="K335" s="79">
        <f>[1]sales!I340</f>
        <v>0</v>
      </c>
      <c r="L335" s="52">
        <f>[1]sales!J340</f>
        <v>4500</v>
      </c>
      <c r="M335" s="1">
        <f>[1]sales!L340*sales[[#This Row],[cantidad]]</f>
        <v>2416.67</v>
      </c>
      <c r="N335" s="37">
        <f>+(sales[[#This Row],[Venta]]-sales[[#This Row],[costo_venta]])/sales[[#This Row],[Venta]]</f>
        <v>0.46296222222222222</v>
      </c>
    </row>
    <row r="336" spans="1:14" x14ac:dyDescent="0.2">
      <c r="A336" s="14">
        <f>[1]sales!A341</f>
        <v>46095</v>
      </c>
      <c r="B336" s="188">
        <f>[1]sales!B341</f>
        <v>0.70613425925925921</v>
      </c>
      <c r="C336" s="184" t="s">
        <v>49</v>
      </c>
      <c r="D336" s="14" t="str">
        <f>[1]sales!D341</f>
        <v>Ham. sencilla</v>
      </c>
      <c r="E336" s="3">
        <f>+[1]sales!G341</f>
        <v>1</v>
      </c>
      <c r="F336" s="195">
        <f>+_xlfn.XLOOKUP(sales[[#This Row],[Fecha]],OPEX_SALES!A:A,OPEX_SALES!B:B)</f>
        <v>3</v>
      </c>
      <c r="G336" s="14" t="str">
        <f>+_xlfn.XLOOKUP(sales[[#This Row],[Fecha]],OPEX_SALES!A:A,OPEX_SALES!E:E)</f>
        <v>C) Sábado</v>
      </c>
      <c r="H336" s="14" t="str">
        <f>+TEXT(sales[[#This Row],[Fecha]],"ddd")</f>
        <v>sáb</v>
      </c>
      <c r="I336" s="185">
        <f>+sales[[#This Row],[Venta]]-sales[[#This Row],[costo_venta]]</f>
        <v>12000</v>
      </c>
      <c r="J336" s="101">
        <f>[1]sales!K341</f>
        <v>17000</v>
      </c>
      <c r="K336" s="79">
        <f>[1]sales!I341</f>
        <v>0</v>
      </c>
      <c r="L336" s="52">
        <f>[1]sales!J341</f>
        <v>17000</v>
      </c>
      <c r="M336" s="1">
        <f>[1]sales!L341*sales[[#This Row],[cantidad]]</f>
        <v>5000</v>
      </c>
      <c r="N336" s="37">
        <f>+(sales[[#This Row],[Venta]]-sales[[#This Row],[costo_venta]])/sales[[#This Row],[Venta]]</f>
        <v>0.70588235294117652</v>
      </c>
    </row>
    <row r="337" spans="1:14" x14ac:dyDescent="0.2">
      <c r="A337" s="14">
        <f>[1]sales!A342</f>
        <v>46095</v>
      </c>
      <c r="B337" s="188">
        <f>[1]sales!B342</f>
        <v>0.70613425925925921</v>
      </c>
      <c r="C337" s="184" t="s">
        <v>49</v>
      </c>
      <c r="D337" s="14" t="str">
        <f>[1]sales!D342</f>
        <v>Parrillada de 35</v>
      </c>
      <c r="E337" s="3">
        <f>+[1]sales!G342</f>
        <v>1</v>
      </c>
      <c r="F337" s="195">
        <f>+_xlfn.XLOOKUP(sales[[#This Row],[Fecha]],OPEX_SALES!A:A,OPEX_SALES!B:B)</f>
        <v>3</v>
      </c>
      <c r="G337" s="14" t="str">
        <f>+_xlfn.XLOOKUP(sales[[#This Row],[Fecha]],OPEX_SALES!A:A,OPEX_SALES!E:E)</f>
        <v>C) Sábado</v>
      </c>
      <c r="H337" s="14" t="str">
        <f>+TEXT(sales[[#This Row],[Fecha]],"ddd")</f>
        <v>sáb</v>
      </c>
      <c r="I337" s="185">
        <f>+sales[[#This Row],[Venta]]-sales[[#This Row],[costo_venta]]</f>
        <v>-965000</v>
      </c>
      <c r="J337" s="101">
        <f>[1]sales!K342</f>
        <v>35000</v>
      </c>
      <c r="K337" s="79">
        <f>[1]sales!I342</f>
        <v>0</v>
      </c>
      <c r="L337" s="52">
        <f>[1]sales!J342</f>
        <v>35000</v>
      </c>
      <c r="M337" s="1">
        <f>[1]sales!L342*sales[[#This Row],[cantidad]]</f>
        <v>1000000</v>
      </c>
      <c r="N337" s="37">
        <f>+(sales[[#This Row],[Venta]]-sales[[#This Row],[costo_venta]])/sales[[#This Row],[Venta]]</f>
        <v>-27.571428571428573</v>
      </c>
    </row>
    <row r="338" spans="1:14" x14ac:dyDescent="0.2">
      <c r="A338" s="14">
        <f>[1]sales!A343</f>
        <v>46095</v>
      </c>
      <c r="B338" s="188">
        <f>[1]sales!B343</f>
        <v>0.70646990740740745</v>
      </c>
      <c r="C338" s="184" t="s">
        <v>49</v>
      </c>
      <c r="D338" s="14" t="str">
        <f>[1]sales!D343</f>
        <v xml:space="preserve"> Chorizo con papa/arepa</v>
      </c>
      <c r="E338" s="3">
        <f>+[1]sales!G343</f>
        <v>1</v>
      </c>
      <c r="F338" s="195">
        <f>+_xlfn.XLOOKUP(sales[[#This Row],[Fecha]],OPEX_SALES!A:A,OPEX_SALES!B:B)</f>
        <v>3</v>
      </c>
      <c r="G338" s="14" t="str">
        <f>+_xlfn.XLOOKUP(sales[[#This Row],[Fecha]],OPEX_SALES!A:A,OPEX_SALES!E:E)</f>
        <v>C) Sábado</v>
      </c>
      <c r="H338" s="14" t="str">
        <f>+TEXT(sales[[#This Row],[Fecha]],"ddd")</f>
        <v>sáb</v>
      </c>
      <c r="I338" s="185">
        <f>+sales[[#This Row],[Venta]]-sales[[#This Row],[costo_venta]]</f>
        <v>3660</v>
      </c>
      <c r="J338" s="101">
        <f>[1]sales!K343</f>
        <v>8000</v>
      </c>
      <c r="K338" s="79">
        <f>[1]sales!I343</f>
        <v>0</v>
      </c>
      <c r="L338" s="52">
        <f>[1]sales!J343</f>
        <v>8000</v>
      </c>
      <c r="M338" s="1">
        <f>[1]sales!L343*sales[[#This Row],[cantidad]]</f>
        <v>4340</v>
      </c>
      <c r="N338" s="37">
        <f>+(sales[[#This Row],[Venta]]-sales[[#This Row],[costo_venta]])/sales[[#This Row],[Venta]]</f>
        <v>0.45750000000000002</v>
      </c>
    </row>
    <row r="339" spans="1:14" x14ac:dyDescent="0.2">
      <c r="A339" s="14">
        <f>[1]sales!A344</f>
        <v>46095</v>
      </c>
      <c r="B339" s="188">
        <f>[1]sales!B344</f>
        <v>0.70646990740740745</v>
      </c>
      <c r="C339" s="184" t="s">
        <v>49</v>
      </c>
      <c r="D339" s="14" t="str">
        <f>[1]sales!D344</f>
        <v>BEBIDA - Coca Cola</v>
      </c>
      <c r="E339" s="3">
        <f>+[1]sales!G344</f>
        <v>1</v>
      </c>
      <c r="F339" s="195">
        <f>+_xlfn.XLOOKUP(sales[[#This Row],[Fecha]],OPEX_SALES!A:A,OPEX_SALES!B:B)</f>
        <v>3</v>
      </c>
      <c r="G339" s="14" t="str">
        <f>+_xlfn.XLOOKUP(sales[[#This Row],[Fecha]],OPEX_SALES!A:A,OPEX_SALES!E:E)</f>
        <v>C) Sábado</v>
      </c>
      <c r="H339" s="14" t="str">
        <f>+TEXT(sales[[#This Row],[Fecha]],"ddd")</f>
        <v>sáb</v>
      </c>
      <c r="I339" s="185">
        <f>+sales[[#This Row],[Venta]]-sales[[#This Row],[costo_venta]]</f>
        <v>1800</v>
      </c>
      <c r="J339" s="101">
        <f>[1]sales!K344</f>
        <v>3000</v>
      </c>
      <c r="K339" s="79">
        <f>[1]sales!I344</f>
        <v>0</v>
      </c>
      <c r="L339" s="52">
        <f>[1]sales!J344</f>
        <v>3000</v>
      </c>
      <c r="M339" s="1">
        <f>[1]sales!L344*sales[[#This Row],[cantidad]]</f>
        <v>1200</v>
      </c>
      <c r="N339" s="37">
        <f>+(sales[[#This Row],[Venta]]-sales[[#This Row],[costo_venta]])/sales[[#This Row],[Venta]]</f>
        <v>0.6</v>
      </c>
    </row>
    <row r="340" spans="1:14" x14ac:dyDescent="0.2">
      <c r="A340" s="14">
        <f>[1]sales!A345</f>
        <v>46095</v>
      </c>
      <c r="B340" s="188">
        <f>[1]sales!B345</f>
        <v>0.82105324074074071</v>
      </c>
      <c r="C340" s="184" t="s">
        <v>49</v>
      </c>
      <c r="D340" s="14" t="str">
        <f>[1]sales!D345</f>
        <v>BEBIDA - Aguila</v>
      </c>
      <c r="E340" s="3">
        <f>+[1]sales!G345</f>
        <v>3</v>
      </c>
      <c r="F340" s="195">
        <f>+_xlfn.XLOOKUP(sales[[#This Row],[Fecha]],OPEX_SALES!A:A,OPEX_SALES!B:B)</f>
        <v>3</v>
      </c>
      <c r="G340" s="14" t="str">
        <f>+_xlfn.XLOOKUP(sales[[#This Row],[Fecha]],OPEX_SALES!A:A,OPEX_SALES!E:E)</f>
        <v>C) Sábado</v>
      </c>
      <c r="H340" s="14" t="str">
        <f>+TEXT(sales[[#This Row],[Fecha]],"ddd")</f>
        <v>sáb</v>
      </c>
      <c r="I340" s="185">
        <f>+sales[[#This Row],[Venta]]-sales[[#This Row],[costo_venta]]</f>
        <v>-2986500</v>
      </c>
      <c r="J340" s="101">
        <f>[1]sales!K345</f>
        <v>13500</v>
      </c>
      <c r="K340" s="79">
        <f>[1]sales!I345</f>
        <v>0</v>
      </c>
      <c r="L340" s="52">
        <f>[1]sales!J345</f>
        <v>13500</v>
      </c>
      <c r="M340" s="1">
        <f>[1]sales!L345*sales[[#This Row],[cantidad]]</f>
        <v>3000000</v>
      </c>
      <c r="N340" s="37">
        <f>+(sales[[#This Row],[Venta]]-sales[[#This Row],[costo_venta]])/sales[[#This Row],[Venta]]</f>
        <v>-221.22222222222223</v>
      </c>
    </row>
    <row r="341" spans="1:14" x14ac:dyDescent="0.2">
      <c r="A341" s="14">
        <f>[1]sales!A346</f>
        <v>46095</v>
      </c>
      <c r="B341" s="188">
        <f>[1]sales!B346</f>
        <v>0.82371527777777775</v>
      </c>
      <c r="C341" s="184" t="s">
        <v>49</v>
      </c>
      <c r="D341" s="14" t="str">
        <f>[1]sales!D346</f>
        <v xml:space="preserve"> Chorizo con papa/arepa</v>
      </c>
      <c r="E341" s="3">
        <f>+[1]sales!G346</f>
        <v>1</v>
      </c>
      <c r="F341" s="195">
        <f>+_xlfn.XLOOKUP(sales[[#This Row],[Fecha]],OPEX_SALES!A:A,OPEX_SALES!B:B)</f>
        <v>3</v>
      </c>
      <c r="G341" s="14" t="str">
        <f>+_xlfn.XLOOKUP(sales[[#This Row],[Fecha]],OPEX_SALES!A:A,OPEX_SALES!E:E)</f>
        <v>C) Sábado</v>
      </c>
      <c r="H341" s="14" t="str">
        <f>+TEXT(sales[[#This Row],[Fecha]],"ddd")</f>
        <v>sáb</v>
      </c>
      <c r="I341" s="185">
        <f>+sales[[#This Row],[Venta]]-sales[[#This Row],[costo_venta]]</f>
        <v>3660</v>
      </c>
      <c r="J341" s="101">
        <f>[1]sales!K346</f>
        <v>8000</v>
      </c>
      <c r="K341" s="79">
        <f>[1]sales!I346</f>
        <v>8000</v>
      </c>
      <c r="L341" s="52">
        <f>[1]sales!J346</f>
        <v>0</v>
      </c>
      <c r="M341" s="1">
        <f>[1]sales!L346*sales[[#This Row],[cantidad]]</f>
        <v>4340</v>
      </c>
      <c r="N341" s="37">
        <f>+(sales[[#This Row],[Venta]]-sales[[#This Row],[costo_venta]])/sales[[#This Row],[Venta]]</f>
        <v>0.45750000000000002</v>
      </c>
    </row>
    <row r="342" spans="1:14" x14ac:dyDescent="0.2">
      <c r="A342" s="14">
        <f>[1]sales!A347</f>
        <v>46096</v>
      </c>
      <c r="B342" s="188">
        <f>[1]sales!B347</f>
        <v>0.57894675925925931</v>
      </c>
      <c r="C342" s="184" t="s">
        <v>49</v>
      </c>
      <c r="D342" s="14" t="str">
        <f>[1]sales!D347</f>
        <v xml:space="preserve"> Chorizo con papa/arepa</v>
      </c>
      <c r="E342" s="3">
        <f>+[1]sales!G347</f>
        <v>2</v>
      </c>
      <c r="F342" s="195">
        <f>+_xlfn.XLOOKUP(sales[[#This Row],[Fecha]],OPEX_SALES!A:A,OPEX_SALES!B:B)</f>
        <v>3</v>
      </c>
      <c r="G342" s="14" t="str">
        <f>+_xlfn.XLOOKUP(sales[[#This Row],[Fecha]],OPEX_SALES!A:A,OPEX_SALES!E:E)</f>
        <v>D) Domingo</v>
      </c>
      <c r="H342" s="14" t="str">
        <f>+TEXT(sales[[#This Row],[Fecha]],"ddd")</f>
        <v>dom</v>
      </c>
      <c r="I342" s="185">
        <f>+sales[[#This Row],[Venta]]-sales[[#This Row],[costo_venta]]</f>
        <v>7320</v>
      </c>
      <c r="J342" s="101">
        <f>[1]sales!K347</f>
        <v>16000</v>
      </c>
      <c r="K342" s="79">
        <f>[1]sales!I347</f>
        <v>16000</v>
      </c>
      <c r="L342" s="52">
        <f>[1]sales!J347</f>
        <v>0</v>
      </c>
      <c r="M342" s="1">
        <f>[1]sales!L347*sales[[#This Row],[cantidad]]</f>
        <v>8680</v>
      </c>
      <c r="N342" s="37">
        <f>+(sales[[#This Row],[Venta]]-sales[[#This Row],[costo_venta]])/sales[[#This Row],[Venta]]</f>
        <v>0.45750000000000002</v>
      </c>
    </row>
    <row r="343" spans="1:14" x14ac:dyDescent="0.2">
      <c r="A343" s="14">
        <f>[1]sales!A348</f>
        <v>46096</v>
      </c>
      <c r="B343" s="188">
        <f>[1]sales!B348</f>
        <v>0.59741898148148154</v>
      </c>
      <c r="C343" s="184" t="s">
        <v>49</v>
      </c>
      <c r="D343" s="14" t="str">
        <f>[1]sales!D348</f>
        <v xml:space="preserve"> Chorizo con papa/arepa</v>
      </c>
      <c r="E343" s="3">
        <f>+[1]sales!G348</f>
        <v>1</v>
      </c>
      <c r="F343" s="195">
        <f>+_xlfn.XLOOKUP(sales[[#This Row],[Fecha]],OPEX_SALES!A:A,OPEX_SALES!B:B)</f>
        <v>3</v>
      </c>
      <c r="G343" s="14" t="str">
        <f>+_xlfn.XLOOKUP(sales[[#This Row],[Fecha]],OPEX_SALES!A:A,OPEX_SALES!E:E)</f>
        <v>D) Domingo</v>
      </c>
      <c r="H343" s="14" t="str">
        <f>+TEXT(sales[[#This Row],[Fecha]],"ddd")</f>
        <v>dom</v>
      </c>
      <c r="I343" s="185">
        <f>+sales[[#This Row],[Venta]]-sales[[#This Row],[costo_venta]]</f>
        <v>3660</v>
      </c>
      <c r="J343" s="101">
        <f>[1]sales!K348</f>
        <v>8000</v>
      </c>
      <c r="K343" s="79">
        <f>[1]sales!I348</f>
        <v>8000</v>
      </c>
      <c r="L343" s="52">
        <f>[1]sales!J348</f>
        <v>0</v>
      </c>
      <c r="M343" s="1">
        <f>[1]sales!L348*sales[[#This Row],[cantidad]]</f>
        <v>4340</v>
      </c>
      <c r="N343" s="37">
        <f>+(sales[[#This Row],[Venta]]-sales[[#This Row],[costo_venta]])/sales[[#This Row],[Venta]]</f>
        <v>0.45750000000000002</v>
      </c>
    </row>
    <row r="344" spans="1:14" x14ac:dyDescent="0.2">
      <c r="A344" s="14">
        <f>[1]sales!A349</f>
        <v>46096</v>
      </c>
      <c r="B344" s="188">
        <f>[1]sales!B349</f>
        <v>0.59741898148148154</v>
      </c>
      <c r="C344" s="184" t="s">
        <v>49</v>
      </c>
      <c r="D344" s="14" t="str">
        <f>[1]sales!D349</f>
        <v>BEBIDA - Coca Cola</v>
      </c>
      <c r="E344" s="3">
        <f>+[1]sales!G349</f>
        <v>1</v>
      </c>
      <c r="F344" s="195">
        <f>+_xlfn.XLOOKUP(sales[[#This Row],[Fecha]],OPEX_SALES!A:A,OPEX_SALES!B:B)</f>
        <v>3</v>
      </c>
      <c r="G344" s="14" t="str">
        <f>+_xlfn.XLOOKUP(sales[[#This Row],[Fecha]],OPEX_SALES!A:A,OPEX_SALES!E:E)</f>
        <v>D) Domingo</v>
      </c>
      <c r="H344" s="14" t="str">
        <f>+TEXT(sales[[#This Row],[Fecha]],"ddd")</f>
        <v>dom</v>
      </c>
      <c r="I344" s="185">
        <f>+sales[[#This Row],[Venta]]-sales[[#This Row],[costo_venta]]</f>
        <v>1800</v>
      </c>
      <c r="J344" s="101">
        <f>[1]sales!K349</f>
        <v>3000</v>
      </c>
      <c r="K344" s="79">
        <f>[1]sales!I349</f>
        <v>3000</v>
      </c>
      <c r="L344" s="52">
        <f>[1]sales!J349</f>
        <v>0</v>
      </c>
      <c r="M344" s="1">
        <f>[1]sales!L349*sales[[#This Row],[cantidad]]</f>
        <v>1200</v>
      </c>
      <c r="N344" s="37">
        <f>+(sales[[#This Row],[Venta]]-sales[[#This Row],[costo_venta]])/sales[[#This Row],[Venta]]</f>
        <v>0.6</v>
      </c>
    </row>
    <row r="345" spans="1:14" x14ac:dyDescent="0.2">
      <c r="A345" s="14">
        <f>[1]sales!A350</f>
        <v>46096</v>
      </c>
      <c r="B345" s="188">
        <f>[1]sales!B350</f>
        <v>0.61869212962962961</v>
      </c>
      <c r="C345" s="184" t="s">
        <v>49</v>
      </c>
      <c r="D345" s="14" t="str">
        <f>[1]sales!D350</f>
        <v>BEBIDA - Aguila</v>
      </c>
      <c r="E345" s="3">
        <f>+[1]sales!G350</f>
        <v>2</v>
      </c>
      <c r="F345" s="195">
        <f>+_xlfn.XLOOKUP(sales[[#This Row],[Fecha]],OPEX_SALES!A:A,OPEX_SALES!B:B)</f>
        <v>3</v>
      </c>
      <c r="G345" s="14" t="str">
        <f>+_xlfn.XLOOKUP(sales[[#This Row],[Fecha]],OPEX_SALES!A:A,OPEX_SALES!E:E)</f>
        <v>D) Domingo</v>
      </c>
      <c r="H345" s="14" t="str">
        <f>+TEXT(sales[[#This Row],[Fecha]],"ddd")</f>
        <v>dom</v>
      </c>
      <c r="I345" s="185">
        <f>+sales[[#This Row],[Venta]]-sales[[#This Row],[costo_venta]]</f>
        <v>-1991000</v>
      </c>
      <c r="J345" s="101">
        <f>[1]sales!K350</f>
        <v>9000</v>
      </c>
      <c r="K345" s="79">
        <f>[1]sales!I350</f>
        <v>9000</v>
      </c>
      <c r="L345" s="52">
        <f>[1]sales!J350</f>
        <v>0</v>
      </c>
      <c r="M345" s="1">
        <f>[1]sales!L350*sales[[#This Row],[cantidad]]</f>
        <v>2000000</v>
      </c>
      <c r="N345" s="37">
        <f>+(sales[[#This Row],[Venta]]-sales[[#This Row],[costo_venta]])/sales[[#This Row],[Venta]]</f>
        <v>-221.22222222222223</v>
      </c>
    </row>
    <row r="346" spans="1:14" x14ac:dyDescent="0.2">
      <c r="A346" s="14">
        <f>[1]sales!A351</f>
        <v>46096</v>
      </c>
      <c r="B346" s="188">
        <f>[1]sales!B351</f>
        <v>0.64789351851851851</v>
      </c>
      <c r="C346" s="184" t="s">
        <v>49</v>
      </c>
      <c r="D346" s="14" t="str">
        <f>[1]sales!D351</f>
        <v xml:space="preserve"> Chorizo con papa/arepa</v>
      </c>
      <c r="E346" s="3">
        <f>+[1]sales!G351</f>
        <v>1</v>
      </c>
      <c r="F346" s="195">
        <f>+_xlfn.XLOOKUP(sales[[#This Row],[Fecha]],OPEX_SALES!A:A,OPEX_SALES!B:B)</f>
        <v>3</v>
      </c>
      <c r="G346" s="14" t="str">
        <f>+_xlfn.XLOOKUP(sales[[#This Row],[Fecha]],OPEX_SALES!A:A,OPEX_SALES!E:E)</f>
        <v>D) Domingo</v>
      </c>
      <c r="H346" s="14" t="str">
        <f>+TEXT(sales[[#This Row],[Fecha]],"ddd")</f>
        <v>dom</v>
      </c>
      <c r="I346" s="185">
        <f>+sales[[#This Row],[Venta]]-sales[[#This Row],[costo_venta]]</f>
        <v>3660</v>
      </c>
      <c r="J346" s="101">
        <f>[1]sales!K351</f>
        <v>8000</v>
      </c>
      <c r="K346" s="79">
        <f>[1]sales!I351</f>
        <v>8000</v>
      </c>
      <c r="L346" s="52">
        <f>[1]sales!J351</f>
        <v>0</v>
      </c>
      <c r="M346" s="1">
        <f>[1]sales!L351*sales[[#This Row],[cantidad]]</f>
        <v>4340</v>
      </c>
      <c r="N346" s="37">
        <f>+(sales[[#This Row],[Venta]]-sales[[#This Row],[costo_venta]])/sales[[#This Row],[Venta]]</f>
        <v>0.45750000000000002</v>
      </c>
    </row>
    <row r="347" spans="1:14" x14ac:dyDescent="0.2">
      <c r="A347" s="14">
        <f>[1]sales!A352</f>
        <v>46096</v>
      </c>
      <c r="B347" s="188">
        <f>[1]sales!B352</f>
        <v>0.64789351851851851</v>
      </c>
      <c r="C347" s="184" t="s">
        <v>49</v>
      </c>
      <c r="D347" s="14" t="str">
        <f>[1]sales!D352</f>
        <v>BEBIDA - Coca Cola</v>
      </c>
      <c r="E347" s="3">
        <f>+[1]sales!G352</f>
        <v>1</v>
      </c>
      <c r="F347" s="195">
        <f>+_xlfn.XLOOKUP(sales[[#This Row],[Fecha]],OPEX_SALES!A:A,OPEX_SALES!B:B)</f>
        <v>3</v>
      </c>
      <c r="G347" s="14" t="str">
        <f>+_xlfn.XLOOKUP(sales[[#This Row],[Fecha]],OPEX_SALES!A:A,OPEX_SALES!E:E)</f>
        <v>D) Domingo</v>
      </c>
      <c r="H347" s="14" t="str">
        <f>+TEXT(sales[[#This Row],[Fecha]],"ddd")</f>
        <v>dom</v>
      </c>
      <c r="I347" s="185">
        <f>+sales[[#This Row],[Venta]]-sales[[#This Row],[costo_venta]]</f>
        <v>1800</v>
      </c>
      <c r="J347" s="101">
        <f>[1]sales!K352</f>
        <v>3000</v>
      </c>
      <c r="K347" s="79">
        <f>[1]sales!I352</f>
        <v>3000</v>
      </c>
      <c r="L347" s="52">
        <f>[1]sales!J352</f>
        <v>0</v>
      </c>
      <c r="M347" s="1">
        <f>[1]sales!L352*sales[[#This Row],[cantidad]]</f>
        <v>1200</v>
      </c>
      <c r="N347" s="37">
        <f>+(sales[[#This Row],[Venta]]-sales[[#This Row],[costo_venta]])/sales[[#This Row],[Venta]]</f>
        <v>0.6</v>
      </c>
    </row>
    <row r="348" spans="1:14" x14ac:dyDescent="0.2">
      <c r="A348" s="14">
        <f>[1]sales!A353</f>
        <v>46096</v>
      </c>
      <c r="B348" s="188">
        <f>[1]sales!B353</f>
        <v>0.64811342592592591</v>
      </c>
      <c r="C348" s="184" t="s">
        <v>49</v>
      </c>
      <c r="D348" s="14" t="str">
        <f>[1]sales!D353</f>
        <v xml:space="preserve"> Chorizo con papa/arepa</v>
      </c>
      <c r="E348" s="3">
        <f>+[1]sales!G353</f>
        <v>2</v>
      </c>
      <c r="F348" s="195">
        <f>+_xlfn.XLOOKUP(sales[[#This Row],[Fecha]],OPEX_SALES!A:A,OPEX_SALES!B:B)</f>
        <v>3</v>
      </c>
      <c r="G348" s="14" t="str">
        <f>+_xlfn.XLOOKUP(sales[[#This Row],[Fecha]],OPEX_SALES!A:A,OPEX_SALES!E:E)</f>
        <v>D) Domingo</v>
      </c>
      <c r="H348" s="14" t="str">
        <f>+TEXT(sales[[#This Row],[Fecha]],"ddd")</f>
        <v>dom</v>
      </c>
      <c r="I348" s="185">
        <f>+sales[[#This Row],[Venta]]-sales[[#This Row],[costo_venta]]</f>
        <v>7320</v>
      </c>
      <c r="J348" s="101">
        <f>[1]sales!K353</f>
        <v>16000</v>
      </c>
      <c r="K348" s="79">
        <f>[1]sales!I353</f>
        <v>0</v>
      </c>
      <c r="L348" s="52">
        <f>[1]sales!J353</f>
        <v>16000</v>
      </c>
      <c r="M348" s="1">
        <f>[1]sales!L353*sales[[#This Row],[cantidad]]</f>
        <v>8680</v>
      </c>
      <c r="N348" s="37">
        <f>+(sales[[#This Row],[Venta]]-sales[[#This Row],[costo_venta]])/sales[[#This Row],[Venta]]</f>
        <v>0.45750000000000002</v>
      </c>
    </row>
    <row r="349" spans="1:14" x14ac:dyDescent="0.2">
      <c r="A349" s="14">
        <f>[1]sales!A354</f>
        <v>46096</v>
      </c>
      <c r="B349" s="188">
        <f>[1]sales!B354</f>
        <v>0.64811342592592591</v>
      </c>
      <c r="C349" s="184" t="s">
        <v>49</v>
      </c>
      <c r="D349" s="14" t="str">
        <f>[1]sales!D354</f>
        <v>BEBIDA - Coca Cola</v>
      </c>
      <c r="E349" s="3">
        <f>+[1]sales!G354</f>
        <v>1</v>
      </c>
      <c r="F349" s="195">
        <f>+_xlfn.XLOOKUP(sales[[#This Row],[Fecha]],OPEX_SALES!A:A,OPEX_SALES!B:B)</f>
        <v>3</v>
      </c>
      <c r="G349" s="14" t="str">
        <f>+_xlfn.XLOOKUP(sales[[#This Row],[Fecha]],OPEX_SALES!A:A,OPEX_SALES!E:E)</f>
        <v>D) Domingo</v>
      </c>
      <c r="H349" s="14" t="str">
        <f>+TEXT(sales[[#This Row],[Fecha]],"ddd")</f>
        <v>dom</v>
      </c>
      <c r="I349" s="185">
        <f>+sales[[#This Row],[Venta]]-sales[[#This Row],[costo_venta]]</f>
        <v>1800</v>
      </c>
      <c r="J349" s="101">
        <f>[1]sales!K354</f>
        <v>3000</v>
      </c>
      <c r="K349" s="79">
        <f>[1]sales!I354</f>
        <v>0</v>
      </c>
      <c r="L349" s="52">
        <f>[1]sales!J354</f>
        <v>3000</v>
      </c>
      <c r="M349" s="1">
        <f>[1]sales!L354*sales[[#This Row],[cantidad]]</f>
        <v>1200</v>
      </c>
      <c r="N349" s="37">
        <f>+(sales[[#This Row],[Venta]]-sales[[#This Row],[costo_venta]])/sales[[#This Row],[Venta]]</f>
        <v>0.6</v>
      </c>
    </row>
    <row r="350" spans="1:14" x14ac:dyDescent="0.2">
      <c r="A350" s="14">
        <f>[1]sales!A355</f>
        <v>46096</v>
      </c>
      <c r="B350" s="188">
        <f>[1]sales!B355</f>
        <v>0.65579861111111115</v>
      </c>
      <c r="C350" s="184" t="s">
        <v>49</v>
      </c>
      <c r="D350" s="14" t="str">
        <f>[1]sales!D355</f>
        <v xml:space="preserve"> Chorizo con papa/arepa</v>
      </c>
      <c r="E350" s="3">
        <f>+[1]sales!G355</f>
        <v>2</v>
      </c>
      <c r="F350" s="195">
        <f>+_xlfn.XLOOKUP(sales[[#This Row],[Fecha]],OPEX_SALES!A:A,OPEX_SALES!B:B)</f>
        <v>3</v>
      </c>
      <c r="G350" s="14" t="str">
        <f>+_xlfn.XLOOKUP(sales[[#This Row],[Fecha]],OPEX_SALES!A:A,OPEX_SALES!E:E)</f>
        <v>D) Domingo</v>
      </c>
      <c r="H350" s="14" t="str">
        <f>+TEXT(sales[[#This Row],[Fecha]],"ddd")</f>
        <v>dom</v>
      </c>
      <c r="I350" s="185">
        <f>+sales[[#This Row],[Venta]]-sales[[#This Row],[costo_venta]]</f>
        <v>7320</v>
      </c>
      <c r="J350" s="101">
        <f>[1]sales!K355</f>
        <v>16000</v>
      </c>
      <c r="K350" s="79">
        <f>[1]sales!I355</f>
        <v>16000</v>
      </c>
      <c r="L350" s="52">
        <f>[1]sales!J355</f>
        <v>0</v>
      </c>
      <c r="M350" s="1">
        <f>[1]sales!L355*sales[[#This Row],[cantidad]]</f>
        <v>8680</v>
      </c>
      <c r="N350" s="37">
        <f>+(sales[[#This Row],[Venta]]-sales[[#This Row],[costo_venta]])/sales[[#This Row],[Venta]]</f>
        <v>0.45750000000000002</v>
      </c>
    </row>
    <row r="351" spans="1:14" x14ac:dyDescent="0.2">
      <c r="A351" s="14">
        <f>[1]sales!A356</f>
        <v>46096</v>
      </c>
      <c r="B351" s="188">
        <f>[1]sales!B356</f>
        <v>0.65579861111111115</v>
      </c>
      <c r="C351" s="184" t="s">
        <v>49</v>
      </c>
      <c r="D351" s="14" t="str">
        <f>[1]sales!D356</f>
        <v>BEBIDA - Coca Cola</v>
      </c>
      <c r="E351" s="3">
        <f>+[1]sales!G356</f>
        <v>1</v>
      </c>
      <c r="F351" s="195">
        <f>+_xlfn.XLOOKUP(sales[[#This Row],[Fecha]],OPEX_SALES!A:A,OPEX_SALES!B:B)</f>
        <v>3</v>
      </c>
      <c r="G351" s="14" t="str">
        <f>+_xlfn.XLOOKUP(sales[[#This Row],[Fecha]],OPEX_SALES!A:A,OPEX_SALES!E:E)</f>
        <v>D) Domingo</v>
      </c>
      <c r="H351" s="14" t="str">
        <f>+TEXT(sales[[#This Row],[Fecha]],"ddd")</f>
        <v>dom</v>
      </c>
      <c r="I351" s="185">
        <f>+sales[[#This Row],[Venta]]-sales[[#This Row],[costo_venta]]</f>
        <v>1800</v>
      </c>
      <c r="J351" s="101">
        <f>[1]sales!K356</f>
        <v>3000</v>
      </c>
      <c r="K351" s="79">
        <f>[1]sales!I356</f>
        <v>3000</v>
      </c>
      <c r="L351" s="52">
        <f>[1]sales!J356</f>
        <v>0</v>
      </c>
      <c r="M351" s="1">
        <f>[1]sales!L356*sales[[#This Row],[cantidad]]</f>
        <v>1200</v>
      </c>
      <c r="N351" s="37">
        <f>+(sales[[#This Row],[Venta]]-sales[[#This Row],[costo_venta]])/sales[[#This Row],[Venta]]</f>
        <v>0.6</v>
      </c>
    </row>
    <row r="352" spans="1:14" x14ac:dyDescent="0.2">
      <c r="A352" s="14">
        <f>[1]sales!A357</f>
        <v>46096</v>
      </c>
      <c r="B352" s="188">
        <f>[1]sales!B357</f>
        <v>0.72108796296296296</v>
      </c>
      <c r="C352" s="184" t="s">
        <v>49</v>
      </c>
      <c r="D352" s="14" t="str">
        <f>[1]sales!D357</f>
        <v>BEBIDA - Coca Cola</v>
      </c>
      <c r="E352" s="3">
        <f>+[1]sales!G357</f>
        <v>1</v>
      </c>
      <c r="F352" s="195">
        <f>+_xlfn.XLOOKUP(sales[[#This Row],[Fecha]],OPEX_SALES!A:A,OPEX_SALES!B:B)</f>
        <v>3</v>
      </c>
      <c r="G352" s="14" t="str">
        <f>+_xlfn.XLOOKUP(sales[[#This Row],[Fecha]],OPEX_SALES!A:A,OPEX_SALES!E:E)</f>
        <v>D) Domingo</v>
      </c>
      <c r="H352" s="14" t="str">
        <f>+TEXT(sales[[#This Row],[Fecha]],"ddd")</f>
        <v>dom</v>
      </c>
      <c r="I352" s="185">
        <f>+sales[[#This Row],[Venta]]-sales[[#This Row],[costo_venta]]</f>
        <v>1800</v>
      </c>
      <c r="J352" s="101">
        <f>[1]sales!K357</f>
        <v>3000</v>
      </c>
      <c r="K352" s="79">
        <f>[1]sales!I357</f>
        <v>3000</v>
      </c>
      <c r="L352" s="52">
        <f>[1]sales!J357</f>
        <v>0</v>
      </c>
      <c r="M352" s="1">
        <f>[1]sales!L357*sales[[#This Row],[cantidad]]</f>
        <v>1200</v>
      </c>
      <c r="N352" s="37">
        <f>+(sales[[#This Row],[Venta]]-sales[[#This Row],[costo_venta]])/sales[[#This Row],[Venta]]</f>
        <v>0.6</v>
      </c>
    </row>
    <row r="353" spans="1:14" x14ac:dyDescent="0.2">
      <c r="A353" s="14">
        <f>[1]sales!A358</f>
        <v>46096</v>
      </c>
      <c r="B353" s="188">
        <f>[1]sales!B358</f>
        <v>0.72108796296296296</v>
      </c>
      <c r="C353" s="184" t="s">
        <v>49</v>
      </c>
      <c r="D353" s="14" t="str">
        <f>[1]sales!D358</f>
        <v>CARNES - Mojarra</v>
      </c>
      <c r="E353" s="3">
        <f>+[1]sales!G358</f>
        <v>1</v>
      </c>
      <c r="F353" s="195">
        <f>+_xlfn.XLOOKUP(sales[[#This Row],[Fecha]],OPEX_SALES!A:A,OPEX_SALES!B:B)</f>
        <v>3</v>
      </c>
      <c r="G353" s="14" t="str">
        <f>+_xlfn.XLOOKUP(sales[[#This Row],[Fecha]],OPEX_SALES!A:A,OPEX_SALES!E:E)</f>
        <v>D) Domingo</v>
      </c>
      <c r="H353" s="14" t="str">
        <f>+TEXT(sales[[#This Row],[Fecha]],"ddd")</f>
        <v>dom</v>
      </c>
      <c r="I353" s="185">
        <f>+sales[[#This Row],[Venta]]-sales[[#This Row],[costo_venta]]</f>
        <v>-970000</v>
      </c>
      <c r="J353" s="101">
        <f>[1]sales!K358</f>
        <v>30000</v>
      </c>
      <c r="K353" s="79">
        <f>[1]sales!I358</f>
        <v>30000</v>
      </c>
      <c r="L353" s="52">
        <f>[1]sales!J358</f>
        <v>0</v>
      </c>
      <c r="M353" s="1">
        <f>[1]sales!L358*sales[[#This Row],[cantidad]]</f>
        <v>1000000</v>
      </c>
      <c r="N353" s="37">
        <f>+(sales[[#This Row],[Venta]]-sales[[#This Row],[costo_venta]])/sales[[#This Row],[Venta]]</f>
        <v>-32.333333333333336</v>
      </c>
    </row>
    <row r="354" spans="1:14" x14ac:dyDescent="0.2">
      <c r="A354" s="14">
        <f>[1]sales!A359</f>
        <v>46096</v>
      </c>
      <c r="B354" s="188">
        <f>[1]sales!B359</f>
        <v>0.78940972222222228</v>
      </c>
      <c r="C354" s="184" t="s">
        <v>49</v>
      </c>
      <c r="D354" s="14" t="str">
        <f>[1]sales!D359</f>
        <v>BEBIDA - Coca Cola</v>
      </c>
      <c r="E354" s="3">
        <f>+[1]sales!G359</f>
        <v>2</v>
      </c>
      <c r="F354" s="195">
        <f>+_xlfn.XLOOKUP(sales[[#This Row],[Fecha]],OPEX_SALES!A:A,OPEX_SALES!B:B)</f>
        <v>3</v>
      </c>
      <c r="G354" s="14" t="str">
        <f>+_xlfn.XLOOKUP(sales[[#This Row],[Fecha]],OPEX_SALES!A:A,OPEX_SALES!E:E)</f>
        <v>D) Domingo</v>
      </c>
      <c r="H354" s="14" t="str">
        <f>+TEXT(sales[[#This Row],[Fecha]],"ddd")</f>
        <v>dom</v>
      </c>
      <c r="I354" s="185">
        <f>+sales[[#This Row],[Venta]]-sales[[#This Row],[costo_venta]]</f>
        <v>3600</v>
      </c>
      <c r="J354" s="101">
        <f>[1]sales!K359</f>
        <v>6000</v>
      </c>
      <c r="K354" s="79">
        <f>[1]sales!I359</f>
        <v>0</v>
      </c>
      <c r="L354" s="52">
        <f>[1]sales!J359</f>
        <v>6000</v>
      </c>
      <c r="M354" s="1">
        <f>[1]sales!L359*sales[[#This Row],[cantidad]]</f>
        <v>2400</v>
      </c>
      <c r="N354" s="37">
        <f>+(sales[[#This Row],[Venta]]-sales[[#This Row],[costo_venta]])/sales[[#This Row],[Venta]]</f>
        <v>0.6</v>
      </c>
    </row>
    <row r="355" spans="1:14" x14ac:dyDescent="0.2">
      <c r="A355" s="14">
        <f>[1]sales!A360</f>
        <v>46096</v>
      </c>
      <c r="B355" s="188">
        <f>[1]sales!B360</f>
        <v>0.78940972222222228</v>
      </c>
      <c r="C355" s="184" t="s">
        <v>49</v>
      </c>
      <c r="D355" s="14" t="str">
        <f>[1]sales!D360</f>
        <v>Parrillada de 30</v>
      </c>
      <c r="E355" s="3">
        <f>+[1]sales!G360</f>
        <v>1</v>
      </c>
      <c r="F355" s="195">
        <f>+_xlfn.XLOOKUP(sales[[#This Row],[Fecha]],OPEX_SALES!A:A,OPEX_SALES!B:B)</f>
        <v>3</v>
      </c>
      <c r="G355" s="14" t="str">
        <f>+_xlfn.XLOOKUP(sales[[#This Row],[Fecha]],OPEX_SALES!A:A,OPEX_SALES!E:E)</f>
        <v>D) Domingo</v>
      </c>
      <c r="H355" s="14" t="str">
        <f>+TEXT(sales[[#This Row],[Fecha]],"ddd")</f>
        <v>dom</v>
      </c>
      <c r="I355" s="185">
        <f>+sales[[#This Row],[Venta]]-sales[[#This Row],[costo_venta]]</f>
        <v>-970000</v>
      </c>
      <c r="J355" s="101">
        <f>[1]sales!K360</f>
        <v>30000</v>
      </c>
      <c r="K355" s="79">
        <f>[1]sales!I360</f>
        <v>0</v>
      </c>
      <c r="L355" s="52">
        <f>[1]sales!J360</f>
        <v>30000</v>
      </c>
      <c r="M355" s="1">
        <f>[1]sales!L360*sales[[#This Row],[cantidad]]</f>
        <v>1000000</v>
      </c>
      <c r="N355" s="37">
        <f>+(sales[[#This Row],[Venta]]-sales[[#This Row],[costo_venta]])/sales[[#This Row],[Venta]]</f>
        <v>-32.333333333333336</v>
      </c>
    </row>
    <row r="356" spans="1:14" x14ac:dyDescent="0.2">
      <c r="A356" s="14">
        <f>[1]sales!A361</f>
        <v>46097</v>
      </c>
      <c r="B356" s="188">
        <f>[1]sales!B361</f>
        <v>0.66733796296296299</v>
      </c>
      <c r="C356" s="184" t="s">
        <v>49</v>
      </c>
      <c r="D356" s="14" t="str">
        <f>[1]sales!D361</f>
        <v xml:space="preserve"> Chorizo con papa/arepa</v>
      </c>
      <c r="E356" s="3">
        <f>+[1]sales!G361</f>
        <v>3</v>
      </c>
      <c r="F356" s="195">
        <f>+_xlfn.XLOOKUP(sales[[#This Row],[Fecha]],OPEX_SALES!A:A,OPEX_SALES!B:B)</f>
        <v>4</v>
      </c>
      <c r="G356" s="14" t="str">
        <f>+_xlfn.XLOOKUP(sales[[#This Row],[Fecha]],OPEX_SALES!A:A,OPEX_SALES!E:E)</f>
        <v>A) Día hábil</v>
      </c>
      <c r="H356" s="14" t="str">
        <f>+TEXT(sales[[#This Row],[Fecha]],"ddd")</f>
        <v>lun</v>
      </c>
      <c r="I356" s="185">
        <f>+sales[[#This Row],[Venta]]-sales[[#This Row],[costo_venta]]</f>
        <v>10980</v>
      </c>
      <c r="J356" s="101">
        <f>[1]sales!K361</f>
        <v>24000</v>
      </c>
      <c r="K356" s="79">
        <f>[1]sales!I361</f>
        <v>24000</v>
      </c>
      <c r="L356" s="52">
        <f>[1]sales!J361</f>
        <v>0</v>
      </c>
      <c r="M356" s="1">
        <f>[1]sales!L361*sales[[#This Row],[cantidad]]</f>
        <v>13020</v>
      </c>
      <c r="N356" s="37">
        <f>+(sales[[#This Row],[Venta]]-sales[[#This Row],[costo_venta]])/sales[[#This Row],[Venta]]</f>
        <v>0.45750000000000002</v>
      </c>
    </row>
    <row r="357" spans="1:14" x14ac:dyDescent="0.2">
      <c r="A357" s="14">
        <f>[1]sales!A362</f>
        <v>46097</v>
      </c>
      <c r="B357" s="188">
        <f>[1]sales!B362</f>
        <v>0.6839467592592593</v>
      </c>
      <c r="C357" s="184" t="s">
        <v>49</v>
      </c>
      <c r="D357" s="14" t="str">
        <f>[1]sales!D362</f>
        <v xml:space="preserve"> Chorizo con papa/arepa</v>
      </c>
      <c r="E357" s="3">
        <f>+[1]sales!G362</f>
        <v>1</v>
      </c>
      <c r="F357" s="195">
        <f>+_xlfn.XLOOKUP(sales[[#This Row],[Fecha]],OPEX_SALES!A:A,OPEX_SALES!B:B)</f>
        <v>4</v>
      </c>
      <c r="G357" s="14" t="str">
        <f>+_xlfn.XLOOKUP(sales[[#This Row],[Fecha]],OPEX_SALES!A:A,OPEX_SALES!E:E)</f>
        <v>A) Día hábil</v>
      </c>
      <c r="H357" s="14" t="str">
        <f>+TEXT(sales[[#This Row],[Fecha]],"ddd")</f>
        <v>lun</v>
      </c>
      <c r="I357" s="185">
        <f>+sales[[#This Row],[Venta]]-sales[[#This Row],[costo_venta]]</f>
        <v>3660</v>
      </c>
      <c r="J357" s="101">
        <f>[1]sales!K362</f>
        <v>8000</v>
      </c>
      <c r="K357" s="79">
        <f>[1]sales!I362</f>
        <v>8000</v>
      </c>
      <c r="L357" s="52">
        <f>[1]sales!J362</f>
        <v>0</v>
      </c>
      <c r="M357" s="1">
        <f>[1]sales!L362*sales[[#This Row],[cantidad]]</f>
        <v>4340</v>
      </c>
      <c r="N357" s="37">
        <f>+(sales[[#This Row],[Venta]]-sales[[#This Row],[costo_venta]])/sales[[#This Row],[Venta]]</f>
        <v>0.45750000000000002</v>
      </c>
    </row>
    <row r="358" spans="1:14" x14ac:dyDescent="0.2">
      <c r="A358" s="14">
        <f>[1]sales!A363</f>
        <v>46097</v>
      </c>
      <c r="B358" s="188">
        <f>[1]sales!B363</f>
        <v>0.6839467592592593</v>
      </c>
      <c r="C358" s="184" t="s">
        <v>49</v>
      </c>
      <c r="D358" s="14" t="str">
        <f>[1]sales!D363</f>
        <v>BEBIDA - Coca Cola</v>
      </c>
      <c r="E358" s="3">
        <f>+[1]sales!G363</f>
        <v>1</v>
      </c>
      <c r="F358" s="195">
        <f>+_xlfn.XLOOKUP(sales[[#This Row],[Fecha]],OPEX_SALES!A:A,OPEX_SALES!B:B)</f>
        <v>4</v>
      </c>
      <c r="G358" s="14" t="str">
        <f>+_xlfn.XLOOKUP(sales[[#This Row],[Fecha]],OPEX_SALES!A:A,OPEX_SALES!E:E)</f>
        <v>A) Día hábil</v>
      </c>
      <c r="H358" s="14" t="str">
        <f>+TEXT(sales[[#This Row],[Fecha]],"ddd")</f>
        <v>lun</v>
      </c>
      <c r="I358" s="185">
        <f>+sales[[#This Row],[Venta]]-sales[[#This Row],[costo_venta]]</f>
        <v>1800</v>
      </c>
      <c r="J358" s="101">
        <f>[1]sales!K363</f>
        <v>3000</v>
      </c>
      <c r="K358" s="79">
        <f>[1]sales!I363</f>
        <v>3000</v>
      </c>
      <c r="L358" s="52">
        <f>[1]sales!J363</f>
        <v>0</v>
      </c>
      <c r="M358" s="1">
        <f>[1]sales!L363*sales[[#This Row],[cantidad]]</f>
        <v>1200</v>
      </c>
      <c r="N358" s="37">
        <f>+(sales[[#This Row],[Venta]]-sales[[#This Row],[costo_venta]])/sales[[#This Row],[Venta]]</f>
        <v>0.6</v>
      </c>
    </row>
    <row r="359" spans="1:14" x14ac:dyDescent="0.2">
      <c r="A359" s="14">
        <f>[1]sales!A364</f>
        <v>46097</v>
      </c>
      <c r="B359" s="188">
        <f>[1]sales!B364</f>
        <v>0.68489583333333337</v>
      </c>
      <c r="C359" s="184" t="s">
        <v>49</v>
      </c>
      <c r="D359" s="14" t="str">
        <f>[1]sales!D364</f>
        <v xml:space="preserve"> Chorizo con papa/arepa</v>
      </c>
      <c r="E359" s="3">
        <f>+[1]sales!G364</f>
        <v>1</v>
      </c>
      <c r="F359" s="195">
        <f>+_xlfn.XLOOKUP(sales[[#This Row],[Fecha]],OPEX_SALES!A:A,OPEX_SALES!B:B)</f>
        <v>4</v>
      </c>
      <c r="G359" s="14" t="str">
        <f>+_xlfn.XLOOKUP(sales[[#This Row],[Fecha]],OPEX_SALES!A:A,OPEX_SALES!E:E)</f>
        <v>A) Día hábil</v>
      </c>
      <c r="H359" s="14" t="str">
        <f>+TEXT(sales[[#This Row],[Fecha]],"ddd")</f>
        <v>lun</v>
      </c>
      <c r="I359" s="185">
        <f>+sales[[#This Row],[Venta]]-sales[[#This Row],[costo_venta]]</f>
        <v>3660</v>
      </c>
      <c r="J359" s="101">
        <f>[1]sales!K364</f>
        <v>8000</v>
      </c>
      <c r="K359" s="79">
        <f>[1]sales!I364</f>
        <v>0</v>
      </c>
      <c r="L359" s="52">
        <f>[1]sales!J364</f>
        <v>8000</v>
      </c>
      <c r="M359" s="1">
        <f>[1]sales!L364*sales[[#This Row],[cantidad]]</f>
        <v>4340</v>
      </c>
      <c r="N359" s="37">
        <f>+(sales[[#This Row],[Venta]]-sales[[#This Row],[costo_venta]])/sales[[#This Row],[Venta]]</f>
        <v>0.45750000000000002</v>
      </c>
    </row>
    <row r="360" spans="1:14" x14ac:dyDescent="0.2">
      <c r="A360" s="14">
        <f>[1]sales!A365</f>
        <v>46097</v>
      </c>
      <c r="B360" s="188">
        <f>[1]sales!B365</f>
        <v>0.68489583333333337</v>
      </c>
      <c r="C360" s="184" t="s">
        <v>49</v>
      </c>
      <c r="D360" s="14" t="str">
        <f>[1]sales!D365</f>
        <v>BEBIDA - Coca Cola</v>
      </c>
      <c r="E360" s="3">
        <f>+[1]sales!G365</f>
        <v>1</v>
      </c>
      <c r="F360" s="195">
        <f>+_xlfn.XLOOKUP(sales[[#This Row],[Fecha]],OPEX_SALES!A:A,OPEX_SALES!B:B)</f>
        <v>4</v>
      </c>
      <c r="G360" s="14" t="str">
        <f>+_xlfn.XLOOKUP(sales[[#This Row],[Fecha]],OPEX_SALES!A:A,OPEX_SALES!E:E)</f>
        <v>A) Día hábil</v>
      </c>
      <c r="H360" s="14" t="str">
        <f>+TEXT(sales[[#This Row],[Fecha]],"ddd")</f>
        <v>lun</v>
      </c>
      <c r="I360" s="185">
        <f>+sales[[#This Row],[Venta]]-sales[[#This Row],[costo_venta]]</f>
        <v>1800</v>
      </c>
      <c r="J360" s="101">
        <f>[1]sales!K365</f>
        <v>3000</v>
      </c>
      <c r="K360" s="79">
        <f>[1]sales!I365</f>
        <v>0</v>
      </c>
      <c r="L360" s="52">
        <f>[1]sales!J365</f>
        <v>3000</v>
      </c>
      <c r="M360" s="1">
        <f>[1]sales!L365*sales[[#This Row],[cantidad]]</f>
        <v>1200</v>
      </c>
      <c r="N360" s="37">
        <f>+(sales[[#This Row],[Venta]]-sales[[#This Row],[costo_venta]])/sales[[#This Row],[Venta]]</f>
        <v>0.6</v>
      </c>
    </row>
    <row r="361" spans="1:14" x14ac:dyDescent="0.2">
      <c r="A361" s="14">
        <f>[1]sales!A366</f>
        <v>46097</v>
      </c>
      <c r="B361" s="188">
        <f>[1]sales!B366</f>
        <v>0.72692129629629632</v>
      </c>
      <c r="C361" s="184" t="s">
        <v>49</v>
      </c>
      <c r="D361" s="14" t="str">
        <f>[1]sales!D366</f>
        <v xml:space="preserve"> Chorizo con papa/arepa</v>
      </c>
      <c r="E361" s="3">
        <f>+[1]sales!G366</f>
        <v>1</v>
      </c>
      <c r="F361" s="195">
        <f>+_xlfn.XLOOKUP(sales[[#This Row],[Fecha]],OPEX_SALES!A:A,OPEX_SALES!B:B)</f>
        <v>4</v>
      </c>
      <c r="G361" s="14" t="str">
        <f>+_xlfn.XLOOKUP(sales[[#This Row],[Fecha]],OPEX_SALES!A:A,OPEX_SALES!E:E)</f>
        <v>A) Día hábil</v>
      </c>
      <c r="H361" s="14" t="str">
        <f>+TEXT(sales[[#This Row],[Fecha]],"ddd")</f>
        <v>lun</v>
      </c>
      <c r="I361" s="185">
        <f>+sales[[#This Row],[Venta]]-sales[[#This Row],[costo_venta]]</f>
        <v>3660</v>
      </c>
      <c r="J361" s="101">
        <f>[1]sales!K366</f>
        <v>8000</v>
      </c>
      <c r="K361" s="79">
        <f>[1]sales!I366</f>
        <v>8000</v>
      </c>
      <c r="L361" s="52">
        <f>[1]sales!J366</f>
        <v>0</v>
      </c>
      <c r="M361" s="1">
        <f>[1]sales!L366*sales[[#This Row],[cantidad]]</f>
        <v>4340</v>
      </c>
      <c r="N361" s="37">
        <f>+(sales[[#This Row],[Venta]]-sales[[#This Row],[costo_venta]])/sales[[#This Row],[Venta]]</f>
        <v>0.45750000000000002</v>
      </c>
    </row>
    <row r="362" spans="1:14" x14ac:dyDescent="0.2">
      <c r="A362" s="14">
        <f>[1]sales!A367</f>
        <v>46097</v>
      </c>
      <c r="B362" s="188">
        <f>[1]sales!B367</f>
        <v>0.72692129629629632</v>
      </c>
      <c r="C362" s="184" t="s">
        <v>49</v>
      </c>
      <c r="D362" s="14" t="str">
        <f>[1]sales!D367</f>
        <v>BEBIDA - Coca Cola</v>
      </c>
      <c r="E362" s="3">
        <f>+[1]sales!G367</f>
        <v>1</v>
      </c>
      <c r="F362" s="195">
        <f>+_xlfn.XLOOKUP(sales[[#This Row],[Fecha]],OPEX_SALES!A:A,OPEX_SALES!B:B)</f>
        <v>4</v>
      </c>
      <c r="G362" s="14" t="str">
        <f>+_xlfn.XLOOKUP(sales[[#This Row],[Fecha]],OPEX_SALES!A:A,OPEX_SALES!E:E)</f>
        <v>A) Día hábil</v>
      </c>
      <c r="H362" s="14" t="str">
        <f>+TEXT(sales[[#This Row],[Fecha]],"ddd")</f>
        <v>lun</v>
      </c>
      <c r="I362" s="185">
        <f>+sales[[#This Row],[Venta]]-sales[[#This Row],[costo_venta]]</f>
        <v>1800</v>
      </c>
      <c r="J362" s="101">
        <f>[1]sales!K367</f>
        <v>3000</v>
      </c>
      <c r="K362" s="79">
        <f>[1]sales!I367</f>
        <v>3000</v>
      </c>
      <c r="L362" s="52">
        <f>[1]sales!J367</f>
        <v>0</v>
      </c>
      <c r="M362" s="1">
        <f>[1]sales!L367*sales[[#This Row],[cantidad]]</f>
        <v>1200</v>
      </c>
      <c r="N362" s="37">
        <f>+(sales[[#This Row],[Venta]]-sales[[#This Row],[costo_venta]])/sales[[#This Row],[Venta]]</f>
        <v>0.6</v>
      </c>
    </row>
    <row r="363" spans="1:14" x14ac:dyDescent="0.2">
      <c r="A363" s="14">
        <f>[1]sales!A368</f>
        <v>46097</v>
      </c>
      <c r="B363" s="188">
        <f>[1]sales!B368</f>
        <v>0.7690393518518519</v>
      </c>
      <c r="C363" s="184" t="s">
        <v>49</v>
      </c>
      <c r="D363" s="14" t="str">
        <f>[1]sales!D368</f>
        <v xml:space="preserve"> Chorizo con papa/arepa</v>
      </c>
      <c r="E363" s="3">
        <f>+[1]sales!G368</f>
        <v>6</v>
      </c>
      <c r="F363" s="195">
        <f>+_xlfn.XLOOKUP(sales[[#This Row],[Fecha]],OPEX_SALES!A:A,OPEX_SALES!B:B)</f>
        <v>4</v>
      </c>
      <c r="G363" s="14" t="str">
        <f>+_xlfn.XLOOKUP(sales[[#This Row],[Fecha]],OPEX_SALES!A:A,OPEX_SALES!E:E)</f>
        <v>A) Día hábil</v>
      </c>
      <c r="H363" s="14" t="str">
        <f>+TEXT(sales[[#This Row],[Fecha]],"ddd")</f>
        <v>lun</v>
      </c>
      <c r="I363" s="185">
        <f>+sales[[#This Row],[Venta]]-sales[[#This Row],[costo_venta]]</f>
        <v>21960</v>
      </c>
      <c r="J363" s="101">
        <f>[1]sales!K368</f>
        <v>48000</v>
      </c>
      <c r="K363" s="79">
        <f>[1]sales!I368</f>
        <v>48000</v>
      </c>
      <c r="L363" s="52">
        <f>[1]sales!J368</f>
        <v>0</v>
      </c>
      <c r="M363" s="1">
        <f>[1]sales!L368*sales[[#This Row],[cantidad]]</f>
        <v>26040</v>
      </c>
      <c r="N363" s="37">
        <f>+(sales[[#This Row],[Venta]]-sales[[#This Row],[costo_venta]])/sales[[#This Row],[Venta]]</f>
        <v>0.45750000000000002</v>
      </c>
    </row>
    <row r="364" spans="1:14" x14ac:dyDescent="0.2">
      <c r="A364" s="14">
        <f>[1]sales!A369</f>
        <v>46097</v>
      </c>
      <c r="B364" s="188">
        <f>[1]sales!B369</f>
        <v>0.7690393518518519</v>
      </c>
      <c r="C364" s="184" t="s">
        <v>49</v>
      </c>
      <c r="D364" s="14" t="str">
        <f>[1]sales!D369</f>
        <v>BEBIDA - Coca Cola</v>
      </c>
      <c r="E364" s="3">
        <f>+[1]sales!G369</f>
        <v>3</v>
      </c>
      <c r="F364" s="195">
        <f>+_xlfn.XLOOKUP(sales[[#This Row],[Fecha]],OPEX_SALES!A:A,OPEX_SALES!B:B)</f>
        <v>4</v>
      </c>
      <c r="G364" s="14" t="str">
        <f>+_xlfn.XLOOKUP(sales[[#This Row],[Fecha]],OPEX_SALES!A:A,OPEX_SALES!E:E)</f>
        <v>A) Día hábil</v>
      </c>
      <c r="H364" s="14" t="str">
        <f>+TEXT(sales[[#This Row],[Fecha]],"ddd")</f>
        <v>lun</v>
      </c>
      <c r="I364" s="185">
        <f>+sales[[#This Row],[Venta]]-sales[[#This Row],[costo_venta]]</f>
        <v>5400</v>
      </c>
      <c r="J364" s="101">
        <f>[1]sales!K369</f>
        <v>9000</v>
      </c>
      <c r="K364" s="79">
        <f>[1]sales!I369</f>
        <v>9000</v>
      </c>
      <c r="L364" s="52">
        <f>[1]sales!J369</f>
        <v>0</v>
      </c>
      <c r="M364" s="1">
        <f>[1]sales!L369*sales[[#This Row],[cantidad]]</f>
        <v>3600</v>
      </c>
      <c r="N364" s="37">
        <f>+(sales[[#This Row],[Venta]]-sales[[#This Row],[costo_venta]])/sales[[#This Row],[Venta]]</f>
        <v>0.6</v>
      </c>
    </row>
    <row r="365" spans="1:14" x14ac:dyDescent="0.2">
      <c r="A365" s="14">
        <f>[1]sales!A370</f>
        <v>46097</v>
      </c>
      <c r="B365" s="188">
        <f>[1]sales!B370</f>
        <v>0.77001157407407406</v>
      </c>
      <c r="C365" s="184" t="s">
        <v>49</v>
      </c>
      <c r="D365" s="14" t="str">
        <f>[1]sales!D370</f>
        <v xml:space="preserve"> Chorizo solo</v>
      </c>
      <c r="E365" s="3">
        <f>+[1]sales!G370</f>
        <v>1</v>
      </c>
      <c r="F365" s="195">
        <f>+_xlfn.XLOOKUP(sales[[#This Row],[Fecha]],OPEX_SALES!A:A,OPEX_SALES!B:B)</f>
        <v>4</v>
      </c>
      <c r="G365" s="14" t="str">
        <f>+_xlfn.XLOOKUP(sales[[#This Row],[Fecha]],OPEX_SALES!A:A,OPEX_SALES!E:E)</f>
        <v>A) Día hábil</v>
      </c>
      <c r="H365" s="14" t="str">
        <f>+TEXT(sales[[#This Row],[Fecha]],"ddd")</f>
        <v>lun</v>
      </c>
      <c r="I365" s="185">
        <f>+sales[[#This Row],[Venta]]-sales[[#This Row],[costo_venta]]</f>
        <v>3500</v>
      </c>
      <c r="J365" s="101">
        <f>[1]sales!K370</f>
        <v>7000</v>
      </c>
      <c r="K365" s="79">
        <f>[1]sales!I370</f>
        <v>0</v>
      </c>
      <c r="L365" s="52">
        <f>[1]sales!J370</f>
        <v>7000</v>
      </c>
      <c r="M365" s="1">
        <f>[1]sales!L370*sales[[#This Row],[cantidad]]</f>
        <v>3500</v>
      </c>
      <c r="N365" s="37">
        <f>+(sales[[#This Row],[Venta]]-sales[[#This Row],[costo_venta]])/sales[[#This Row],[Venta]]</f>
        <v>0.5</v>
      </c>
    </row>
    <row r="366" spans="1:14" x14ac:dyDescent="0.2">
      <c r="A366" s="14">
        <f>[1]sales!A371</f>
        <v>46097</v>
      </c>
      <c r="B366" s="188">
        <f>[1]sales!B371</f>
        <v>0.77001157407407406</v>
      </c>
      <c r="C366" s="184" t="s">
        <v>49</v>
      </c>
      <c r="D366" s="14" t="str">
        <f>[1]sales!D371</f>
        <v>BEBIDA - Coca Cola</v>
      </c>
      <c r="E366" s="3">
        <f>+[1]sales!G371</f>
        <v>1</v>
      </c>
      <c r="F366" s="195">
        <f>+_xlfn.XLOOKUP(sales[[#This Row],[Fecha]],OPEX_SALES!A:A,OPEX_SALES!B:B)</f>
        <v>4</v>
      </c>
      <c r="G366" s="14" t="str">
        <f>+_xlfn.XLOOKUP(sales[[#This Row],[Fecha]],OPEX_SALES!A:A,OPEX_SALES!E:E)</f>
        <v>A) Día hábil</v>
      </c>
      <c r="H366" s="14" t="str">
        <f>+TEXT(sales[[#This Row],[Fecha]],"ddd")</f>
        <v>lun</v>
      </c>
      <c r="I366" s="185">
        <f>+sales[[#This Row],[Venta]]-sales[[#This Row],[costo_venta]]</f>
        <v>1800</v>
      </c>
      <c r="J366" s="101">
        <f>[1]sales!K371</f>
        <v>3000</v>
      </c>
      <c r="K366" s="79">
        <f>[1]sales!I371</f>
        <v>0</v>
      </c>
      <c r="L366" s="52">
        <f>[1]sales!J371</f>
        <v>3000</v>
      </c>
      <c r="M366" s="1">
        <f>[1]sales!L371*sales[[#This Row],[cantidad]]</f>
        <v>1200</v>
      </c>
      <c r="N366" s="37">
        <f>+(sales[[#This Row],[Venta]]-sales[[#This Row],[costo_venta]])/sales[[#This Row],[Venta]]</f>
        <v>0.6</v>
      </c>
    </row>
    <row r="367" spans="1:14" x14ac:dyDescent="0.2">
      <c r="A367" s="14">
        <f>[1]sales!A372</f>
        <v>46098</v>
      </c>
      <c r="B367" s="188">
        <f>[1]sales!B372</f>
        <v>0.44481481481481483</v>
      </c>
      <c r="C367" s="184" t="s">
        <v>49</v>
      </c>
      <c r="D367" s="14" t="str">
        <f>[1]sales!D372</f>
        <v xml:space="preserve"> Chorizo con papa/arepa</v>
      </c>
      <c r="E367" s="3">
        <f>+[1]sales!G372</f>
        <v>4</v>
      </c>
      <c r="F367" s="195">
        <f>+_xlfn.XLOOKUP(sales[[#This Row],[Fecha]],OPEX_SALES!A:A,OPEX_SALES!B:B)</f>
        <v>4</v>
      </c>
      <c r="G367" s="14" t="str">
        <f>+_xlfn.XLOOKUP(sales[[#This Row],[Fecha]],OPEX_SALES!A:A,OPEX_SALES!E:E)</f>
        <v>A) Día hábil</v>
      </c>
      <c r="H367" s="14" t="str">
        <f>+TEXT(sales[[#This Row],[Fecha]],"ddd")</f>
        <v>mar</v>
      </c>
      <c r="I367" s="185">
        <f>+sales[[#This Row],[Venta]]-sales[[#This Row],[costo_venta]]</f>
        <v>14640</v>
      </c>
      <c r="J367" s="101">
        <f>[1]sales!K372</f>
        <v>32000</v>
      </c>
      <c r="K367" s="79">
        <f>[1]sales!I372</f>
        <v>0</v>
      </c>
      <c r="L367" s="52">
        <f>[1]sales!J372</f>
        <v>32000</v>
      </c>
      <c r="M367" s="1">
        <f>[1]sales!L372*sales[[#This Row],[cantidad]]</f>
        <v>17360</v>
      </c>
      <c r="N367" s="37">
        <f>+(sales[[#This Row],[Venta]]-sales[[#This Row],[costo_venta]])/sales[[#This Row],[Venta]]</f>
        <v>0.45750000000000002</v>
      </c>
    </row>
    <row r="368" spans="1:14" x14ac:dyDescent="0.2">
      <c r="A368" s="14">
        <f>[1]sales!A373</f>
        <v>46098</v>
      </c>
      <c r="B368" s="188">
        <f>[1]sales!B373</f>
        <v>0.61690972222222218</v>
      </c>
      <c r="C368" s="184" t="s">
        <v>49</v>
      </c>
      <c r="D368" s="14" t="str">
        <f>[1]sales!D373</f>
        <v xml:space="preserve"> Chorizo con papa/arepa</v>
      </c>
      <c r="E368" s="3">
        <f>+[1]sales!G373</f>
        <v>3</v>
      </c>
      <c r="F368" s="195">
        <f>+_xlfn.XLOOKUP(sales[[#This Row],[Fecha]],OPEX_SALES!A:A,OPEX_SALES!B:B)</f>
        <v>4</v>
      </c>
      <c r="G368" s="14" t="str">
        <f>+_xlfn.XLOOKUP(sales[[#This Row],[Fecha]],OPEX_SALES!A:A,OPEX_SALES!E:E)</f>
        <v>A) Día hábil</v>
      </c>
      <c r="H368" s="14" t="str">
        <f>+TEXT(sales[[#This Row],[Fecha]],"ddd")</f>
        <v>mar</v>
      </c>
      <c r="I368" s="185">
        <f>+sales[[#This Row],[Venta]]-sales[[#This Row],[costo_venta]]</f>
        <v>10980</v>
      </c>
      <c r="J368" s="101">
        <f>[1]sales!K373</f>
        <v>24000</v>
      </c>
      <c r="K368" s="79">
        <f>[1]sales!I373</f>
        <v>24000</v>
      </c>
      <c r="L368" s="52">
        <f>[1]sales!J373</f>
        <v>0</v>
      </c>
      <c r="M368" s="1">
        <f>[1]sales!L373*sales[[#This Row],[cantidad]]</f>
        <v>13020</v>
      </c>
      <c r="N368" s="37">
        <f>+(sales[[#This Row],[Venta]]-sales[[#This Row],[costo_venta]])/sales[[#This Row],[Venta]]</f>
        <v>0.45750000000000002</v>
      </c>
    </row>
    <row r="369" spans="1:14" x14ac:dyDescent="0.2">
      <c r="A369" s="14">
        <f>[1]sales!A374</f>
        <v>46098</v>
      </c>
      <c r="B369" s="188">
        <f>[1]sales!B374</f>
        <v>0.61690972222222218</v>
      </c>
      <c r="C369" s="184" t="s">
        <v>49</v>
      </c>
      <c r="D369" s="14" t="str">
        <f>[1]sales!D374</f>
        <v>BEBIDA - Postobón</v>
      </c>
      <c r="E369" s="3">
        <f>+[1]sales!G374</f>
        <v>1</v>
      </c>
      <c r="F369" s="195">
        <f>+_xlfn.XLOOKUP(sales[[#This Row],[Fecha]],OPEX_SALES!A:A,OPEX_SALES!B:B)</f>
        <v>4</v>
      </c>
      <c r="G369" s="14" t="str">
        <f>+_xlfn.XLOOKUP(sales[[#This Row],[Fecha]],OPEX_SALES!A:A,OPEX_SALES!E:E)</f>
        <v>A) Día hábil</v>
      </c>
      <c r="H369" s="14" t="str">
        <f>+TEXT(sales[[#This Row],[Fecha]],"ddd")</f>
        <v>mar</v>
      </c>
      <c r="I369" s="185">
        <f>+sales[[#This Row],[Venta]]-sales[[#This Row],[costo_venta]]</f>
        <v>1866.67</v>
      </c>
      <c r="J369" s="101">
        <f>[1]sales!K374</f>
        <v>3000</v>
      </c>
      <c r="K369" s="79">
        <f>[1]sales!I374</f>
        <v>3000</v>
      </c>
      <c r="L369" s="52">
        <f>[1]sales!J374</f>
        <v>0</v>
      </c>
      <c r="M369" s="1">
        <f>[1]sales!L374*sales[[#This Row],[cantidad]]</f>
        <v>1133.33</v>
      </c>
      <c r="N369" s="37">
        <f>+(sales[[#This Row],[Venta]]-sales[[#This Row],[costo_venta]])/sales[[#This Row],[Venta]]</f>
        <v>0.62222333333333335</v>
      </c>
    </row>
    <row r="370" spans="1:14" x14ac:dyDescent="0.2">
      <c r="A370" s="14">
        <f>[1]sales!A375</f>
        <v>46098</v>
      </c>
      <c r="B370" s="188">
        <f>[1]sales!B375</f>
        <v>0.61690972222222218</v>
      </c>
      <c r="C370" s="184" t="s">
        <v>49</v>
      </c>
      <c r="D370" s="14" t="str">
        <f>[1]sales!D375</f>
        <v>z. MP -  Chorizo CRUDO</v>
      </c>
      <c r="E370" s="3">
        <f>+[1]sales!G375</f>
        <v>3</v>
      </c>
      <c r="F370" s="195">
        <f>+_xlfn.XLOOKUP(sales[[#This Row],[Fecha]],OPEX_SALES!A:A,OPEX_SALES!B:B)</f>
        <v>4</v>
      </c>
      <c r="G370" s="14" t="str">
        <f>+_xlfn.XLOOKUP(sales[[#This Row],[Fecha]],OPEX_SALES!A:A,OPEX_SALES!E:E)</f>
        <v>A) Día hábil</v>
      </c>
      <c r="H370" s="14" t="str">
        <f>+TEXT(sales[[#This Row],[Fecha]],"ddd")</f>
        <v>mar</v>
      </c>
      <c r="I370" s="185">
        <f>+sales[[#This Row],[Venta]]-sales[[#This Row],[costo_venta]]</f>
        <v>3000</v>
      </c>
      <c r="J370" s="101">
        <f>[1]sales!K375</f>
        <v>13500</v>
      </c>
      <c r="K370" s="79">
        <f>[1]sales!I375</f>
        <v>13500</v>
      </c>
      <c r="L370" s="52">
        <f>[1]sales!J375</f>
        <v>0</v>
      </c>
      <c r="M370" s="1">
        <f>[1]sales!L375*sales[[#This Row],[cantidad]]</f>
        <v>10500</v>
      </c>
      <c r="N370" s="37">
        <f>+(sales[[#This Row],[Venta]]-sales[[#This Row],[costo_venta]])/sales[[#This Row],[Venta]]</f>
        <v>0.22222222222222221</v>
      </c>
    </row>
    <row r="371" spans="1:14" x14ac:dyDescent="0.2">
      <c r="A371" s="14">
        <f>[1]sales!A376</f>
        <v>46098</v>
      </c>
      <c r="B371" s="188">
        <f>[1]sales!B376</f>
        <v>0.62935185185185183</v>
      </c>
      <c r="C371" s="184" t="s">
        <v>49</v>
      </c>
      <c r="D371" s="14" t="str">
        <f>[1]sales!D376</f>
        <v xml:space="preserve"> Chorizo con papa/arepa</v>
      </c>
      <c r="E371" s="3">
        <f>+[1]sales!G376</f>
        <v>2</v>
      </c>
      <c r="F371" s="195">
        <f>+_xlfn.XLOOKUP(sales[[#This Row],[Fecha]],OPEX_SALES!A:A,OPEX_SALES!B:B)</f>
        <v>4</v>
      </c>
      <c r="G371" s="14" t="str">
        <f>+_xlfn.XLOOKUP(sales[[#This Row],[Fecha]],OPEX_SALES!A:A,OPEX_SALES!E:E)</f>
        <v>A) Día hábil</v>
      </c>
      <c r="H371" s="14" t="str">
        <f>+TEXT(sales[[#This Row],[Fecha]],"ddd")</f>
        <v>mar</v>
      </c>
      <c r="I371" s="185">
        <f>+sales[[#This Row],[Venta]]-sales[[#This Row],[costo_venta]]</f>
        <v>7320</v>
      </c>
      <c r="J371" s="101">
        <f>[1]sales!K376</f>
        <v>16000</v>
      </c>
      <c r="K371" s="79">
        <f>[1]sales!I376</f>
        <v>16000</v>
      </c>
      <c r="L371" s="52">
        <f>[1]sales!J376</f>
        <v>0</v>
      </c>
      <c r="M371" s="1">
        <f>[1]sales!L376*sales[[#This Row],[cantidad]]</f>
        <v>8680</v>
      </c>
      <c r="N371" s="37">
        <f>+(sales[[#This Row],[Venta]]-sales[[#This Row],[costo_venta]])/sales[[#This Row],[Venta]]</f>
        <v>0.45750000000000002</v>
      </c>
    </row>
    <row r="372" spans="1:14" x14ac:dyDescent="0.2">
      <c r="A372" s="14">
        <f>[1]sales!A377</f>
        <v>46098</v>
      </c>
      <c r="B372" s="188">
        <f>[1]sales!B377</f>
        <v>0.65011574074074074</v>
      </c>
      <c r="C372" s="184" t="s">
        <v>49</v>
      </c>
      <c r="D372" s="14" t="str">
        <f>[1]sales!D377</f>
        <v xml:space="preserve"> Chorizo con papa/arepa</v>
      </c>
      <c r="E372" s="3">
        <f>+[1]sales!G377</f>
        <v>1</v>
      </c>
      <c r="F372" s="195">
        <f>+_xlfn.XLOOKUP(sales[[#This Row],[Fecha]],OPEX_SALES!A:A,OPEX_SALES!B:B)</f>
        <v>4</v>
      </c>
      <c r="G372" s="14" t="str">
        <f>+_xlfn.XLOOKUP(sales[[#This Row],[Fecha]],OPEX_SALES!A:A,OPEX_SALES!E:E)</f>
        <v>A) Día hábil</v>
      </c>
      <c r="H372" s="14" t="str">
        <f>+TEXT(sales[[#This Row],[Fecha]],"ddd")</f>
        <v>mar</v>
      </c>
      <c r="I372" s="185">
        <f>+sales[[#This Row],[Venta]]-sales[[#This Row],[costo_venta]]</f>
        <v>3660</v>
      </c>
      <c r="J372" s="101">
        <f>[1]sales!K377</f>
        <v>8000</v>
      </c>
      <c r="K372" s="79">
        <f>[1]sales!I377</f>
        <v>0</v>
      </c>
      <c r="L372" s="52">
        <f>[1]sales!J377</f>
        <v>8000</v>
      </c>
      <c r="M372" s="1">
        <f>[1]sales!L377*sales[[#This Row],[cantidad]]</f>
        <v>4340</v>
      </c>
      <c r="N372" s="37">
        <f>+(sales[[#This Row],[Venta]]-sales[[#This Row],[costo_venta]])/sales[[#This Row],[Venta]]</f>
        <v>0.45750000000000002</v>
      </c>
    </row>
    <row r="373" spans="1:14" x14ac:dyDescent="0.2">
      <c r="A373" s="14">
        <f>[1]sales!A378</f>
        <v>46098</v>
      </c>
      <c r="B373" s="188">
        <f>[1]sales!B378</f>
        <v>0.65011574074074074</v>
      </c>
      <c r="C373" s="184" t="s">
        <v>49</v>
      </c>
      <c r="D373" s="14" t="str">
        <f>[1]sales!D378</f>
        <v>BEBIDA - Coca Cola</v>
      </c>
      <c r="E373" s="3">
        <f>+[1]sales!G378</f>
        <v>1</v>
      </c>
      <c r="F373" s="195">
        <f>+_xlfn.XLOOKUP(sales[[#This Row],[Fecha]],OPEX_SALES!A:A,OPEX_SALES!B:B)</f>
        <v>4</v>
      </c>
      <c r="G373" s="14" t="str">
        <f>+_xlfn.XLOOKUP(sales[[#This Row],[Fecha]],OPEX_SALES!A:A,OPEX_SALES!E:E)</f>
        <v>A) Día hábil</v>
      </c>
      <c r="H373" s="14" t="str">
        <f>+TEXT(sales[[#This Row],[Fecha]],"ddd")</f>
        <v>mar</v>
      </c>
      <c r="I373" s="185">
        <f>+sales[[#This Row],[Venta]]-sales[[#This Row],[costo_venta]]</f>
        <v>1800</v>
      </c>
      <c r="J373" s="101">
        <f>[1]sales!K378</f>
        <v>3000</v>
      </c>
      <c r="K373" s="79">
        <f>[1]sales!I378</f>
        <v>0</v>
      </c>
      <c r="L373" s="52">
        <f>[1]sales!J378</f>
        <v>3000</v>
      </c>
      <c r="M373" s="1">
        <f>[1]sales!L378*sales[[#This Row],[cantidad]]</f>
        <v>1200</v>
      </c>
      <c r="N373" s="37">
        <f>+(sales[[#This Row],[Venta]]-sales[[#This Row],[costo_venta]])/sales[[#This Row],[Venta]]</f>
        <v>0.6</v>
      </c>
    </row>
    <row r="374" spans="1:14" x14ac:dyDescent="0.2">
      <c r="A374" s="14">
        <f>[1]sales!A379</f>
        <v>46098</v>
      </c>
      <c r="B374" s="188">
        <f>[1]sales!B379</f>
        <v>0.65011574074074074</v>
      </c>
      <c r="C374" s="184" t="s">
        <v>49</v>
      </c>
      <c r="D374" s="14" t="str">
        <f>[1]sales!D379</f>
        <v>BEBIDA - Jugo Hit</v>
      </c>
      <c r="E374" s="3">
        <f>+[1]sales!G379</f>
        <v>1</v>
      </c>
      <c r="F374" s="195">
        <f>+_xlfn.XLOOKUP(sales[[#This Row],[Fecha]],OPEX_SALES!A:A,OPEX_SALES!B:B)</f>
        <v>4</v>
      </c>
      <c r="G374" s="14" t="str">
        <f>+_xlfn.XLOOKUP(sales[[#This Row],[Fecha]],OPEX_SALES!A:A,OPEX_SALES!E:E)</f>
        <v>A) Día hábil</v>
      </c>
      <c r="H374" s="14" t="str">
        <f>+TEXT(sales[[#This Row],[Fecha]],"ddd")</f>
        <v>mar</v>
      </c>
      <c r="I374" s="185">
        <f>+sales[[#This Row],[Venta]]-sales[[#This Row],[costo_venta]]</f>
        <v>2083.33</v>
      </c>
      <c r="J374" s="101">
        <f>[1]sales!K379</f>
        <v>4500</v>
      </c>
      <c r="K374" s="79">
        <f>[1]sales!I379</f>
        <v>0</v>
      </c>
      <c r="L374" s="52">
        <f>[1]sales!J379</f>
        <v>4500</v>
      </c>
      <c r="M374" s="1">
        <f>[1]sales!L379*sales[[#This Row],[cantidad]]</f>
        <v>2416.67</v>
      </c>
      <c r="N374" s="37">
        <f>+(sales[[#This Row],[Venta]]-sales[[#This Row],[costo_venta]])/sales[[#This Row],[Venta]]</f>
        <v>0.46296222222222222</v>
      </c>
    </row>
    <row r="375" spans="1:14" x14ac:dyDescent="0.2">
      <c r="A375" s="14">
        <f>[1]sales!A380</f>
        <v>46098</v>
      </c>
      <c r="B375" s="188">
        <f>[1]sales!B380</f>
        <v>0.65350694444444446</v>
      </c>
      <c r="C375" s="184" t="s">
        <v>49</v>
      </c>
      <c r="D375" s="14" t="str">
        <f>[1]sales!D380</f>
        <v>z. MP -  Chorizo CRUDO</v>
      </c>
      <c r="E375" s="3">
        <f>+[1]sales!G380</f>
        <v>2</v>
      </c>
      <c r="F375" s="195">
        <f>+_xlfn.XLOOKUP(sales[[#This Row],[Fecha]],OPEX_SALES!A:A,OPEX_SALES!B:B)</f>
        <v>4</v>
      </c>
      <c r="G375" s="14" t="str">
        <f>+_xlfn.XLOOKUP(sales[[#This Row],[Fecha]],OPEX_SALES!A:A,OPEX_SALES!E:E)</f>
        <v>A) Día hábil</v>
      </c>
      <c r="H375" s="14" t="str">
        <f>+TEXT(sales[[#This Row],[Fecha]],"ddd")</f>
        <v>mar</v>
      </c>
      <c r="I375" s="185">
        <f>+sales[[#This Row],[Venta]]-sales[[#This Row],[costo_venta]]</f>
        <v>2000</v>
      </c>
      <c r="J375" s="101">
        <f>[1]sales!K380</f>
        <v>9000</v>
      </c>
      <c r="K375" s="79">
        <f>[1]sales!I380</f>
        <v>9000</v>
      </c>
      <c r="L375" s="52">
        <f>[1]sales!J380</f>
        <v>0</v>
      </c>
      <c r="M375" s="1">
        <f>[1]sales!L380*sales[[#This Row],[cantidad]]</f>
        <v>7000</v>
      </c>
      <c r="N375" s="37">
        <f>+(sales[[#This Row],[Venta]]-sales[[#This Row],[costo_venta]])/sales[[#This Row],[Venta]]</f>
        <v>0.22222222222222221</v>
      </c>
    </row>
    <row r="376" spans="1:14" x14ac:dyDescent="0.2">
      <c r="A376" s="14">
        <f>[1]sales!A381</f>
        <v>46098</v>
      </c>
      <c r="B376" s="188">
        <f>[1]sales!B381</f>
        <v>0.68811342592592595</v>
      </c>
      <c r="C376" s="184" t="s">
        <v>49</v>
      </c>
      <c r="D376" s="14" t="str">
        <f>[1]sales!D381</f>
        <v xml:space="preserve"> Chorizo con papa/arepa</v>
      </c>
      <c r="E376" s="3">
        <f>+[1]sales!G381</f>
        <v>2</v>
      </c>
      <c r="F376" s="195">
        <f>+_xlfn.XLOOKUP(sales[[#This Row],[Fecha]],OPEX_SALES!A:A,OPEX_SALES!B:B)</f>
        <v>4</v>
      </c>
      <c r="G376" s="14" t="str">
        <f>+_xlfn.XLOOKUP(sales[[#This Row],[Fecha]],OPEX_SALES!A:A,OPEX_SALES!E:E)</f>
        <v>A) Día hábil</v>
      </c>
      <c r="H376" s="14" t="str">
        <f>+TEXT(sales[[#This Row],[Fecha]],"ddd")</f>
        <v>mar</v>
      </c>
      <c r="I376" s="185">
        <f>+sales[[#This Row],[Venta]]-sales[[#This Row],[costo_venta]]</f>
        <v>7320</v>
      </c>
      <c r="J376" s="101">
        <f>[1]sales!K381</f>
        <v>16000</v>
      </c>
      <c r="K376" s="79">
        <f>[1]sales!I381</f>
        <v>16000</v>
      </c>
      <c r="L376" s="52">
        <f>[1]sales!J381</f>
        <v>0</v>
      </c>
      <c r="M376" s="1">
        <f>[1]sales!L381*sales[[#This Row],[cantidad]]</f>
        <v>8680</v>
      </c>
      <c r="N376" s="37">
        <f>+(sales[[#This Row],[Venta]]-sales[[#This Row],[costo_venta]])/sales[[#This Row],[Venta]]</f>
        <v>0.45750000000000002</v>
      </c>
    </row>
    <row r="377" spans="1:14" x14ac:dyDescent="0.2">
      <c r="A377" s="14">
        <f>[1]sales!A382</f>
        <v>46098</v>
      </c>
      <c r="B377" s="188">
        <f>[1]sales!B382</f>
        <v>0.72674768518518518</v>
      </c>
      <c r="C377" s="184" t="s">
        <v>49</v>
      </c>
      <c r="D377" s="14" t="str">
        <f>[1]sales!D382</f>
        <v xml:space="preserve"> Chorizo con papa/arepa</v>
      </c>
      <c r="E377" s="3">
        <f>+[1]sales!G382</f>
        <v>1</v>
      </c>
      <c r="F377" s="195">
        <f>+_xlfn.XLOOKUP(sales[[#This Row],[Fecha]],OPEX_SALES!A:A,OPEX_SALES!B:B)</f>
        <v>4</v>
      </c>
      <c r="G377" s="14" t="str">
        <f>+_xlfn.XLOOKUP(sales[[#This Row],[Fecha]],OPEX_SALES!A:A,OPEX_SALES!E:E)</f>
        <v>A) Día hábil</v>
      </c>
      <c r="H377" s="14" t="str">
        <f>+TEXT(sales[[#This Row],[Fecha]],"ddd")</f>
        <v>mar</v>
      </c>
      <c r="I377" s="185">
        <f>+sales[[#This Row],[Venta]]-sales[[#This Row],[costo_venta]]</f>
        <v>3660</v>
      </c>
      <c r="J377" s="101">
        <f>[1]sales!K382</f>
        <v>8000</v>
      </c>
      <c r="K377" s="79">
        <f>[1]sales!I382</f>
        <v>0</v>
      </c>
      <c r="L377" s="52">
        <f>[1]sales!J382</f>
        <v>8000</v>
      </c>
      <c r="M377" s="1">
        <f>[1]sales!L382*sales[[#This Row],[cantidad]]</f>
        <v>4340</v>
      </c>
      <c r="N377" s="37">
        <f>+(sales[[#This Row],[Venta]]-sales[[#This Row],[costo_venta]])/sales[[#This Row],[Venta]]</f>
        <v>0.45750000000000002</v>
      </c>
    </row>
    <row r="378" spans="1:14" x14ac:dyDescent="0.2">
      <c r="A378" s="14">
        <f>[1]sales!A383</f>
        <v>46098</v>
      </c>
      <c r="B378" s="188">
        <f>[1]sales!B383</f>
        <v>0.72674768518518518</v>
      </c>
      <c r="C378" s="184" t="s">
        <v>49</v>
      </c>
      <c r="D378" s="14" t="str">
        <f>[1]sales!D383</f>
        <v>BEBIDA - Coca Cola</v>
      </c>
      <c r="E378" s="3">
        <f>+[1]sales!G383</f>
        <v>1</v>
      </c>
      <c r="F378" s="195">
        <f>+_xlfn.XLOOKUP(sales[[#This Row],[Fecha]],OPEX_SALES!A:A,OPEX_SALES!B:B)</f>
        <v>4</v>
      </c>
      <c r="G378" s="14" t="str">
        <f>+_xlfn.XLOOKUP(sales[[#This Row],[Fecha]],OPEX_SALES!A:A,OPEX_SALES!E:E)</f>
        <v>A) Día hábil</v>
      </c>
      <c r="H378" s="14" t="str">
        <f>+TEXT(sales[[#This Row],[Fecha]],"ddd")</f>
        <v>mar</v>
      </c>
      <c r="I378" s="185">
        <f>+sales[[#This Row],[Venta]]-sales[[#This Row],[costo_venta]]</f>
        <v>1800</v>
      </c>
      <c r="J378" s="101">
        <f>[1]sales!K383</f>
        <v>3000</v>
      </c>
      <c r="K378" s="79">
        <f>[1]sales!I383</f>
        <v>0</v>
      </c>
      <c r="L378" s="52">
        <f>[1]sales!J383</f>
        <v>3000</v>
      </c>
      <c r="M378" s="1">
        <f>[1]sales!L383*sales[[#This Row],[cantidad]]</f>
        <v>1200</v>
      </c>
      <c r="N378" s="37">
        <f>+(sales[[#This Row],[Venta]]-sales[[#This Row],[costo_venta]])/sales[[#This Row],[Venta]]</f>
        <v>0.6</v>
      </c>
    </row>
    <row r="379" spans="1:14" x14ac:dyDescent="0.2">
      <c r="A379" s="14">
        <f>[1]sales!A384</f>
        <v>46098</v>
      </c>
      <c r="B379" s="188">
        <f>[1]sales!B384</f>
        <v>0.73148148148148151</v>
      </c>
      <c r="C379" s="184" t="s">
        <v>49</v>
      </c>
      <c r="D379" s="14" t="str">
        <f>[1]sales!D384</f>
        <v xml:space="preserve"> Chorizo con papa/arepa</v>
      </c>
      <c r="E379" s="3">
        <f>+[1]sales!G384</f>
        <v>2</v>
      </c>
      <c r="F379" s="195">
        <f>+_xlfn.XLOOKUP(sales[[#This Row],[Fecha]],OPEX_SALES!A:A,OPEX_SALES!B:B)</f>
        <v>4</v>
      </c>
      <c r="G379" s="14" t="str">
        <f>+_xlfn.XLOOKUP(sales[[#This Row],[Fecha]],OPEX_SALES!A:A,OPEX_SALES!E:E)</f>
        <v>A) Día hábil</v>
      </c>
      <c r="H379" s="14" t="str">
        <f>+TEXT(sales[[#This Row],[Fecha]],"ddd")</f>
        <v>mar</v>
      </c>
      <c r="I379" s="185">
        <f>+sales[[#This Row],[Venta]]-sales[[#This Row],[costo_venta]]</f>
        <v>7320</v>
      </c>
      <c r="J379" s="101">
        <f>[1]sales!K384</f>
        <v>16000</v>
      </c>
      <c r="K379" s="79">
        <f>[1]sales!I384</f>
        <v>16000</v>
      </c>
      <c r="L379" s="52">
        <f>[1]sales!J384</f>
        <v>0</v>
      </c>
      <c r="M379" s="1">
        <f>[1]sales!L384*sales[[#This Row],[cantidad]]</f>
        <v>8680</v>
      </c>
      <c r="N379" s="37">
        <f>+(sales[[#This Row],[Venta]]-sales[[#This Row],[costo_venta]])/sales[[#This Row],[Venta]]</f>
        <v>0.45750000000000002</v>
      </c>
    </row>
    <row r="380" spans="1:14" x14ac:dyDescent="0.2">
      <c r="A380" s="14">
        <f>[1]sales!A385</f>
        <v>46098</v>
      </c>
      <c r="B380" s="188">
        <f>[1]sales!B385</f>
        <v>0.73148148148148151</v>
      </c>
      <c r="C380" s="184" t="s">
        <v>49</v>
      </c>
      <c r="D380" s="14" t="str">
        <f>[1]sales!D385</f>
        <v>BEBIDA - Postobón</v>
      </c>
      <c r="E380" s="3">
        <f>+[1]sales!G385</f>
        <v>2</v>
      </c>
      <c r="F380" s="195">
        <f>+_xlfn.XLOOKUP(sales[[#This Row],[Fecha]],OPEX_SALES!A:A,OPEX_SALES!B:B)</f>
        <v>4</v>
      </c>
      <c r="G380" s="14" t="str">
        <f>+_xlfn.XLOOKUP(sales[[#This Row],[Fecha]],OPEX_SALES!A:A,OPEX_SALES!E:E)</f>
        <v>A) Día hábil</v>
      </c>
      <c r="H380" s="14" t="str">
        <f>+TEXT(sales[[#This Row],[Fecha]],"ddd")</f>
        <v>mar</v>
      </c>
      <c r="I380" s="185">
        <f>+sales[[#This Row],[Venta]]-sales[[#This Row],[costo_venta]]</f>
        <v>3733.34</v>
      </c>
      <c r="J380" s="101">
        <f>[1]sales!K385</f>
        <v>6000</v>
      </c>
      <c r="K380" s="79">
        <f>[1]sales!I385</f>
        <v>6000</v>
      </c>
      <c r="L380" s="52">
        <f>[1]sales!J385</f>
        <v>0</v>
      </c>
      <c r="M380" s="1">
        <f>[1]sales!L385*sales[[#This Row],[cantidad]]</f>
        <v>2266.66</v>
      </c>
      <c r="N380" s="37">
        <f>+(sales[[#This Row],[Venta]]-sales[[#This Row],[costo_venta]])/sales[[#This Row],[Venta]]</f>
        <v>0.62222333333333335</v>
      </c>
    </row>
    <row r="381" spans="1:14" x14ac:dyDescent="0.2">
      <c r="A381" s="14">
        <f>[1]sales!A386</f>
        <v>46098</v>
      </c>
      <c r="B381" s="188">
        <f>[1]sales!B386</f>
        <v>0.74342592592592593</v>
      </c>
      <c r="C381" s="184" t="s">
        <v>49</v>
      </c>
      <c r="D381" s="14" t="str">
        <f>[1]sales!D386</f>
        <v>z. MP -  Chorizo CRUDO</v>
      </c>
      <c r="E381" s="3">
        <f>+[1]sales!G386</f>
        <v>12</v>
      </c>
      <c r="F381" s="195">
        <f>+_xlfn.XLOOKUP(sales[[#This Row],[Fecha]],OPEX_SALES!A:A,OPEX_SALES!B:B)</f>
        <v>4</v>
      </c>
      <c r="G381" s="14" t="str">
        <f>+_xlfn.XLOOKUP(sales[[#This Row],[Fecha]],OPEX_SALES!A:A,OPEX_SALES!E:E)</f>
        <v>A) Día hábil</v>
      </c>
      <c r="H381" s="14" t="str">
        <f>+TEXT(sales[[#This Row],[Fecha]],"ddd")</f>
        <v>mar</v>
      </c>
      <c r="I381" s="185">
        <f>+sales[[#This Row],[Venta]]-sales[[#This Row],[costo_venta]]</f>
        <v>12000</v>
      </c>
      <c r="J381" s="101">
        <f>[1]sales!K386</f>
        <v>54000</v>
      </c>
      <c r="K381" s="79">
        <f>[1]sales!I386</f>
        <v>0</v>
      </c>
      <c r="L381" s="52">
        <f>[1]sales!J386</f>
        <v>54000</v>
      </c>
      <c r="M381" s="1">
        <f>[1]sales!L386*sales[[#This Row],[cantidad]]</f>
        <v>42000</v>
      </c>
      <c r="N381" s="37">
        <f>+(sales[[#This Row],[Venta]]-sales[[#This Row],[costo_venta]])/sales[[#This Row],[Venta]]</f>
        <v>0.22222222222222221</v>
      </c>
    </row>
    <row r="382" spans="1:14" x14ac:dyDescent="0.2">
      <c r="A382" s="14">
        <f>[1]sales!A387</f>
        <v>46098</v>
      </c>
      <c r="B382" s="188">
        <f>[1]sales!B387</f>
        <v>0.74424768518518514</v>
      </c>
      <c r="C382" s="184" t="s">
        <v>49</v>
      </c>
      <c r="D382" s="14" t="str">
        <f>[1]sales!D387</f>
        <v xml:space="preserve"> Chorizo con papa/arepa</v>
      </c>
      <c r="E382" s="3">
        <f>+[1]sales!G387</f>
        <v>1</v>
      </c>
      <c r="F382" s="195">
        <f>+_xlfn.XLOOKUP(sales[[#This Row],[Fecha]],OPEX_SALES!A:A,OPEX_SALES!B:B)</f>
        <v>4</v>
      </c>
      <c r="G382" s="14" t="str">
        <f>+_xlfn.XLOOKUP(sales[[#This Row],[Fecha]],OPEX_SALES!A:A,OPEX_SALES!E:E)</f>
        <v>A) Día hábil</v>
      </c>
      <c r="H382" s="14" t="str">
        <f>+TEXT(sales[[#This Row],[Fecha]],"ddd")</f>
        <v>mar</v>
      </c>
      <c r="I382" s="185">
        <f>+sales[[#This Row],[Venta]]-sales[[#This Row],[costo_venta]]</f>
        <v>3660</v>
      </c>
      <c r="J382" s="101">
        <f>[1]sales!K387</f>
        <v>8000</v>
      </c>
      <c r="K382" s="79">
        <f>[1]sales!I387</f>
        <v>0</v>
      </c>
      <c r="L382" s="52">
        <f>[1]sales!J387</f>
        <v>8000</v>
      </c>
      <c r="M382" s="1">
        <f>[1]sales!L387*sales[[#This Row],[cantidad]]</f>
        <v>4340</v>
      </c>
      <c r="N382" s="37">
        <f>+(sales[[#This Row],[Venta]]-sales[[#This Row],[costo_venta]])/sales[[#This Row],[Venta]]</f>
        <v>0.45750000000000002</v>
      </c>
    </row>
    <row r="383" spans="1:14" x14ac:dyDescent="0.2">
      <c r="A383" s="14">
        <f>[1]sales!A388</f>
        <v>46098</v>
      </c>
      <c r="B383" s="188">
        <f>[1]sales!B388</f>
        <v>0.74930555555555556</v>
      </c>
      <c r="C383" s="184" t="s">
        <v>49</v>
      </c>
      <c r="D383" s="14" t="str">
        <f>[1]sales!D388</f>
        <v xml:space="preserve"> Chorizo con papa/arepa</v>
      </c>
      <c r="E383" s="3">
        <f>+[1]sales!G388</f>
        <v>1</v>
      </c>
      <c r="F383" s="195">
        <f>+_xlfn.XLOOKUP(sales[[#This Row],[Fecha]],OPEX_SALES!A:A,OPEX_SALES!B:B)</f>
        <v>4</v>
      </c>
      <c r="G383" s="14" t="str">
        <f>+_xlfn.XLOOKUP(sales[[#This Row],[Fecha]],OPEX_SALES!A:A,OPEX_SALES!E:E)</f>
        <v>A) Día hábil</v>
      </c>
      <c r="H383" s="14" t="str">
        <f>+TEXT(sales[[#This Row],[Fecha]],"ddd")</f>
        <v>mar</v>
      </c>
      <c r="I383" s="185">
        <f>+sales[[#This Row],[Venta]]-sales[[#This Row],[costo_venta]]</f>
        <v>3660</v>
      </c>
      <c r="J383" s="101">
        <f>[1]sales!K388</f>
        <v>8000</v>
      </c>
      <c r="K383" s="79">
        <f>[1]sales!I388</f>
        <v>8000</v>
      </c>
      <c r="L383" s="52">
        <f>[1]sales!J388</f>
        <v>0</v>
      </c>
      <c r="M383" s="1">
        <f>[1]sales!L388*sales[[#This Row],[cantidad]]</f>
        <v>4340</v>
      </c>
      <c r="N383" s="37">
        <f>+(sales[[#This Row],[Venta]]-sales[[#This Row],[costo_venta]])/sales[[#This Row],[Venta]]</f>
        <v>0.45750000000000002</v>
      </c>
    </row>
    <row r="384" spans="1:14" x14ac:dyDescent="0.2">
      <c r="A384" s="14">
        <f>[1]sales!A389</f>
        <v>46098</v>
      </c>
      <c r="B384" s="188">
        <f>[1]sales!B389</f>
        <v>0.74944444444444447</v>
      </c>
      <c r="C384" s="184" t="s">
        <v>49</v>
      </c>
      <c r="D384" s="14" t="str">
        <f>[1]sales!D389</f>
        <v xml:space="preserve"> Chorizo con papa/arepa</v>
      </c>
      <c r="E384" s="3">
        <f>+[1]sales!G389</f>
        <v>1</v>
      </c>
      <c r="F384" s="195">
        <f>+_xlfn.XLOOKUP(sales[[#This Row],[Fecha]],OPEX_SALES!A:A,OPEX_SALES!B:B)</f>
        <v>4</v>
      </c>
      <c r="G384" s="14" t="str">
        <f>+_xlfn.XLOOKUP(sales[[#This Row],[Fecha]],OPEX_SALES!A:A,OPEX_SALES!E:E)</f>
        <v>A) Día hábil</v>
      </c>
      <c r="H384" s="14" t="str">
        <f>+TEXT(sales[[#This Row],[Fecha]],"ddd")</f>
        <v>mar</v>
      </c>
      <c r="I384" s="185">
        <f>+sales[[#This Row],[Venta]]-sales[[#This Row],[costo_venta]]</f>
        <v>3660</v>
      </c>
      <c r="J384" s="101">
        <f>[1]sales!K389</f>
        <v>8000</v>
      </c>
      <c r="K384" s="79">
        <f>[1]sales!I389</f>
        <v>8000</v>
      </c>
      <c r="L384" s="52">
        <f>[1]sales!J389</f>
        <v>0</v>
      </c>
      <c r="M384" s="1">
        <f>[1]sales!L389*sales[[#This Row],[cantidad]]</f>
        <v>4340</v>
      </c>
      <c r="N384" s="37">
        <f>+(sales[[#This Row],[Venta]]-sales[[#This Row],[costo_venta]])/sales[[#This Row],[Venta]]</f>
        <v>0.45750000000000002</v>
      </c>
    </row>
    <row r="385" spans="1:14" x14ac:dyDescent="0.2">
      <c r="A385" s="14">
        <f>[1]sales!A390</f>
        <v>46098</v>
      </c>
      <c r="B385" s="188">
        <f>[1]sales!B390</f>
        <v>0.74972222222222218</v>
      </c>
      <c r="C385" s="184" t="s">
        <v>49</v>
      </c>
      <c r="D385" s="14" t="str">
        <f>[1]sales!D390</f>
        <v xml:space="preserve"> Chorizo con papa/arepa</v>
      </c>
      <c r="E385" s="3">
        <f>+[1]sales!G390</f>
        <v>1</v>
      </c>
      <c r="F385" s="195">
        <f>+_xlfn.XLOOKUP(sales[[#This Row],[Fecha]],OPEX_SALES!A:A,OPEX_SALES!B:B)</f>
        <v>4</v>
      </c>
      <c r="G385" s="14" t="str">
        <f>+_xlfn.XLOOKUP(sales[[#This Row],[Fecha]],OPEX_SALES!A:A,OPEX_SALES!E:E)</f>
        <v>A) Día hábil</v>
      </c>
      <c r="H385" s="14" t="str">
        <f>+TEXT(sales[[#This Row],[Fecha]],"ddd")</f>
        <v>mar</v>
      </c>
      <c r="I385" s="185">
        <f>+sales[[#This Row],[Venta]]-sales[[#This Row],[costo_venta]]</f>
        <v>3660</v>
      </c>
      <c r="J385" s="101">
        <f>[1]sales!K390</f>
        <v>8000</v>
      </c>
      <c r="K385" s="79">
        <f>[1]sales!I390</f>
        <v>0</v>
      </c>
      <c r="L385" s="52">
        <f>[1]sales!J390</f>
        <v>8000</v>
      </c>
      <c r="M385" s="1">
        <f>[1]sales!L390*sales[[#This Row],[cantidad]]</f>
        <v>4340</v>
      </c>
      <c r="N385" s="37">
        <f>+(sales[[#This Row],[Venta]]-sales[[#This Row],[costo_venta]])/sales[[#This Row],[Venta]]</f>
        <v>0.45750000000000002</v>
      </c>
    </row>
    <row r="386" spans="1:14" x14ac:dyDescent="0.2">
      <c r="A386" s="14">
        <f>[1]sales!A391</f>
        <v>46098</v>
      </c>
      <c r="B386" s="188">
        <f>[1]sales!B391</f>
        <v>0.75292824074074072</v>
      </c>
      <c r="C386" s="184" t="s">
        <v>49</v>
      </c>
      <c r="D386" s="14" t="str">
        <f>[1]sales!D391</f>
        <v xml:space="preserve"> Chorizo solo</v>
      </c>
      <c r="E386" s="3">
        <f>+[1]sales!G391</f>
        <v>2</v>
      </c>
      <c r="F386" s="195">
        <f>+_xlfn.XLOOKUP(sales[[#This Row],[Fecha]],OPEX_SALES!A:A,OPEX_SALES!B:B)</f>
        <v>4</v>
      </c>
      <c r="G386" s="14" t="str">
        <f>+_xlfn.XLOOKUP(sales[[#This Row],[Fecha]],OPEX_SALES!A:A,OPEX_SALES!E:E)</f>
        <v>A) Día hábil</v>
      </c>
      <c r="H386" s="14" t="str">
        <f>+TEXT(sales[[#This Row],[Fecha]],"ddd")</f>
        <v>mar</v>
      </c>
      <c r="I386" s="185">
        <f>+sales[[#This Row],[Venta]]-sales[[#This Row],[costo_venta]]</f>
        <v>7000</v>
      </c>
      <c r="J386" s="101">
        <f>[1]sales!K391</f>
        <v>14000</v>
      </c>
      <c r="K386" s="79">
        <f>[1]sales!I391</f>
        <v>14000</v>
      </c>
      <c r="L386" s="52">
        <f>[1]sales!J391</f>
        <v>0</v>
      </c>
      <c r="M386" s="1">
        <f>[1]sales!L391*sales[[#This Row],[cantidad]]</f>
        <v>7000</v>
      </c>
      <c r="N386" s="37">
        <f>+(sales[[#This Row],[Venta]]-sales[[#This Row],[costo_venta]])/sales[[#This Row],[Venta]]</f>
        <v>0.5</v>
      </c>
    </row>
    <row r="387" spans="1:14" x14ac:dyDescent="0.2">
      <c r="A387" s="14">
        <f>[1]sales!A392</f>
        <v>46098</v>
      </c>
      <c r="B387" s="188">
        <f>[1]sales!B392</f>
        <v>0.76597222222222228</v>
      </c>
      <c r="C387" s="184" t="s">
        <v>49</v>
      </c>
      <c r="D387" s="14" t="str">
        <f>[1]sales!D392</f>
        <v xml:space="preserve"> Chorizo con papa/arepa</v>
      </c>
      <c r="E387" s="3">
        <f>+[1]sales!G392</f>
        <v>1</v>
      </c>
      <c r="F387" s="195">
        <f>+_xlfn.XLOOKUP(sales[[#This Row],[Fecha]],OPEX_SALES!A:A,OPEX_SALES!B:B)</f>
        <v>4</v>
      </c>
      <c r="G387" s="14" t="str">
        <f>+_xlfn.XLOOKUP(sales[[#This Row],[Fecha]],OPEX_SALES!A:A,OPEX_SALES!E:E)</f>
        <v>A) Día hábil</v>
      </c>
      <c r="H387" s="14" t="str">
        <f>+TEXT(sales[[#This Row],[Fecha]],"ddd")</f>
        <v>mar</v>
      </c>
      <c r="I387" s="185">
        <f>+sales[[#This Row],[Venta]]-sales[[#This Row],[costo_venta]]</f>
        <v>3660</v>
      </c>
      <c r="J387" s="101">
        <f>[1]sales!K392</f>
        <v>8000</v>
      </c>
      <c r="K387" s="79">
        <f>[1]sales!I392</f>
        <v>8000</v>
      </c>
      <c r="L387" s="52">
        <f>[1]sales!J392</f>
        <v>0</v>
      </c>
      <c r="M387" s="1">
        <f>[1]sales!L392*sales[[#This Row],[cantidad]]</f>
        <v>4340</v>
      </c>
      <c r="N387" s="37">
        <f>+(sales[[#This Row],[Venta]]-sales[[#This Row],[costo_venta]])/sales[[#This Row],[Venta]]</f>
        <v>0.45750000000000002</v>
      </c>
    </row>
    <row r="388" spans="1:14" x14ac:dyDescent="0.2">
      <c r="A388" s="14">
        <f>[1]sales!A393</f>
        <v>46098</v>
      </c>
      <c r="B388" s="188">
        <f>[1]sales!B393</f>
        <v>0.76597222222222228</v>
      </c>
      <c r="C388" s="184" t="s">
        <v>49</v>
      </c>
      <c r="D388" s="14" t="str">
        <f>[1]sales!D393</f>
        <v>BEBIDA - Coca Cola</v>
      </c>
      <c r="E388" s="3">
        <f>+[1]sales!G393</f>
        <v>1</v>
      </c>
      <c r="F388" s="195">
        <f>+_xlfn.XLOOKUP(sales[[#This Row],[Fecha]],OPEX_SALES!A:A,OPEX_SALES!B:B)</f>
        <v>4</v>
      </c>
      <c r="G388" s="14" t="str">
        <f>+_xlfn.XLOOKUP(sales[[#This Row],[Fecha]],OPEX_SALES!A:A,OPEX_SALES!E:E)</f>
        <v>A) Día hábil</v>
      </c>
      <c r="H388" s="14" t="str">
        <f>+TEXT(sales[[#This Row],[Fecha]],"ddd")</f>
        <v>mar</v>
      </c>
      <c r="I388" s="185">
        <f>+sales[[#This Row],[Venta]]-sales[[#This Row],[costo_venta]]</f>
        <v>1800</v>
      </c>
      <c r="J388" s="101">
        <f>[1]sales!K393</f>
        <v>3000</v>
      </c>
      <c r="K388" s="79">
        <f>[1]sales!I393</f>
        <v>3000</v>
      </c>
      <c r="L388" s="52">
        <f>[1]sales!J393</f>
        <v>0</v>
      </c>
      <c r="M388" s="1">
        <f>[1]sales!L393*sales[[#This Row],[cantidad]]</f>
        <v>1200</v>
      </c>
      <c r="N388" s="37">
        <f>+(sales[[#This Row],[Venta]]-sales[[#This Row],[costo_venta]])/sales[[#This Row],[Venta]]</f>
        <v>0.6</v>
      </c>
    </row>
    <row r="389" spans="1:14" x14ac:dyDescent="0.2">
      <c r="A389" s="14">
        <f>[1]sales!A394</f>
        <v>46098</v>
      </c>
      <c r="B389" s="188">
        <f>[1]sales!B394</f>
        <v>0.76649305555555558</v>
      </c>
      <c r="C389" s="184" t="s">
        <v>49</v>
      </c>
      <c r="D389" s="14" t="str">
        <f>[1]sales!D394</f>
        <v xml:space="preserve"> Chorizo con papa/arepa</v>
      </c>
      <c r="E389" s="3">
        <f>+[1]sales!G394</f>
        <v>2</v>
      </c>
      <c r="F389" s="195">
        <f>+_xlfn.XLOOKUP(sales[[#This Row],[Fecha]],OPEX_SALES!A:A,OPEX_SALES!B:B)</f>
        <v>4</v>
      </c>
      <c r="G389" s="14" t="str">
        <f>+_xlfn.XLOOKUP(sales[[#This Row],[Fecha]],OPEX_SALES!A:A,OPEX_SALES!E:E)</f>
        <v>A) Día hábil</v>
      </c>
      <c r="H389" s="14" t="str">
        <f>+TEXT(sales[[#This Row],[Fecha]],"ddd")</f>
        <v>mar</v>
      </c>
      <c r="I389" s="185">
        <f>+sales[[#This Row],[Venta]]-sales[[#This Row],[costo_venta]]</f>
        <v>7320</v>
      </c>
      <c r="J389" s="101">
        <f>[1]sales!K394</f>
        <v>16000</v>
      </c>
      <c r="K389" s="79">
        <f>[1]sales!I394</f>
        <v>16000</v>
      </c>
      <c r="L389" s="52">
        <f>[1]sales!J394</f>
        <v>0</v>
      </c>
      <c r="M389" s="1">
        <f>[1]sales!L394*sales[[#This Row],[cantidad]]</f>
        <v>8680</v>
      </c>
      <c r="N389" s="37">
        <f>+(sales[[#This Row],[Venta]]-sales[[#This Row],[costo_venta]])/sales[[#This Row],[Venta]]</f>
        <v>0.45750000000000002</v>
      </c>
    </row>
    <row r="390" spans="1:14" x14ac:dyDescent="0.2">
      <c r="A390" s="14">
        <f>[1]sales!A395</f>
        <v>46098</v>
      </c>
      <c r="B390" s="188">
        <f>[1]sales!B395</f>
        <v>0.76755787037037038</v>
      </c>
      <c r="C390" s="184" t="s">
        <v>49</v>
      </c>
      <c r="D390" s="14" t="str">
        <f>[1]sales!D395</f>
        <v>z. MP -  Chorizo CRUDO</v>
      </c>
      <c r="E390" s="3">
        <f>+[1]sales!G395</f>
        <v>2</v>
      </c>
      <c r="F390" s="195">
        <f>+_xlfn.XLOOKUP(sales[[#This Row],[Fecha]],OPEX_SALES!A:A,OPEX_SALES!B:B)</f>
        <v>4</v>
      </c>
      <c r="G390" s="14" t="str">
        <f>+_xlfn.XLOOKUP(sales[[#This Row],[Fecha]],OPEX_SALES!A:A,OPEX_SALES!E:E)</f>
        <v>A) Día hábil</v>
      </c>
      <c r="H390" s="14" t="str">
        <f>+TEXT(sales[[#This Row],[Fecha]],"ddd")</f>
        <v>mar</v>
      </c>
      <c r="I390" s="185">
        <f>+sales[[#This Row],[Venta]]-sales[[#This Row],[costo_venta]]</f>
        <v>2000</v>
      </c>
      <c r="J390" s="101">
        <f>[1]sales!K395</f>
        <v>9000</v>
      </c>
      <c r="K390" s="79">
        <f>[1]sales!I395</f>
        <v>0</v>
      </c>
      <c r="L390" s="52">
        <f>[1]sales!J395</f>
        <v>9000</v>
      </c>
      <c r="M390" s="1">
        <f>[1]sales!L395*sales[[#This Row],[cantidad]]</f>
        <v>7000</v>
      </c>
      <c r="N390" s="37">
        <f>+(sales[[#This Row],[Venta]]-sales[[#This Row],[costo_venta]])/sales[[#This Row],[Venta]]</f>
        <v>0.22222222222222221</v>
      </c>
    </row>
    <row r="391" spans="1:14" x14ac:dyDescent="0.2">
      <c r="A391" s="14">
        <f>[1]sales!A396</f>
        <v>46098</v>
      </c>
      <c r="B391" s="188">
        <f>[1]sales!B396</f>
        <v>0.80873842592592593</v>
      </c>
      <c r="C391" s="184" t="s">
        <v>49</v>
      </c>
      <c r="D391" s="14" t="str">
        <f>[1]sales!D396</f>
        <v xml:space="preserve"> Chorizo con papa/arepa</v>
      </c>
      <c r="E391" s="3">
        <f>+[1]sales!G396</f>
        <v>2</v>
      </c>
      <c r="F391" s="195">
        <f>+_xlfn.XLOOKUP(sales[[#This Row],[Fecha]],OPEX_SALES!A:A,OPEX_SALES!B:B)</f>
        <v>4</v>
      </c>
      <c r="G391" s="14" t="str">
        <f>+_xlfn.XLOOKUP(sales[[#This Row],[Fecha]],OPEX_SALES!A:A,OPEX_SALES!E:E)</f>
        <v>A) Día hábil</v>
      </c>
      <c r="H391" s="14" t="str">
        <f>+TEXT(sales[[#This Row],[Fecha]],"ddd")</f>
        <v>mar</v>
      </c>
      <c r="I391" s="185">
        <f>+sales[[#This Row],[Venta]]-sales[[#This Row],[costo_venta]]</f>
        <v>7320</v>
      </c>
      <c r="J391" s="101">
        <f>[1]sales!K396</f>
        <v>16000</v>
      </c>
      <c r="K391" s="79">
        <f>[1]sales!I396</f>
        <v>16000</v>
      </c>
      <c r="L391" s="52">
        <f>[1]sales!J396</f>
        <v>0</v>
      </c>
      <c r="M391" s="1">
        <f>[1]sales!L396*sales[[#This Row],[cantidad]]</f>
        <v>8680</v>
      </c>
      <c r="N391" s="37">
        <f>+(sales[[#This Row],[Venta]]-sales[[#This Row],[costo_venta]])/sales[[#This Row],[Venta]]</f>
        <v>0.45750000000000002</v>
      </c>
    </row>
    <row r="392" spans="1:14" x14ac:dyDescent="0.2">
      <c r="A392" s="14">
        <f>[1]sales!A397</f>
        <v>46099</v>
      </c>
      <c r="B392" s="188">
        <f>[1]sales!B397</f>
        <v>0.69084490740740745</v>
      </c>
      <c r="C392" s="184" t="s">
        <v>49</v>
      </c>
      <c r="D392" s="14" t="str">
        <f>[1]sales!D397</f>
        <v xml:space="preserve"> Chorizo con papa/arepa</v>
      </c>
      <c r="E392" s="3">
        <f>+[1]sales!G397</f>
        <v>4</v>
      </c>
      <c r="F392" s="195">
        <f>+_xlfn.XLOOKUP(sales[[#This Row],[Fecha]],OPEX_SALES!A:A,OPEX_SALES!B:B)</f>
        <v>4</v>
      </c>
      <c r="G392" s="14" t="str">
        <f>+_xlfn.XLOOKUP(sales[[#This Row],[Fecha]],OPEX_SALES!A:A,OPEX_SALES!E:E)</f>
        <v>A) Día hábil</v>
      </c>
      <c r="H392" s="14" t="str">
        <f>+TEXT(sales[[#This Row],[Fecha]],"ddd")</f>
        <v>mié</v>
      </c>
      <c r="I392" s="185">
        <f>+sales[[#This Row],[Venta]]-sales[[#This Row],[costo_venta]]</f>
        <v>14640</v>
      </c>
      <c r="J392" s="101">
        <f>[1]sales!K397</f>
        <v>32000</v>
      </c>
      <c r="K392" s="79">
        <f>[1]sales!I397</f>
        <v>0</v>
      </c>
      <c r="L392" s="52">
        <f>[1]sales!J397</f>
        <v>32000</v>
      </c>
      <c r="M392" s="1">
        <f>[1]sales!L397*sales[[#This Row],[cantidad]]</f>
        <v>17360</v>
      </c>
      <c r="N392" s="37">
        <f>+(sales[[#This Row],[Venta]]-sales[[#This Row],[costo_venta]])/sales[[#This Row],[Venta]]</f>
        <v>0.45750000000000002</v>
      </c>
    </row>
    <row r="393" spans="1:14" x14ac:dyDescent="0.2">
      <c r="A393" s="14">
        <f>[1]sales!A398</f>
        <v>46099</v>
      </c>
      <c r="B393" s="188">
        <f>[1]sales!B398</f>
        <v>0.69084490740740745</v>
      </c>
      <c r="C393" s="184" t="s">
        <v>49</v>
      </c>
      <c r="D393" s="14" t="str">
        <f>[1]sales!D398</f>
        <v>BEBIDA - Coca Cola</v>
      </c>
      <c r="E393" s="3">
        <f>+[1]sales!G398</f>
        <v>2</v>
      </c>
      <c r="F393" s="195">
        <f>+_xlfn.XLOOKUP(sales[[#This Row],[Fecha]],OPEX_SALES!A:A,OPEX_SALES!B:B)</f>
        <v>4</v>
      </c>
      <c r="G393" s="14" t="str">
        <f>+_xlfn.XLOOKUP(sales[[#This Row],[Fecha]],OPEX_SALES!A:A,OPEX_SALES!E:E)</f>
        <v>A) Día hábil</v>
      </c>
      <c r="H393" s="14" t="str">
        <f>+TEXT(sales[[#This Row],[Fecha]],"ddd")</f>
        <v>mié</v>
      </c>
      <c r="I393" s="185">
        <f>+sales[[#This Row],[Venta]]-sales[[#This Row],[costo_venta]]</f>
        <v>3600</v>
      </c>
      <c r="J393" s="101">
        <f>[1]sales!K398</f>
        <v>6000</v>
      </c>
      <c r="K393" s="79">
        <f>[1]sales!I398</f>
        <v>0</v>
      </c>
      <c r="L393" s="52">
        <f>[1]sales!J398</f>
        <v>6000</v>
      </c>
      <c r="M393" s="1">
        <f>[1]sales!L398*sales[[#This Row],[cantidad]]</f>
        <v>2400</v>
      </c>
      <c r="N393" s="37">
        <f>+(sales[[#This Row],[Venta]]-sales[[#This Row],[costo_venta]])/sales[[#This Row],[Venta]]</f>
        <v>0.6</v>
      </c>
    </row>
    <row r="394" spans="1:14" x14ac:dyDescent="0.2">
      <c r="A394" s="14">
        <f>[1]sales!A399</f>
        <v>46099</v>
      </c>
      <c r="B394" s="188">
        <f>[1]sales!B399</f>
        <v>0.69677083333333334</v>
      </c>
      <c r="C394" s="184" t="s">
        <v>49</v>
      </c>
      <c r="D394" s="14" t="str">
        <f>[1]sales!D399</f>
        <v xml:space="preserve"> Chorizo con papa/arepa</v>
      </c>
      <c r="E394" s="3">
        <f>+[1]sales!G399</f>
        <v>2</v>
      </c>
      <c r="F394" s="195">
        <f>+_xlfn.XLOOKUP(sales[[#This Row],[Fecha]],OPEX_SALES!A:A,OPEX_SALES!B:B)</f>
        <v>4</v>
      </c>
      <c r="G394" s="14" t="str">
        <f>+_xlfn.XLOOKUP(sales[[#This Row],[Fecha]],OPEX_SALES!A:A,OPEX_SALES!E:E)</f>
        <v>A) Día hábil</v>
      </c>
      <c r="H394" s="14" t="str">
        <f>+TEXT(sales[[#This Row],[Fecha]],"ddd")</f>
        <v>mié</v>
      </c>
      <c r="I394" s="185">
        <f>+sales[[#This Row],[Venta]]-sales[[#This Row],[costo_venta]]</f>
        <v>7320</v>
      </c>
      <c r="J394" s="101">
        <f>[1]sales!K399</f>
        <v>16000</v>
      </c>
      <c r="K394" s="79">
        <f>[1]sales!I399</f>
        <v>16000</v>
      </c>
      <c r="L394" s="52">
        <f>[1]sales!J399</f>
        <v>0</v>
      </c>
      <c r="M394" s="1">
        <f>[1]sales!L399*sales[[#This Row],[cantidad]]</f>
        <v>8680</v>
      </c>
      <c r="N394" s="37">
        <f>+(sales[[#This Row],[Venta]]-sales[[#This Row],[costo_venta]])/sales[[#This Row],[Venta]]</f>
        <v>0.45750000000000002</v>
      </c>
    </row>
    <row r="395" spans="1:14" x14ac:dyDescent="0.2">
      <c r="A395" s="14">
        <f>[1]sales!A400</f>
        <v>46099</v>
      </c>
      <c r="B395" s="188">
        <f>[1]sales!B400</f>
        <v>0.72040509259259256</v>
      </c>
      <c r="C395" s="184" t="s">
        <v>49</v>
      </c>
      <c r="D395" s="14" t="str">
        <f>[1]sales!D400</f>
        <v xml:space="preserve"> Chorizo con papa/arepa</v>
      </c>
      <c r="E395" s="3">
        <f>+[1]sales!G400</f>
        <v>2</v>
      </c>
      <c r="F395" s="195">
        <f>+_xlfn.XLOOKUP(sales[[#This Row],[Fecha]],OPEX_SALES!A:A,OPEX_SALES!B:B)</f>
        <v>4</v>
      </c>
      <c r="G395" s="14" t="str">
        <f>+_xlfn.XLOOKUP(sales[[#This Row],[Fecha]],OPEX_SALES!A:A,OPEX_SALES!E:E)</f>
        <v>A) Día hábil</v>
      </c>
      <c r="H395" s="14" t="str">
        <f>+TEXT(sales[[#This Row],[Fecha]],"ddd")</f>
        <v>mié</v>
      </c>
      <c r="I395" s="185">
        <f>+sales[[#This Row],[Venta]]-sales[[#This Row],[costo_venta]]</f>
        <v>7320</v>
      </c>
      <c r="J395" s="101">
        <f>[1]sales!K400</f>
        <v>16000</v>
      </c>
      <c r="K395" s="79">
        <f>[1]sales!I400</f>
        <v>0</v>
      </c>
      <c r="L395" s="52">
        <f>[1]sales!J400</f>
        <v>16000</v>
      </c>
      <c r="M395" s="1">
        <f>[1]sales!L400*sales[[#This Row],[cantidad]]</f>
        <v>8680</v>
      </c>
      <c r="N395" s="37">
        <f>+(sales[[#This Row],[Venta]]-sales[[#This Row],[costo_venta]])/sales[[#This Row],[Venta]]</f>
        <v>0.45750000000000002</v>
      </c>
    </row>
    <row r="396" spans="1:14" x14ac:dyDescent="0.2">
      <c r="A396" s="14">
        <f>[1]sales!A401</f>
        <v>46099</v>
      </c>
      <c r="B396" s="188">
        <f>[1]sales!B401</f>
        <v>0.73092592592592598</v>
      </c>
      <c r="C396" s="184" t="s">
        <v>49</v>
      </c>
      <c r="D396" s="14" t="str">
        <f>[1]sales!D401</f>
        <v xml:space="preserve"> Chorizo con papa/arepa</v>
      </c>
      <c r="E396" s="3">
        <f>+[1]sales!G401</f>
        <v>1</v>
      </c>
      <c r="F396" s="195">
        <f>+_xlfn.XLOOKUP(sales[[#This Row],[Fecha]],OPEX_SALES!A:A,OPEX_SALES!B:B)</f>
        <v>4</v>
      </c>
      <c r="G396" s="14" t="str">
        <f>+_xlfn.XLOOKUP(sales[[#This Row],[Fecha]],OPEX_SALES!A:A,OPEX_SALES!E:E)</f>
        <v>A) Día hábil</v>
      </c>
      <c r="H396" s="14" t="str">
        <f>+TEXT(sales[[#This Row],[Fecha]],"ddd")</f>
        <v>mié</v>
      </c>
      <c r="I396" s="185">
        <f>+sales[[#This Row],[Venta]]-sales[[#This Row],[costo_venta]]</f>
        <v>3660</v>
      </c>
      <c r="J396" s="101">
        <f>[1]sales!K401</f>
        <v>8000</v>
      </c>
      <c r="K396" s="79">
        <f>[1]sales!I401</f>
        <v>0</v>
      </c>
      <c r="L396" s="52">
        <f>[1]sales!J401</f>
        <v>8000</v>
      </c>
      <c r="M396" s="1">
        <f>[1]sales!L401*sales[[#This Row],[cantidad]]</f>
        <v>4340</v>
      </c>
      <c r="N396" s="37">
        <f>+(sales[[#This Row],[Venta]]-sales[[#This Row],[costo_venta]])/sales[[#This Row],[Venta]]</f>
        <v>0.45750000000000002</v>
      </c>
    </row>
    <row r="397" spans="1:14" x14ac:dyDescent="0.2">
      <c r="A397" s="14">
        <f>[1]sales!A402</f>
        <v>46099</v>
      </c>
      <c r="B397" s="188">
        <f>[1]sales!B402</f>
        <v>0.7310416666666667</v>
      </c>
      <c r="C397" s="184" t="s">
        <v>49</v>
      </c>
      <c r="D397" s="14" t="str">
        <f>[1]sales!D402</f>
        <v xml:space="preserve"> Chorizo con papa/arepa</v>
      </c>
      <c r="E397" s="3">
        <f>+[1]sales!G402</f>
        <v>1</v>
      </c>
      <c r="F397" s="195">
        <f>+_xlfn.XLOOKUP(sales[[#This Row],[Fecha]],OPEX_SALES!A:A,OPEX_SALES!B:B)</f>
        <v>4</v>
      </c>
      <c r="G397" s="14" t="str">
        <f>+_xlfn.XLOOKUP(sales[[#This Row],[Fecha]],OPEX_SALES!A:A,OPEX_SALES!E:E)</f>
        <v>A) Día hábil</v>
      </c>
      <c r="H397" s="14" t="str">
        <f>+TEXT(sales[[#This Row],[Fecha]],"ddd")</f>
        <v>mié</v>
      </c>
      <c r="I397" s="185">
        <f>+sales[[#This Row],[Venta]]-sales[[#This Row],[costo_venta]]</f>
        <v>3660</v>
      </c>
      <c r="J397" s="101">
        <f>[1]sales!K402</f>
        <v>8000</v>
      </c>
      <c r="K397" s="79">
        <f>[1]sales!I402</f>
        <v>8000</v>
      </c>
      <c r="L397" s="52">
        <f>[1]sales!J402</f>
        <v>0</v>
      </c>
      <c r="M397" s="1">
        <f>[1]sales!L402*sales[[#This Row],[cantidad]]</f>
        <v>4340</v>
      </c>
      <c r="N397" s="37">
        <f>+(sales[[#This Row],[Venta]]-sales[[#This Row],[costo_venta]])/sales[[#This Row],[Venta]]</f>
        <v>0.45750000000000002</v>
      </c>
    </row>
    <row r="398" spans="1:14" x14ac:dyDescent="0.2">
      <c r="A398" s="14">
        <f>[1]sales!A403</f>
        <v>46099</v>
      </c>
      <c r="B398" s="188">
        <f>[1]sales!B403</f>
        <v>0.74917824074074069</v>
      </c>
      <c r="C398" s="184" t="s">
        <v>49</v>
      </c>
      <c r="D398" s="14" t="str">
        <f>[1]sales!D403</f>
        <v xml:space="preserve"> Chorizo con papa/arepa</v>
      </c>
      <c r="E398" s="3">
        <f>+[1]sales!G403</f>
        <v>2</v>
      </c>
      <c r="F398" s="195">
        <f>+_xlfn.XLOOKUP(sales[[#This Row],[Fecha]],OPEX_SALES!A:A,OPEX_SALES!B:B)</f>
        <v>4</v>
      </c>
      <c r="G398" s="14" t="str">
        <f>+_xlfn.XLOOKUP(sales[[#This Row],[Fecha]],OPEX_SALES!A:A,OPEX_SALES!E:E)</f>
        <v>A) Día hábil</v>
      </c>
      <c r="H398" s="14" t="str">
        <f>+TEXT(sales[[#This Row],[Fecha]],"ddd")</f>
        <v>mié</v>
      </c>
      <c r="I398" s="185">
        <f>+sales[[#This Row],[Venta]]-sales[[#This Row],[costo_venta]]</f>
        <v>7320</v>
      </c>
      <c r="J398" s="101">
        <f>[1]sales!K403</f>
        <v>16000</v>
      </c>
      <c r="K398" s="79">
        <f>[1]sales!I403</f>
        <v>16000</v>
      </c>
      <c r="L398" s="52">
        <f>[1]sales!J403</f>
        <v>0</v>
      </c>
      <c r="M398" s="1">
        <f>[1]sales!L403*sales[[#This Row],[cantidad]]</f>
        <v>8680</v>
      </c>
      <c r="N398" s="37">
        <f>+(sales[[#This Row],[Venta]]-sales[[#This Row],[costo_venta]])/sales[[#This Row],[Venta]]</f>
        <v>0.45750000000000002</v>
      </c>
    </row>
    <row r="399" spans="1:14" x14ac:dyDescent="0.2">
      <c r="A399" s="14">
        <f>[1]sales!A404</f>
        <v>46099</v>
      </c>
      <c r="B399" s="188">
        <f>[1]sales!B404</f>
        <v>0.74917824074074069</v>
      </c>
      <c r="C399" s="184" t="s">
        <v>49</v>
      </c>
      <c r="D399" s="14" t="str">
        <f>[1]sales!D404</f>
        <v>BEBIDA - Coca Cola</v>
      </c>
      <c r="E399" s="3">
        <f>+[1]sales!G404</f>
        <v>2</v>
      </c>
      <c r="F399" s="195">
        <f>+_xlfn.XLOOKUP(sales[[#This Row],[Fecha]],OPEX_SALES!A:A,OPEX_SALES!B:B)</f>
        <v>4</v>
      </c>
      <c r="G399" s="14" t="str">
        <f>+_xlfn.XLOOKUP(sales[[#This Row],[Fecha]],OPEX_SALES!A:A,OPEX_SALES!E:E)</f>
        <v>A) Día hábil</v>
      </c>
      <c r="H399" s="14" t="str">
        <f>+TEXT(sales[[#This Row],[Fecha]],"ddd")</f>
        <v>mié</v>
      </c>
      <c r="I399" s="185">
        <f>+sales[[#This Row],[Venta]]-sales[[#This Row],[costo_venta]]</f>
        <v>3600</v>
      </c>
      <c r="J399" s="101">
        <f>[1]sales!K404</f>
        <v>6000</v>
      </c>
      <c r="K399" s="79">
        <f>[1]sales!I404</f>
        <v>6000</v>
      </c>
      <c r="L399" s="52">
        <f>[1]sales!J404</f>
        <v>0</v>
      </c>
      <c r="M399" s="1">
        <f>[1]sales!L404*sales[[#This Row],[cantidad]]</f>
        <v>2400</v>
      </c>
      <c r="N399" s="37">
        <f>+(sales[[#This Row],[Venta]]-sales[[#This Row],[costo_venta]])/sales[[#This Row],[Venta]]</f>
        <v>0.6</v>
      </c>
    </row>
    <row r="400" spans="1:14" x14ac:dyDescent="0.2">
      <c r="A400" s="14">
        <f>[1]sales!A405</f>
        <v>46099</v>
      </c>
      <c r="B400" s="188">
        <f>[1]sales!B405</f>
        <v>0.76780092592592597</v>
      </c>
      <c r="C400" s="184" t="s">
        <v>49</v>
      </c>
      <c r="D400" s="14" t="str">
        <f>[1]sales!D405</f>
        <v xml:space="preserve"> Chorizo con papa/arepa</v>
      </c>
      <c r="E400" s="3">
        <f>+[1]sales!G405</f>
        <v>1</v>
      </c>
      <c r="F400" s="195">
        <f>+_xlfn.XLOOKUP(sales[[#This Row],[Fecha]],OPEX_SALES!A:A,OPEX_SALES!B:B)</f>
        <v>4</v>
      </c>
      <c r="G400" s="14" t="str">
        <f>+_xlfn.XLOOKUP(sales[[#This Row],[Fecha]],OPEX_SALES!A:A,OPEX_SALES!E:E)</f>
        <v>A) Día hábil</v>
      </c>
      <c r="H400" s="14" t="str">
        <f>+TEXT(sales[[#This Row],[Fecha]],"ddd")</f>
        <v>mié</v>
      </c>
      <c r="I400" s="185">
        <f>+sales[[#This Row],[Venta]]-sales[[#This Row],[costo_venta]]</f>
        <v>3660</v>
      </c>
      <c r="J400" s="101">
        <f>[1]sales!K405</f>
        <v>8000</v>
      </c>
      <c r="K400" s="79">
        <f>[1]sales!I405</f>
        <v>8000</v>
      </c>
      <c r="L400" s="52">
        <f>[1]sales!J405</f>
        <v>0</v>
      </c>
      <c r="M400" s="1">
        <f>[1]sales!L405*sales[[#This Row],[cantidad]]</f>
        <v>4340</v>
      </c>
      <c r="N400" s="37">
        <f>+(sales[[#This Row],[Venta]]-sales[[#This Row],[costo_venta]])/sales[[#This Row],[Venta]]</f>
        <v>0.45750000000000002</v>
      </c>
    </row>
    <row r="401" spans="1:14" x14ac:dyDescent="0.2">
      <c r="A401" s="14">
        <f>[1]sales!A406</f>
        <v>46099</v>
      </c>
      <c r="B401" s="188">
        <f>[1]sales!B406</f>
        <v>0.76891203703703703</v>
      </c>
      <c r="C401" s="184" t="s">
        <v>49</v>
      </c>
      <c r="D401" s="14" t="str">
        <f>[1]sales!D406</f>
        <v>z. MP -  Chorizo CRUDO</v>
      </c>
      <c r="E401" s="3">
        <f>+[1]sales!G406</f>
        <v>2</v>
      </c>
      <c r="F401" s="195">
        <f>+_xlfn.XLOOKUP(sales[[#This Row],[Fecha]],OPEX_SALES!A:A,OPEX_SALES!B:B)</f>
        <v>4</v>
      </c>
      <c r="G401" s="14" t="str">
        <f>+_xlfn.XLOOKUP(sales[[#This Row],[Fecha]],OPEX_SALES!A:A,OPEX_SALES!E:E)</f>
        <v>A) Día hábil</v>
      </c>
      <c r="H401" s="14" t="str">
        <f>+TEXT(sales[[#This Row],[Fecha]],"ddd")</f>
        <v>mié</v>
      </c>
      <c r="I401" s="185">
        <f>+sales[[#This Row],[Venta]]-sales[[#This Row],[costo_venta]]</f>
        <v>2000</v>
      </c>
      <c r="J401" s="101">
        <f>[1]sales!K406</f>
        <v>9000</v>
      </c>
      <c r="K401" s="79">
        <f>[1]sales!I406</f>
        <v>0</v>
      </c>
      <c r="L401" s="52">
        <f>[1]sales!J406</f>
        <v>9000</v>
      </c>
      <c r="M401" s="1">
        <f>[1]sales!L406*sales[[#This Row],[cantidad]]</f>
        <v>7000</v>
      </c>
      <c r="N401" s="37">
        <f>+(sales[[#This Row],[Venta]]-sales[[#This Row],[costo_venta]])/sales[[#This Row],[Venta]]</f>
        <v>0.22222222222222221</v>
      </c>
    </row>
    <row r="402" spans="1:14" x14ac:dyDescent="0.2">
      <c r="A402" s="14">
        <f>[1]sales!A407</f>
        <v>46099</v>
      </c>
      <c r="B402" s="188">
        <f>[1]sales!B407</f>
        <v>0.79048611111111111</v>
      </c>
      <c r="C402" s="184" t="s">
        <v>49</v>
      </c>
      <c r="D402" s="14" t="str">
        <f>[1]sales!D407</f>
        <v xml:space="preserve"> Chorizo con papa/arepa</v>
      </c>
      <c r="E402" s="3">
        <f>+[1]sales!G407</f>
        <v>1</v>
      </c>
      <c r="F402" s="195">
        <f>+_xlfn.XLOOKUP(sales[[#This Row],[Fecha]],OPEX_SALES!A:A,OPEX_SALES!B:B)</f>
        <v>4</v>
      </c>
      <c r="G402" s="14" t="str">
        <f>+_xlfn.XLOOKUP(sales[[#This Row],[Fecha]],OPEX_SALES!A:A,OPEX_SALES!E:E)</f>
        <v>A) Día hábil</v>
      </c>
      <c r="H402" s="14" t="str">
        <f>+TEXT(sales[[#This Row],[Fecha]],"ddd")</f>
        <v>mié</v>
      </c>
      <c r="I402" s="185">
        <f>+sales[[#This Row],[Venta]]-sales[[#This Row],[costo_venta]]</f>
        <v>3660</v>
      </c>
      <c r="J402" s="101">
        <f>[1]sales!K407</f>
        <v>8000</v>
      </c>
      <c r="K402" s="79">
        <f>[1]sales!I407</f>
        <v>8000</v>
      </c>
      <c r="L402" s="52">
        <f>[1]sales!J407</f>
        <v>0</v>
      </c>
      <c r="M402" s="1">
        <f>[1]sales!L407*sales[[#This Row],[cantidad]]</f>
        <v>4340</v>
      </c>
      <c r="N402" s="37">
        <f>+(sales[[#This Row],[Venta]]-sales[[#This Row],[costo_venta]])/sales[[#This Row],[Venta]]</f>
        <v>0.45750000000000002</v>
      </c>
    </row>
    <row r="403" spans="1:14" x14ac:dyDescent="0.2">
      <c r="A403" s="14">
        <f>[1]sales!A408</f>
        <v>46099</v>
      </c>
      <c r="B403" s="188">
        <f>[1]sales!B408</f>
        <v>0.79672453703703705</v>
      </c>
      <c r="C403" s="184" t="s">
        <v>49</v>
      </c>
      <c r="D403" s="14" t="str">
        <f>[1]sales!D408</f>
        <v xml:space="preserve"> Chorizo con papa/arepa</v>
      </c>
      <c r="E403" s="3">
        <f>+[1]sales!G408</f>
        <v>1</v>
      </c>
      <c r="F403" s="195">
        <f>+_xlfn.XLOOKUP(sales[[#This Row],[Fecha]],OPEX_SALES!A:A,OPEX_SALES!B:B)</f>
        <v>4</v>
      </c>
      <c r="G403" s="14" t="str">
        <f>+_xlfn.XLOOKUP(sales[[#This Row],[Fecha]],OPEX_SALES!A:A,OPEX_SALES!E:E)</f>
        <v>A) Día hábil</v>
      </c>
      <c r="H403" s="14" t="str">
        <f>+TEXT(sales[[#This Row],[Fecha]],"ddd")</f>
        <v>mié</v>
      </c>
      <c r="I403" s="185">
        <f>+sales[[#This Row],[Venta]]-sales[[#This Row],[costo_venta]]</f>
        <v>3660</v>
      </c>
      <c r="J403" s="101">
        <f>[1]sales!K408</f>
        <v>8000</v>
      </c>
      <c r="K403" s="79">
        <f>[1]sales!I408</f>
        <v>8000</v>
      </c>
      <c r="L403" s="52">
        <f>[1]sales!J408</f>
        <v>0</v>
      </c>
      <c r="M403" s="1">
        <f>[1]sales!L408*sales[[#This Row],[cantidad]]</f>
        <v>4340</v>
      </c>
      <c r="N403" s="37">
        <f>+(sales[[#This Row],[Venta]]-sales[[#This Row],[costo_venta]])/sales[[#This Row],[Venta]]</f>
        <v>0.45750000000000002</v>
      </c>
    </row>
    <row r="404" spans="1:14" x14ac:dyDescent="0.2">
      <c r="A404" s="14">
        <f>[1]sales!A409</f>
        <v>46099</v>
      </c>
      <c r="B404" s="188">
        <f>[1]sales!B409</f>
        <v>0.82532407407407404</v>
      </c>
      <c r="C404" s="184" t="s">
        <v>49</v>
      </c>
      <c r="D404" s="14" t="str">
        <f>[1]sales!D409</f>
        <v xml:space="preserve"> Chorizo con papa/arepa</v>
      </c>
      <c r="E404" s="3">
        <f>+[1]sales!G409</f>
        <v>1</v>
      </c>
      <c r="F404" s="195">
        <f>+_xlfn.XLOOKUP(sales[[#This Row],[Fecha]],OPEX_SALES!A:A,OPEX_SALES!B:B)</f>
        <v>4</v>
      </c>
      <c r="G404" s="14" t="str">
        <f>+_xlfn.XLOOKUP(sales[[#This Row],[Fecha]],OPEX_SALES!A:A,OPEX_SALES!E:E)</f>
        <v>A) Día hábil</v>
      </c>
      <c r="H404" s="14" t="str">
        <f>+TEXT(sales[[#This Row],[Fecha]],"ddd")</f>
        <v>mié</v>
      </c>
      <c r="I404" s="185">
        <f>+sales[[#This Row],[Venta]]-sales[[#This Row],[costo_venta]]</f>
        <v>3660</v>
      </c>
      <c r="J404" s="101">
        <f>[1]sales!K409</f>
        <v>8000</v>
      </c>
      <c r="K404" s="79">
        <f>[1]sales!I409</f>
        <v>8000</v>
      </c>
      <c r="L404" s="52">
        <f>[1]sales!J409</f>
        <v>0</v>
      </c>
      <c r="M404" s="1">
        <f>[1]sales!L409*sales[[#This Row],[cantidad]]</f>
        <v>4340</v>
      </c>
      <c r="N404" s="37">
        <f>+(sales[[#This Row],[Venta]]-sales[[#This Row],[costo_venta]])/sales[[#This Row],[Venta]]</f>
        <v>0.45750000000000002</v>
      </c>
    </row>
    <row r="405" spans="1:14" x14ac:dyDescent="0.2">
      <c r="A405" s="14">
        <f>[1]sales!A410</f>
        <v>46100</v>
      </c>
      <c r="B405" s="188">
        <f>[1]sales!B410</f>
        <v>0.59192129629629631</v>
      </c>
      <c r="C405" s="184" t="s">
        <v>49</v>
      </c>
      <c r="D405" s="14" t="str">
        <f>[1]sales!D410</f>
        <v>chorixo solo</v>
      </c>
      <c r="E405" s="3">
        <f>+[1]sales!G410</f>
        <v>5</v>
      </c>
      <c r="F405" s="195">
        <f>+_xlfn.XLOOKUP(sales[[#This Row],[Fecha]],OPEX_SALES!A:A,OPEX_SALES!B:B)</f>
        <v>4</v>
      </c>
      <c r="G405" s="14" t="str">
        <f>+_xlfn.XLOOKUP(sales[[#This Row],[Fecha]],OPEX_SALES!A:A,OPEX_SALES!E:E)</f>
        <v>A) Día hábil</v>
      </c>
      <c r="H405" s="14" t="str">
        <f>+TEXT(sales[[#This Row],[Fecha]],"ddd")</f>
        <v>jue</v>
      </c>
      <c r="I405" s="185">
        <f>+sales[[#This Row],[Venta]]-sales[[#This Row],[costo_venta]]</f>
        <v>-4982500</v>
      </c>
      <c r="J405" s="101">
        <f>[1]sales!K410</f>
        <v>17500</v>
      </c>
      <c r="K405" s="79">
        <f>[1]sales!I410</f>
        <v>17500</v>
      </c>
      <c r="L405" s="52">
        <f>[1]sales!J410</f>
        <v>0</v>
      </c>
      <c r="M405" s="1">
        <f>[1]sales!L410*sales[[#This Row],[cantidad]]</f>
        <v>5000000</v>
      </c>
      <c r="N405" s="37">
        <f>+(sales[[#This Row],[Venta]]-sales[[#This Row],[costo_venta]])/sales[[#This Row],[Venta]]</f>
        <v>-284.71428571428572</v>
      </c>
    </row>
    <row r="406" spans="1:14" x14ac:dyDescent="0.2">
      <c r="A406" s="14">
        <f>[1]sales!A411</f>
        <v>46100</v>
      </c>
      <c r="B406" s="188">
        <f>[1]sales!B411</f>
        <v>0.60305555555555557</v>
      </c>
      <c r="C406" s="184" t="s">
        <v>49</v>
      </c>
      <c r="D406" s="14" t="str">
        <f>[1]sales!D411</f>
        <v xml:space="preserve"> Chorizo con papa/arepa</v>
      </c>
      <c r="E406" s="3">
        <f>+[1]sales!G411</f>
        <v>1</v>
      </c>
      <c r="F406" s="195">
        <f>+_xlfn.XLOOKUP(sales[[#This Row],[Fecha]],OPEX_SALES!A:A,OPEX_SALES!B:B)</f>
        <v>4</v>
      </c>
      <c r="G406" s="14" t="str">
        <f>+_xlfn.XLOOKUP(sales[[#This Row],[Fecha]],OPEX_SALES!A:A,OPEX_SALES!E:E)</f>
        <v>A) Día hábil</v>
      </c>
      <c r="H406" s="14" t="str">
        <f>+TEXT(sales[[#This Row],[Fecha]],"ddd")</f>
        <v>jue</v>
      </c>
      <c r="I406" s="185">
        <f>+sales[[#This Row],[Venta]]-sales[[#This Row],[costo_venta]]</f>
        <v>3660</v>
      </c>
      <c r="J406" s="101">
        <f>[1]sales!K411</f>
        <v>8000</v>
      </c>
      <c r="K406" s="79">
        <f>[1]sales!I411</f>
        <v>0</v>
      </c>
      <c r="L406" s="52">
        <f>[1]sales!J411</f>
        <v>8000</v>
      </c>
      <c r="M406" s="1">
        <f>[1]sales!L411*sales[[#This Row],[cantidad]]</f>
        <v>4340</v>
      </c>
      <c r="N406" s="37">
        <f>+(sales[[#This Row],[Venta]]-sales[[#This Row],[costo_venta]])/sales[[#This Row],[Venta]]</f>
        <v>0.45750000000000002</v>
      </c>
    </row>
    <row r="407" spans="1:14" x14ac:dyDescent="0.2">
      <c r="A407" s="14">
        <f>[1]sales!A412</f>
        <v>46100</v>
      </c>
      <c r="B407" s="188">
        <f>[1]sales!B412</f>
        <v>0.65258101851851846</v>
      </c>
      <c r="C407" s="184" t="s">
        <v>49</v>
      </c>
      <c r="D407" s="14" t="str">
        <f>[1]sales!D412</f>
        <v>Bandeja Choriboni - 30</v>
      </c>
      <c r="E407" s="3">
        <f>+[1]sales!G412</f>
        <v>1</v>
      </c>
      <c r="F407" s="195">
        <f>+_xlfn.XLOOKUP(sales[[#This Row],[Fecha]],OPEX_SALES!A:A,OPEX_SALES!B:B)</f>
        <v>4</v>
      </c>
      <c r="G407" s="14" t="str">
        <f>+_xlfn.XLOOKUP(sales[[#This Row],[Fecha]],OPEX_SALES!A:A,OPEX_SALES!E:E)</f>
        <v>A) Día hábil</v>
      </c>
      <c r="H407" s="14" t="str">
        <f>+TEXT(sales[[#This Row],[Fecha]],"ddd")</f>
        <v>jue</v>
      </c>
      <c r="I407" s="185">
        <f>+sales[[#This Row],[Venta]]-sales[[#This Row],[costo_venta]]</f>
        <v>26500</v>
      </c>
      <c r="J407" s="101">
        <f>[1]sales!K412</f>
        <v>30000</v>
      </c>
      <c r="K407" s="79">
        <f>[1]sales!I412</f>
        <v>30000</v>
      </c>
      <c r="L407" s="52">
        <f>[1]sales!J412</f>
        <v>0</v>
      </c>
      <c r="M407" s="1">
        <f>[1]sales!L412*sales[[#This Row],[cantidad]]</f>
        <v>3500</v>
      </c>
      <c r="N407" s="37">
        <f>+(sales[[#This Row],[Venta]]-sales[[#This Row],[costo_venta]])/sales[[#This Row],[Venta]]</f>
        <v>0.8833333333333333</v>
      </c>
    </row>
    <row r="408" spans="1:14" x14ac:dyDescent="0.2">
      <c r="A408" s="14">
        <f>[1]sales!A413</f>
        <v>46100</v>
      </c>
      <c r="B408" s="188">
        <f>[1]sales!B413</f>
        <v>0.65258101851851846</v>
      </c>
      <c r="C408" s="184" t="s">
        <v>49</v>
      </c>
      <c r="D408" s="14" t="str">
        <f>[1]sales!D413</f>
        <v>BEBIDA - Postobón</v>
      </c>
      <c r="E408" s="3">
        <f>+[1]sales!G413</f>
        <v>1</v>
      </c>
      <c r="F408" s="195">
        <f>+_xlfn.XLOOKUP(sales[[#This Row],[Fecha]],OPEX_SALES!A:A,OPEX_SALES!B:B)</f>
        <v>4</v>
      </c>
      <c r="G408" s="14" t="str">
        <f>+_xlfn.XLOOKUP(sales[[#This Row],[Fecha]],OPEX_SALES!A:A,OPEX_SALES!E:E)</f>
        <v>A) Día hábil</v>
      </c>
      <c r="H408" s="14" t="str">
        <f>+TEXT(sales[[#This Row],[Fecha]],"ddd")</f>
        <v>jue</v>
      </c>
      <c r="I408" s="185">
        <f>+sales[[#This Row],[Venta]]-sales[[#This Row],[costo_venta]]</f>
        <v>1866.67</v>
      </c>
      <c r="J408" s="101">
        <f>[1]sales!K413</f>
        <v>3000</v>
      </c>
      <c r="K408" s="79">
        <f>[1]sales!I413</f>
        <v>3000</v>
      </c>
      <c r="L408" s="52">
        <f>[1]sales!J413</f>
        <v>0</v>
      </c>
      <c r="M408" s="1">
        <f>[1]sales!L413*sales[[#This Row],[cantidad]]</f>
        <v>1133.33</v>
      </c>
      <c r="N408" s="37">
        <f>+(sales[[#This Row],[Venta]]-sales[[#This Row],[costo_venta]])/sales[[#This Row],[Venta]]</f>
        <v>0.62222333333333335</v>
      </c>
    </row>
    <row r="409" spans="1:14" x14ac:dyDescent="0.2">
      <c r="A409" s="14">
        <f>[1]sales!A414</f>
        <v>46100</v>
      </c>
      <c r="B409" s="188">
        <f>[1]sales!B414</f>
        <v>0.67899305555555556</v>
      </c>
      <c r="C409" s="184" t="s">
        <v>49</v>
      </c>
      <c r="D409" s="14" t="str">
        <f>[1]sales!D414</f>
        <v xml:space="preserve"> Chorizo con papa/arepa</v>
      </c>
      <c r="E409" s="3">
        <f>+[1]sales!G414</f>
        <v>2</v>
      </c>
      <c r="F409" s="195">
        <f>+_xlfn.XLOOKUP(sales[[#This Row],[Fecha]],OPEX_SALES!A:A,OPEX_SALES!B:B)</f>
        <v>4</v>
      </c>
      <c r="G409" s="14" t="str">
        <f>+_xlfn.XLOOKUP(sales[[#This Row],[Fecha]],OPEX_SALES!A:A,OPEX_SALES!E:E)</f>
        <v>A) Día hábil</v>
      </c>
      <c r="H409" s="14" t="str">
        <f>+TEXT(sales[[#This Row],[Fecha]],"ddd")</f>
        <v>jue</v>
      </c>
      <c r="I409" s="185">
        <f>+sales[[#This Row],[Venta]]-sales[[#This Row],[costo_venta]]</f>
        <v>7320</v>
      </c>
      <c r="J409" s="101">
        <f>[1]sales!K414</f>
        <v>16000</v>
      </c>
      <c r="K409" s="79">
        <f>[1]sales!I414</f>
        <v>0</v>
      </c>
      <c r="L409" s="52">
        <f>[1]sales!J414</f>
        <v>16000</v>
      </c>
      <c r="M409" s="1">
        <f>[1]sales!L414*sales[[#This Row],[cantidad]]</f>
        <v>8680</v>
      </c>
      <c r="N409" s="37">
        <f>+(sales[[#This Row],[Venta]]-sales[[#This Row],[costo_venta]])/sales[[#This Row],[Venta]]</f>
        <v>0.45750000000000002</v>
      </c>
    </row>
    <row r="410" spans="1:14" x14ac:dyDescent="0.2">
      <c r="A410" s="14">
        <f>[1]sales!A415</f>
        <v>46100</v>
      </c>
      <c r="B410" s="188">
        <f>[1]sales!B415</f>
        <v>0.67899305555555556</v>
      </c>
      <c r="C410" s="184" t="s">
        <v>49</v>
      </c>
      <c r="D410" s="14" t="str">
        <f>[1]sales!D415</f>
        <v>BEBIDA - Coca Cola</v>
      </c>
      <c r="E410" s="3">
        <f>+[1]sales!G415</f>
        <v>2</v>
      </c>
      <c r="F410" s="195">
        <f>+_xlfn.XLOOKUP(sales[[#This Row],[Fecha]],OPEX_SALES!A:A,OPEX_SALES!B:B)</f>
        <v>4</v>
      </c>
      <c r="G410" s="14" t="str">
        <f>+_xlfn.XLOOKUP(sales[[#This Row],[Fecha]],OPEX_SALES!A:A,OPEX_SALES!E:E)</f>
        <v>A) Día hábil</v>
      </c>
      <c r="H410" s="14" t="str">
        <f>+TEXT(sales[[#This Row],[Fecha]],"ddd")</f>
        <v>jue</v>
      </c>
      <c r="I410" s="185">
        <f>+sales[[#This Row],[Venta]]-sales[[#This Row],[costo_venta]]</f>
        <v>3600</v>
      </c>
      <c r="J410" s="101">
        <f>[1]sales!K415</f>
        <v>6000</v>
      </c>
      <c r="K410" s="79">
        <f>[1]sales!I415</f>
        <v>0</v>
      </c>
      <c r="L410" s="52">
        <f>[1]sales!J415</f>
        <v>6000</v>
      </c>
      <c r="M410" s="1">
        <f>[1]sales!L415*sales[[#This Row],[cantidad]]</f>
        <v>2400</v>
      </c>
      <c r="N410" s="37">
        <f>+(sales[[#This Row],[Venta]]-sales[[#This Row],[costo_venta]])/sales[[#This Row],[Venta]]</f>
        <v>0.6</v>
      </c>
    </row>
    <row r="411" spans="1:14" x14ac:dyDescent="0.2">
      <c r="A411" s="14">
        <f>[1]sales!A416</f>
        <v>46100</v>
      </c>
      <c r="B411" s="188">
        <f>[1]sales!B416</f>
        <v>0.70303240740740736</v>
      </c>
      <c r="C411" s="184" t="s">
        <v>49</v>
      </c>
      <c r="D411" s="14" t="str">
        <f>[1]sales!D416</f>
        <v xml:space="preserve"> Chorizo con papa/arepa</v>
      </c>
      <c r="E411" s="3">
        <f>+[1]sales!G416</f>
        <v>3</v>
      </c>
      <c r="F411" s="195">
        <f>+_xlfn.XLOOKUP(sales[[#This Row],[Fecha]],OPEX_SALES!A:A,OPEX_SALES!B:B)</f>
        <v>4</v>
      </c>
      <c r="G411" s="14" t="str">
        <f>+_xlfn.XLOOKUP(sales[[#This Row],[Fecha]],OPEX_SALES!A:A,OPEX_SALES!E:E)</f>
        <v>A) Día hábil</v>
      </c>
      <c r="H411" s="14" t="str">
        <f>+TEXT(sales[[#This Row],[Fecha]],"ddd")</f>
        <v>jue</v>
      </c>
      <c r="I411" s="185">
        <f>+sales[[#This Row],[Venta]]-sales[[#This Row],[costo_venta]]</f>
        <v>10980</v>
      </c>
      <c r="J411" s="101">
        <f>[1]sales!K416</f>
        <v>24000</v>
      </c>
      <c r="K411" s="79">
        <f>[1]sales!I416</f>
        <v>0</v>
      </c>
      <c r="L411" s="52">
        <f>[1]sales!J416</f>
        <v>24000</v>
      </c>
      <c r="M411" s="1">
        <f>[1]sales!L416*sales[[#This Row],[cantidad]]</f>
        <v>13020</v>
      </c>
      <c r="N411" s="37">
        <f>+(sales[[#This Row],[Venta]]-sales[[#This Row],[costo_venta]])/sales[[#This Row],[Venta]]</f>
        <v>0.45750000000000002</v>
      </c>
    </row>
    <row r="412" spans="1:14" x14ac:dyDescent="0.2">
      <c r="A412" s="14">
        <f>[1]sales!A417</f>
        <v>46100</v>
      </c>
      <c r="B412" s="188">
        <f>[1]sales!B417</f>
        <v>0.70303240740740736</v>
      </c>
      <c r="C412" s="184" t="s">
        <v>49</v>
      </c>
      <c r="D412" s="14" t="str">
        <f>[1]sales!D417</f>
        <v>BEBIDA - Coca Cola</v>
      </c>
      <c r="E412" s="3">
        <f>+[1]sales!G417</f>
        <v>2</v>
      </c>
      <c r="F412" s="195">
        <f>+_xlfn.XLOOKUP(sales[[#This Row],[Fecha]],OPEX_SALES!A:A,OPEX_SALES!B:B)</f>
        <v>4</v>
      </c>
      <c r="G412" s="14" t="str">
        <f>+_xlfn.XLOOKUP(sales[[#This Row],[Fecha]],OPEX_SALES!A:A,OPEX_SALES!E:E)</f>
        <v>A) Día hábil</v>
      </c>
      <c r="H412" s="14" t="str">
        <f>+TEXT(sales[[#This Row],[Fecha]],"ddd")</f>
        <v>jue</v>
      </c>
      <c r="I412" s="185">
        <f>+sales[[#This Row],[Venta]]-sales[[#This Row],[costo_venta]]</f>
        <v>3600</v>
      </c>
      <c r="J412" s="101">
        <f>[1]sales!K417</f>
        <v>6000</v>
      </c>
      <c r="K412" s="79">
        <f>[1]sales!I417</f>
        <v>0</v>
      </c>
      <c r="L412" s="52">
        <f>[1]sales!J417</f>
        <v>6000</v>
      </c>
      <c r="M412" s="1">
        <f>[1]sales!L417*sales[[#This Row],[cantidad]]</f>
        <v>2400</v>
      </c>
      <c r="N412" s="37">
        <f>+(sales[[#This Row],[Venta]]-sales[[#This Row],[costo_venta]])/sales[[#This Row],[Venta]]</f>
        <v>0.6</v>
      </c>
    </row>
    <row r="413" spans="1:14" x14ac:dyDescent="0.2">
      <c r="A413" s="14">
        <f>[1]sales!A418</f>
        <v>46100</v>
      </c>
      <c r="B413" s="188">
        <f>[1]sales!B418</f>
        <v>0.7193518518518518</v>
      </c>
      <c r="C413" s="184" t="s">
        <v>49</v>
      </c>
      <c r="D413" s="14" t="str">
        <f>[1]sales!D418</f>
        <v xml:space="preserve"> Chorizo con papa/arepa</v>
      </c>
      <c r="E413" s="3">
        <f>+[1]sales!G418</f>
        <v>2</v>
      </c>
      <c r="F413" s="195">
        <f>+_xlfn.XLOOKUP(sales[[#This Row],[Fecha]],OPEX_SALES!A:A,OPEX_SALES!B:B)</f>
        <v>4</v>
      </c>
      <c r="G413" s="14" t="str">
        <f>+_xlfn.XLOOKUP(sales[[#This Row],[Fecha]],OPEX_SALES!A:A,OPEX_SALES!E:E)</f>
        <v>A) Día hábil</v>
      </c>
      <c r="H413" s="14" t="str">
        <f>+TEXT(sales[[#This Row],[Fecha]],"ddd")</f>
        <v>jue</v>
      </c>
      <c r="I413" s="185">
        <f>+sales[[#This Row],[Venta]]-sales[[#This Row],[costo_venta]]</f>
        <v>7320</v>
      </c>
      <c r="J413" s="101">
        <f>[1]sales!K418</f>
        <v>16000</v>
      </c>
      <c r="K413" s="79">
        <f>[1]sales!I418</f>
        <v>0</v>
      </c>
      <c r="L413" s="52">
        <f>[1]sales!J418</f>
        <v>16000</v>
      </c>
      <c r="M413" s="1">
        <f>[1]sales!L418*sales[[#This Row],[cantidad]]</f>
        <v>8680</v>
      </c>
      <c r="N413" s="37">
        <f>+(sales[[#This Row],[Venta]]-sales[[#This Row],[costo_venta]])/sales[[#This Row],[Venta]]</f>
        <v>0.45750000000000002</v>
      </c>
    </row>
    <row r="414" spans="1:14" x14ac:dyDescent="0.2">
      <c r="A414" s="14">
        <f>[1]sales!A419</f>
        <v>46100</v>
      </c>
      <c r="B414" s="188">
        <f>[1]sales!B419</f>
        <v>0.7193518518518518</v>
      </c>
      <c r="C414" s="184" t="s">
        <v>49</v>
      </c>
      <c r="D414" s="14" t="str">
        <f>[1]sales!D419</f>
        <v>BEBIDA - Coca Cola</v>
      </c>
      <c r="E414" s="3">
        <f>+[1]sales!G419</f>
        <v>1</v>
      </c>
      <c r="F414" s="195">
        <f>+_xlfn.XLOOKUP(sales[[#This Row],[Fecha]],OPEX_SALES!A:A,OPEX_SALES!B:B)</f>
        <v>4</v>
      </c>
      <c r="G414" s="14" t="str">
        <f>+_xlfn.XLOOKUP(sales[[#This Row],[Fecha]],OPEX_SALES!A:A,OPEX_SALES!E:E)</f>
        <v>A) Día hábil</v>
      </c>
      <c r="H414" s="14" t="str">
        <f>+TEXT(sales[[#This Row],[Fecha]],"ddd")</f>
        <v>jue</v>
      </c>
      <c r="I414" s="185">
        <f>+sales[[#This Row],[Venta]]-sales[[#This Row],[costo_venta]]</f>
        <v>1800</v>
      </c>
      <c r="J414" s="101">
        <f>[1]sales!K419</f>
        <v>3000</v>
      </c>
      <c r="K414" s="79">
        <f>[1]sales!I419</f>
        <v>0</v>
      </c>
      <c r="L414" s="52">
        <f>[1]sales!J419</f>
        <v>3000</v>
      </c>
      <c r="M414" s="1">
        <f>[1]sales!L419*sales[[#This Row],[cantidad]]</f>
        <v>1200</v>
      </c>
      <c r="N414" s="37">
        <f>+(sales[[#This Row],[Venta]]-sales[[#This Row],[costo_venta]])/sales[[#This Row],[Venta]]</f>
        <v>0.6</v>
      </c>
    </row>
    <row r="415" spans="1:14" x14ac:dyDescent="0.2">
      <c r="A415" s="14">
        <f>[1]sales!A420</f>
        <v>46100</v>
      </c>
      <c r="B415" s="188">
        <f>[1]sales!B420</f>
        <v>0.73567129629629635</v>
      </c>
      <c r="C415" s="184" t="s">
        <v>49</v>
      </c>
      <c r="D415" s="14" t="str">
        <f>[1]sales!D420</f>
        <v xml:space="preserve"> Chorizo con papa/arepa</v>
      </c>
      <c r="E415" s="3">
        <f>+[1]sales!G420</f>
        <v>1</v>
      </c>
      <c r="F415" s="195">
        <f>+_xlfn.XLOOKUP(sales[[#This Row],[Fecha]],OPEX_SALES!A:A,OPEX_SALES!B:B)</f>
        <v>4</v>
      </c>
      <c r="G415" s="14" t="str">
        <f>+_xlfn.XLOOKUP(sales[[#This Row],[Fecha]],OPEX_SALES!A:A,OPEX_SALES!E:E)</f>
        <v>A) Día hábil</v>
      </c>
      <c r="H415" s="14" t="str">
        <f>+TEXT(sales[[#This Row],[Fecha]],"ddd")</f>
        <v>jue</v>
      </c>
      <c r="I415" s="185">
        <f>+sales[[#This Row],[Venta]]-sales[[#This Row],[costo_venta]]</f>
        <v>3660</v>
      </c>
      <c r="J415" s="101">
        <f>[1]sales!K420</f>
        <v>8000</v>
      </c>
      <c r="K415" s="79">
        <f>[1]sales!I420</f>
        <v>8000</v>
      </c>
      <c r="L415" s="52">
        <f>[1]sales!J420</f>
        <v>0</v>
      </c>
      <c r="M415" s="1">
        <f>[1]sales!L420*sales[[#This Row],[cantidad]]</f>
        <v>4340</v>
      </c>
      <c r="N415" s="37">
        <f>+(sales[[#This Row],[Venta]]-sales[[#This Row],[costo_venta]])/sales[[#This Row],[Venta]]</f>
        <v>0.45750000000000002</v>
      </c>
    </row>
    <row r="416" spans="1:14" x14ac:dyDescent="0.2">
      <c r="A416" s="14">
        <f>[1]sales!A421</f>
        <v>46100</v>
      </c>
      <c r="B416" s="188">
        <f>[1]sales!B421</f>
        <v>0.73567129629629635</v>
      </c>
      <c r="C416" s="184" t="s">
        <v>49</v>
      </c>
      <c r="D416" s="14" t="str">
        <f>[1]sales!D421</f>
        <v>BEBIDA - Coca Cola</v>
      </c>
      <c r="E416" s="3">
        <f>+[1]sales!G421</f>
        <v>1</v>
      </c>
      <c r="F416" s="195">
        <f>+_xlfn.XLOOKUP(sales[[#This Row],[Fecha]],OPEX_SALES!A:A,OPEX_SALES!B:B)</f>
        <v>4</v>
      </c>
      <c r="G416" s="14" t="str">
        <f>+_xlfn.XLOOKUP(sales[[#This Row],[Fecha]],OPEX_SALES!A:A,OPEX_SALES!E:E)</f>
        <v>A) Día hábil</v>
      </c>
      <c r="H416" s="14" t="str">
        <f>+TEXT(sales[[#This Row],[Fecha]],"ddd")</f>
        <v>jue</v>
      </c>
      <c r="I416" s="185">
        <f>+sales[[#This Row],[Venta]]-sales[[#This Row],[costo_venta]]</f>
        <v>1800</v>
      </c>
      <c r="J416" s="101">
        <f>[1]sales!K421</f>
        <v>3000</v>
      </c>
      <c r="K416" s="79">
        <f>[1]sales!I421</f>
        <v>3000</v>
      </c>
      <c r="L416" s="52">
        <f>[1]sales!J421</f>
        <v>0</v>
      </c>
      <c r="M416" s="1">
        <f>[1]sales!L421*sales[[#This Row],[cantidad]]</f>
        <v>1200</v>
      </c>
      <c r="N416" s="37">
        <f>+(sales[[#This Row],[Venta]]-sales[[#This Row],[costo_venta]])/sales[[#This Row],[Venta]]</f>
        <v>0.6</v>
      </c>
    </row>
    <row r="417" spans="1:14" x14ac:dyDescent="0.2">
      <c r="A417" s="14">
        <f>[1]sales!A422</f>
        <v>46100</v>
      </c>
      <c r="B417" s="188">
        <f>[1]sales!B422</f>
        <v>0.73567129629629635</v>
      </c>
      <c r="C417" s="184" t="s">
        <v>49</v>
      </c>
      <c r="D417" s="14" t="str">
        <f>[1]sales!D422</f>
        <v>z. MP -  Chorizo CRUDO</v>
      </c>
      <c r="E417" s="3">
        <f>+[1]sales!G422</f>
        <v>4</v>
      </c>
      <c r="F417" s="195">
        <f>+_xlfn.XLOOKUP(sales[[#This Row],[Fecha]],OPEX_SALES!A:A,OPEX_SALES!B:B)</f>
        <v>4</v>
      </c>
      <c r="G417" s="14" t="str">
        <f>+_xlfn.XLOOKUP(sales[[#This Row],[Fecha]],OPEX_SALES!A:A,OPEX_SALES!E:E)</f>
        <v>A) Día hábil</v>
      </c>
      <c r="H417" s="14" t="str">
        <f>+TEXT(sales[[#This Row],[Fecha]],"ddd")</f>
        <v>jue</v>
      </c>
      <c r="I417" s="185">
        <f>+sales[[#This Row],[Venta]]-sales[[#This Row],[costo_venta]]</f>
        <v>4000</v>
      </c>
      <c r="J417" s="101">
        <f>[1]sales!K422</f>
        <v>18000</v>
      </c>
      <c r="K417" s="79">
        <f>[1]sales!I422</f>
        <v>18000</v>
      </c>
      <c r="L417" s="52">
        <f>[1]sales!J422</f>
        <v>0</v>
      </c>
      <c r="M417" s="1">
        <f>[1]sales!L422*sales[[#This Row],[cantidad]]</f>
        <v>14000</v>
      </c>
      <c r="N417" s="37">
        <f>+(sales[[#This Row],[Venta]]-sales[[#This Row],[costo_venta]])/sales[[#This Row],[Venta]]</f>
        <v>0.22222222222222221</v>
      </c>
    </row>
    <row r="418" spans="1:14" x14ac:dyDescent="0.2">
      <c r="A418" s="14">
        <f>[1]sales!A423</f>
        <v>46100</v>
      </c>
      <c r="B418" s="188">
        <f>[1]sales!B423</f>
        <v>0.74875000000000003</v>
      </c>
      <c r="C418" s="184" t="s">
        <v>49</v>
      </c>
      <c r="D418" s="14" t="str">
        <f>[1]sales!D423</f>
        <v xml:space="preserve"> Chorizo con papa/arepa</v>
      </c>
      <c r="E418" s="3">
        <f>+[1]sales!G423</f>
        <v>2</v>
      </c>
      <c r="F418" s="195">
        <f>+_xlfn.XLOOKUP(sales[[#This Row],[Fecha]],OPEX_SALES!A:A,OPEX_SALES!B:B)</f>
        <v>4</v>
      </c>
      <c r="G418" s="14" t="str">
        <f>+_xlfn.XLOOKUP(sales[[#This Row],[Fecha]],OPEX_SALES!A:A,OPEX_SALES!E:E)</f>
        <v>A) Día hábil</v>
      </c>
      <c r="H418" s="14" t="str">
        <f>+TEXT(sales[[#This Row],[Fecha]],"ddd")</f>
        <v>jue</v>
      </c>
      <c r="I418" s="185">
        <f>+sales[[#This Row],[Venta]]-sales[[#This Row],[costo_venta]]</f>
        <v>7320</v>
      </c>
      <c r="J418" s="101">
        <f>[1]sales!K423</f>
        <v>16000</v>
      </c>
      <c r="K418" s="79">
        <f>[1]sales!I423</f>
        <v>16000</v>
      </c>
      <c r="L418" s="52">
        <f>[1]sales!J423</f>
        <v>0</v>
      </c>
      <c r="M418" s="1">
        <f>[1]sales!L423*sales[[#This Row],[cantidad]]</f>
        <v>8680</v>
      </c>
      <c r="N418" s="37">
        <f>+(sales[[#This Row],[Venta]]-sales[[#This Row],[costo_venta]])/sales[[#This Row],[Venta]]</f>
        <v>0.45750000000000002</v>
      </c>
    </row>
    <row r="419" spans="1:14" x14ac:dyDescent="0.2">
      <c r="A419" s="14">
        <f>[1]sales!A424</f>
        <v>46100</v>
      </c>
      <c r="B419" s="188">
        <f>[1]sales!B424</f>
        <v>0.74875000000000003</v>
      </c>
      <c r="C419" s="184" t="s">
        <v>49</v>
      </c>
      <c r="D419" s="14" t="str">
        <f>[1]sales!D424</f>
        <v>BEBIDA - Coca Cola ZERO</v>
      </c>
      <c r="E419" s="3">
        <f>+[1]sales!G424</f>
        <v>2</v>
      </c>
      <c r="F419" s="195">
        <f>+_xlfn.XLOOKUP(sales[[#This Row],[Fecha]],OPEX_SALES!A:A,OPEX_SALES!B:B)</f>
        <v>4</v>
      </c>
      <c r="G419" s="14" t="str">
        <f>+_xlfn.XLOOKUP(sales[[#This Row],[Fecha]],OPEX_SALES!A:A,OPEX_SALES!E:E)</f>
        <v>A) Día hábil</v>
      </c>
      <c r="H419" s="14" t="str">
        <f>+TEXT(sales[[#This Row],[Fecha]],"ddd")</f>
        <v>jue</v>
      </c>
      <c r="I419" s="185">
        <f>+sales[[#This Row],[Venta]]-sales[[#This Row],[costo_venta]]</f>
        <v>3900</v>
      </c>
      <c r="J419" s="101">
        <f>[1]sales!K424</f>
        <v>6400</v>
      </c>
      <c r="K419" s="79">
        <f>[1]sales!I424</f>
        <v>6400</v>
      </c>
      <c r="L419" s="52">
        <f>[1]sales!J424</f>
        <v>0</v>
      </c>
      <c r="M419" s="1">
        <f>[1]sales!L424*sales[[#This Row],[cantidad]]</f>
        <v>2500</v>
      </c>
      <c r="N419" s="37">
        <f>+(sales[[#This Row],[Venta]]-sales[[#This Row],[costo_venta]])/sales[[#This Row],[Venta]]</f>
        <v>0.609375</v>
      </c>
    </row>
    <row r="420" spans="1:14" x14ac:dyDescent="0.2">
      <c r="A420" s="14">
        <f>[1]sales!A425</f>
        <v>46100</v>
      </c>
      <c r="B420" s="188">
        <f>[1]sales!B425</f>
        <v>0.75240740740740741</v>
      </c>
      <c r="C420" s="184" t="s">
        <v>49</v>
      </c>
      <c r="D420" s="14" t="str">
        <f>[1]sales!D425</f>
        <v xml:space="preserve"> Chorizo con papa/arepa</v>
      </c>
      <c r="E420" s="3">
        <f>+[1]sales!G425</f>
        <v>1</v>
      </c>
      <c r="F420" s="195">
        <f>+_xlfn.XLOOKUP(sales[[#This Row],[Fecha]],OPEX_SALES!A:A,OPEX_SALES!B:B)</f>
        <v>4</v>
      </c>
      <c r="G420" s="14" t="str">
        <f>+_xlfn.XLOOKUP(sales[[#This Row],[Fecha]],OPEX_SALES!A:A,OPEX_SALES!E:E)</f>
        <v>A) Día hábil</v>
      </c>
      <c r="H420" s="14" t="str">
        <f>+TEXT(sales[[#This Row],[Fecha]],"ddd")</f>
        <v>jue</v>
      </c>
      <c r="I420" s="185">
        <f>+sales[[#This Row],[Venta]]-sales[[#This Row],[costo_venta]]</f>
        <v>3660</v>
      </c>
      <c r="J420" s="101">
        <f>[1]sales!K425</f>
        <v>8000</v>
      </c>
      <c r="K420" s="79">
        <f>[1]sales!I425</f>
        <v>8000</v>
      </c>
      <c r="L420" s="52">
        <f>[1]sales!J425</f>
        <v>0</v>
      </c>
      <c r="M420" s="1">
        <f>[1]sales!L425*sales[[#This Row],[cantidad]]</f>
        <v>4340</v>
      </c>
      <c r="N420" s="37">
        <f>+(sales[[#This Row],[Venta]]-sales[[#This Row],[costo_venta]])/sales[[#This Row],[Venta]]</f>
        <v>0.45750000000000002</v>
      </c>
    </row>
    <row r="421" spans="1:14" x14ac:dyDescent="0.2">
      <c r="A421" s="14">
        <f>[1]sales!A426</f>
        <v>46100</v>
      </c>
      <c r="B421" s="188">
        <f>[1]sales!B426</f>
        <v>0.75240740740740741</v>
      </c>
      <c r="C421" s="184" t="s">
        <v>49</v>
      </c>
      <c r="D421" s="14" t="str">
        <f>[1]sales!D426</f>
        <v>BEBIDA - Coca Cola</v>
      </c>
      <c r="E421" s="3">
        <f>+[1]sales!G426</f>
        <v>1</v>
      </c>
      <c r="F421" s="195">
        <f>+_xlfn.XLOOKUP(sales[[#This Row],[Fecha]],OPEX_SALES!A:A,OPEX_SALES!B:B)</f>
        <v>4</v>
      </c>
      <c r="G421" s="14" t="str">
        <f>+_xlfn.XLOOKUP(sales[[#This Row],[Fecha]],OPEX_SALES!A:A,OPEX_SALES!E:E)</f>
        <v>A) Día hábil</v>
      </c>
      <c r="H421" s="14" t="str">
        <f>+TEXT(sales[[#This Row],[Fecha]],"ddd")</f>
        <v>jue</v>
      </c>
      <c r="I421" s="185">
        <f>+sales[[#This Row],[Venta]]-sales[[#This Row],[costo_venta]]</f>
        <v>1800</v>
      </c>
      <c r="J421" s="101">
        <f>[1]sales!K426</f>
        <v>3000</v>
      </c>
      <c r="K421" s="79">
        <f>[1]sales!I426</f>
        <v>3000</v>
      </c>
      <c r="L421" s="52">
        <f>[1]sales!J426</f>
        <v>0</v>
      </c>
      <c r="M421" s="1">
        <f>[1]sales!L426*sales[[#This Row],[cantidad]]</f>
        <v>1200</v>
      </c>
      <c r="N421" s="37">
        <f>+(sales[[#This Row],[Venta]]-sales[[#This Row],[costo_venta]])/sales[[#This Row],[Venta]]</f>
        <v>0.6</v>
      </c>
    </row>
    <row r="422" spans="1:14" x14ac:dyDescent="0.2">
      <c r="A422" s="14">
        <f>[1]sales!A427</f>
        <v>46100</v>
      </c>
      <c r="B422" s="188">
        <f>[1]sales!B427</f>
        <v>0.75858796296296294</v>
      </c>
      <c r="C422" s="184" t="s">
        <v>49</v>
      </c>
      <c r="D422" s="14" t="str">
        <f>[1]sales!D427</f>
        <v xml:space="preserve"> Chorizo con papa/arepa</v>
      </c>
      <c r="E422" s="3">
        <f>+[1]sales!G427</f>
        <v>2</v>
      </c>
      <c r="F422" s="195">
        <f>+_xlfn.XLOOKUP(sales[[#This Row],[Fecha]],OPEX_SALES!A:A,OPEX_SALES!B:B)</f>
        <v>4</v>
      </c>
      <c r="G422" s="14" t="str">
        <f>+_xlfn.XLOOKUP(sales[[#This Row],[Fecha]],OPEX_SALES!A:A,OPEX_SALES!E:E)</f>
        <v>A) Día hábil</v>
      </c>
      <c r="H422" s="14" t="str">
        <f>+TEXT(sales[[#This Row],[Fecha]],"ddd")</f>
        <v>jue</v>
      </c>
      <c r="I422" s="185">
        <f>+sales[[#This Row],[Venta]]-sales[[#This Row],[costo_venta]]</f>
        <v>7320</v>
      </c>
      <c r="J422" s="101">
        <f>[1]sales!K427</f>
        <v>16000</v>
      </c>
      <c r="K422" s="79">
        <f>[1]sales!I427</f>
        <v>16000</v>
      </c>
      <c r="L422" s="52">
        <f>[1]sales!J427</f>
        <v>0</v>
      </c>
      <c r="M422" s="1">
        <f>[1]sales!L427*sales[[#This Row],[cantidad]]</f>
        <v>8680</v>
      </c>
      <c r="N422" s="37">
        <f>+(sales[[#This Row],[Venta]]-sales[[#This Row],[costo_venta]])/sales[[#This Row],[Venta]]</f>
        <v>0.45750000000000002</v>
      </c>
    </row>
    <row r="423" spans="1:14" x14ac:dyDescent="0.2">
      <c r="A423" s="14">
        <f>[1]sales!A428</f>
        <v>46100</v>
      </c>
      <c r="B423" s="188">
        <f>[1]sales!B428</f>
        <v>0.75858796296296294</v>
      </c>
      <c r="C423" s="184" t="s">
        <v>49</v>
      </c>
      <c r="D423" s="14" t="str">
        <f>[1]sales!D428</f>
        <v>BEBIDA - Coca Cola</v>
      </c>
      <c r="E423" s="3">
        <f>+[1]sales!G428</f>
        <v>2</v>
      </c>
      <c r="F423" s="195">
        <f>+_xlfn.XLOOKUP(sales[[#This Row],[Fecha]],OPEX_SALES!A:A,OPEX_SALES!B:B)</f>
        <v>4</v>
      </c>
      <c r="G423" s="14" t="str">
        <f>+_xlfn.XLOOKUP(sales[[#This Row],[Fecha]],OPEX_SALES!A:A,OPEX_SALES!E:E)</f>
        <v>A) Día hábil</v>
      </c>
      <c r="H423" s="14" t="str">
        <f>+TEXT(sales[[#This Row],[Fecha]],"ddd")</f>
        <v>jue</v>
      </c>
      <c r="I423" s="185">
        <f>+sales[[#This Row],[Venta]]-sales[[#This Row],[costo_venta]]</f>
        <v>3600</v>
      </c>
      <c r="J423" s="101">
        <f>[1]sales!K428</f>
        <v>6000</v>
      </c>
      <c r="K423" s="79">
        <f>[1]sales!I428</f>
        <v>6000</v>
      </c>
      <c r="L423" s="52">
        <f>[1]sales!J428</f>
        <v>0</v>
      </c>
      <c r="M423" s="1">
        <f>[1]sales!L428*sales[[#This Row],[cantidad]]</f>
        <v>2400</v>
      </c>
      <c r="N423" s="37">
        <f>+(sales[[#This Row],[Venta]]-sales[[#This Row],[costo_venta]])/sales[[#This Row],[Venta]]</f>
        <v>0.6</v>
      </c>
    </row>
    <row r="424" spans="1:14" x14ac:dyDescent="0.2">
      <c r="A424" s="14">
        <f>[1]sales!A429</f>
        <v>46100</v>
      </c>
      <c r="B424" s="188">
        <f>[1]sales!B429</f>
        <v>0.75858796296296294</v>
      </c>
      <c r="C424" s="184" t="s">
        <v>49</v>
      </c>
      <c r="D424" s="14" t="str">
        <f>[1]sales!D429</f>
        <v>Ham. combo</v>
      </c>
      <c r="E424" s="3">
        <f>+[1]sales!G429</f>
        <v>1</v>
      </c>
      <c r="F424" s="195">
        <f>+_xlfn.XLOOKUP(sales[[#This Row],[Fecha]],OPEX_SALES!A:A,OPEX_SALES!B:B)</f>
        <v>4</v>
      </c>
      <c r="G424" s="14" t="str">
        <f>+_xlfn.XLOOKUP(sales[[#This Row],[Fecha]],OPEX_SALES!A:A,OPEX_SALES!E:E)</f>
        <v>A) Día hábil</v>
      </c>
      <c r="H424" s="14" t="str">
        <f>+TEXT(sales[[#This Row],[Fecha]],"ddd")</f>
        <v>jue</v>
      </c>
      <c r="I424" s="185">
        <f>+sales[[#This Row],[Venta]]-sales[[#This Row],[costo_venta]]</f>
        <v>17000</v>
      </c>
      <c r="J424" s="101">
        <f>[1]sales!K429</f>
        <v>22000</v>
      </c>
      <c r="K424" s="79">
        <f>[1]sales!I429</f>
        <v>22000</v>
      </c>
      <c r="L424" s="52">
        <f>[1]sales!J429</f>
        <v>0</v>
      </c>
      <c r="M424" s="1">
        <f>[1]sales!L429*sales[[#This Row],[cantidad]]</f>
        <v>5000</v>
      </c>
      <c r="N424" s="37">
        <f>+(sales[[#This Row],[Venta]]-sales[[#This Row],[costo_venta]])/sales[[#This Row],[Venta]]</f>
        <v>0.77272727272727271</v>
      </c>
    </row>
    <row r="425" spans="1:14" x14ac:dyDescent="0.2">
      <c r="A425" s="14">
        <f>[1]sales!A430</f>
        <v>46100</v>
      </c>
      <c r="B425" s="188">
        <f>[1]sales!B430</f>
        <v>0.76615740740740745</v>
      </c>
      <c r="C425" s="184" t="s">
        <v>49</v>
      </c>
      <c r="D425" s="14" t="str">
        <f>[1]sales!D430</f>
        <v xml:space="preserve"> Chorizo con papa/arepa</v>
      </c>
      <c r="E425" s="3">
        <f>+[1]sales!G430</f>
        <v>1</v>
      </c>
      <c r="F425" s="195">
        <f>+_xlfn.XLOOKUP(sales[[#This Row],[Fecha]],OPEX_SALES!A:A,OPEX_SALES!B:B)</f>
        <v>4</v>
      </c>
      <c r="G425" s="14" t="str">
        <f>+_xlfn.XLOOKUP(sales[[#This Row],[Fecha]],OPEX_SALES!A:A,OPEX_SALES!E:E)</f>
        <v>A) Día hábil</v>
      </c>
      <c r="H425" s="14" t="str">
        <f>+TEXT(sales[[#This Row],[Fecha]],"ddd")</f>
        <v>jue</v>
      </c>
      <c r="I425" s="185">
        <f>+sales[[#This Row],[Venta]]-sales[[#This Row],[costo_venta]]</f>
        <v>3660</v>
      </c>
      <c r="J425" s="101">
        <f>[1]sales!K430</f>
        <v>8000</v>
      </c>
      <c r="K425" s="79">
        <f>[1]sales!I430</f>
        <v>0</v>
      </c>
      <c r="L425" s="52">
        <f>[1]sales!J430</f>
        <v>8000</v>
      </c>
      <c r="M425" s="1">
        <f>[1]sales!L430*sales[[#This Row],[cantidad]]</f>
        <v>4340</v>
      </c>
      <c r="N425" s="37">
        <f>+(sales[[#This Row],[Venta]]-sales[[#This Row],[costo_venta]])/sales[[#This Row],[Venta]]</f>
        <v>0.45750000000000002</v>
      </c>
    </row>
    <row r="426" spans="1:14" x14ac:dyDescent="0.2">
      <c r="A426" s="14">
        <f>[1]sales!A431</f>
        <v>46100</v>
      </c>
      <c r="B426" s="188">
        <f>[1]sales!B431</f>
        <v>0.7669097222222222</v>
      </c>
      <c r="C426" s="184" t="s">
        <v>49</v>
      </c>
      <c r="D426" s="14" t="str">
        <f>[1]sales!D431</f>
        <v xml:space="preserve"> Chorizo con papa/arepa</v>
      </c>
      <c r="E426" s="3">
        <f>+[1]sales!G431</f>
        <v>2</v>
      </c>
      <c r="F426" s="195">
        <f>+_xlfn.XLOOKUP(sales[[#This Row],[Fecha]],OPEX_SALES!A:A,OPEX_SALES!B:B)</f>
        <v>4</v>
      </c>
      <c r="G426" s="14" t="str">
        <f>+_xlfn.XLOOKUP(sales[[#This Row],[Fecha]],OPEX_SALES!A:A,OPEX_SALES!E:E)</f>
        <v>A) Día hábil</v>
      </c>
      <c r="H426" s="14" t="str">
        <f>+TEXT(sales[[#This Row],[Fecha]],"ddd")</f>
        <v>jue</v>
      </c>
      <c r="I426" s="185">
        <f>+sales[[#This Row],[Venta]]-sales[[#This Row],[costo_venta]]</f>
        <v>7320</v>
      </c>
      <c r="J426" s="101">
        <f>[1]sales!K431</f>
        <v>16000</v>
      </c>
      <c r="K426" s="79">
        <f>[1]sales!I431</f>
        <v>16000</v>
      </c>
      <c r="L426" s="52">
        <f>[1]sales!J431</f>
        <v>0</v>
      </c>
      <c r="M426" s="1">
        <f>[1]sales!L431*sales[[#This Row],[cantidad]]</f>
        <v>8680</v>
      </c>
      <c r="N426" s="37">
        <f>+(sales[[#This Row],[Venta]]-sales[[#This Row],[costo_venta]])/sales[[#This Row],[Venta]]</f>
        <v>0.45750000000000002</v>
      </c>
    </row>
    <row r="427" spans="1:14" x14ac:dyDescent="0.2">
      <c r="A427" s="14">
        <f>[1]sales!A432</f>
        <v>46100</v>
      </c>
      <c r="B427" s="188">
        <f>[1]sales!B432</f>
        <v>0.77180555555555552</v>
      </c>
      <c r="C427" s="184" t="s">
        <v>49</v>
      </c>
      <c r="D427" s="14" t="str">
        <f>[1]sales!D432</f>
        <v xml:space="preserve"> Chorizo con papa/arepa</v>
      </c>
      <c r="E427" s="3">
        <f>+[1]sales!G432</f>
        <v>2</v>
      </c>
      <c r="F427" s="195">
        <f>+_xlfn.XLOOKUP(sales[[#This Row],[Fecha]],OPEX_SALES!A:A,OPEX_SALES!B:B)</f>
        <v>4</v>
      </c>
      <c r="G427" s="14" t="str">
        <f>+_xlfn.XLOOKUP(sales[[#This Row],[Fecha]],OPEX_SALES!A:A,OPEX_SALES!E:E)</f>
        <v>A) Día hábil</v>
      </c>
      <c r="H427" s="14" t="str">
        <f>+TEXT(sales[[#This Row],[Fecha]],"ddd")</f>
        <v>jue</v>
      </c>
      <c r="I427" s="185">
        <f>+sales[[#This Row],[Venta]]-sales[[#This Row],[costo_venta]]</f>
        <v>7320</v>
      </c>
      <c r="J427" s="101">
        <f>[1]sales!K432</f>
        <v>16000</v>
      </c>
      <c r="K427" s="79">
        <f>[1]sales!I432</f>
        <v>0</v>
      </c>
      <c r="L427" s="52">
        <f>[1]sales!J432</f>
        <v>16000</v>
      </c>
      <c r="M427" s="1">
        <f>[1]sales!L432*sales[[#This Row],[cantidad]]</f>
        <v>8680</v>
      </c>
      <c r="N427" s="37">
        <f>+(sales[[#This Row],[Venta]]-sales[[#This Row],[costo_venta]])/sales[[#This Row],[Venta]]</f>
        <v>0.45750000000000002</v>
      </c>
    </row>
    <row r="428" spans="1:14" x14ac:dyDescent="0.2">
      <c r="A428" s="14">
        <f>[1]sales!A433</f>
        <v>46100</v>
      </c>
      <c r="B428" s="188">
        <f>[1]sales!B433</f>
        <v>0.77531249999999996</v>
      </c>
      <c r="C428" s="184" t="s">
        <v>49</v>
      </c>
      <c r="D428" s="14" t="str">
        <f>[1]sales!D433</f>
        <v xml:space="preserve"> Chorizo con papa/arepa</v>
      </c>
      <c r="E428" s="3">
        <f>+[1]sales!G433</f>
        <v>2</v>
      </c>
      <c r="F428" s="195">
        <f>+_xlfn.XLOOKUP(sales[[#This Row],[Fecha]],OPEX_SALES!A:A,OPEX_SALES!B:B)</f>
        <v>4</v>
      </c>
      <c r="G428" s="14" t="str">
        <f>+_xlfn.XLOOKUP(sales[[#This Row],[Fecha]],OPEX_SALES!A:A,OPEX_SALES!E:E)</f>
        <v>A) Día hábil</v>
      </c>
      <c r="H428" s="14" t="str">
        <f>+TEXT(sales[[#This Row],[Fecha]],"ddd")</f>
        <v>jue</v>
      </c>
      <c r="I428" s="185">
        <f>+sales[[#This Row],[Venta]]-sales[[#This Row],[costo_venta]]</f>
        <v>7320</v>
      </c>
      <c r="J428" s="101">
        <f>[1]sales!K433</f>
        <v>16000</v>
      </c>
      <c r="K428" s="79">
        <f>[1]sales!I433</f>
        <v>0</v>
      </c>
      <c r="L428" s="52">
        <f>[1]sales!J433</f>
        <v>16000</v>
      </c>
      <c r="M428" s="1">
        <f>[1]sales!L433*sales[[#This Row],[cantidad]]</f>
        <v>8680</v>
      </c>
      <c r="N428" s="37">
        <f>+(sales[[#This Row],[Venta]]-sales[[#This Row],[costo_venta]])/sales[[#This Row],[Venta]]</f>
        <v>0.45750000000000002</v>
      </c>
    </row>
    <row r="429" spans="1:14" x14ac:dyDescent="0.2">
      <c r="A429" s="14">
        <f>[1]sales!A434</f>
        <v>46100</v>
      </c>
      <c r="B429" s="188">
        <f>[1]sales!B434</f>
        <v>0.78291666666666671</v>
      </c>
      <c r="C429" s="184" t="s">
        <v>49</v>
      </c>
      <c r="D429" s="14" t="str">
        <f>[1]sales!D434</f>
        <v>BEBIDA - Coca Cola</v>
      </c>
      <c r="E429" s="3">
        <f>+[1]sales!G434</f>
        <v>1</v>
      </c>
      <c r="F429" s="195">
        <f>+_xlfn.XLOOKUP(sales[[#This Row],[Fecha]],OPEX_SALES!A:A,OPEX_SALES!B:B)</f>
        <v>4</v>
      </c>
      <c r="G429" s="14" t="str">
        <f>+_xlfn.XLOOKUP(sales[[#This Row],[Fecha]],OPEX_SALES!A:A,OPEX_SALES!E:E)</f>
        <v>A) Día hábil</v>
      </c>
      <c r="H429" s="14" t="str">
        <f>+TEXT(sales[[#This Row],[Fecha]],"ddd")</f>
        <v>jue</v>
      </c>
      <c r="I429" s="185">
        <f>+sales[[#This Row],[Venta]]-sales[[#This Row],[costo_venta]]</f>
        <v>1800</v>
      </c>
      <c r="J429" s="101">
        <f>[1]sales!K434</f>
        <v>3000</v>
      </c>
      <c r="K429" s="79">
        <f>[1]sales!I434</f>
        <v>3000</v>
      </c>
      <c r="L429" s="52">
        <f>[1]sales!J434</f>
        <v>0</v>
      </c>
      <c r="M429" s="1">
        <f>[1]sales!L434*sales[[#This Row],[cantidad]]</f>
        <v>1200</v>
      </c>
      <c r="N429" s="37">
        <f>+(sales[[#This Row],[Venta]]-sales[[#This Row],[costo_venta]])/sales[[#This Row],[Venta]]</f>
        <v>0.6</v>
      </c>
    </row>
    <row r="430" spans="1:14" x14ac:dyDescent="0.2">
      <c r="A430" s="14">
        <f>[1]sales!A435</f>
        <v>46100</v>
      </c>
      <c r="B430" s="188">
        <f>[1]sales!B435</f>
        <v>0.78542824074074069</v>
      </c>
      <c r="C430" s="184" t="s">
        <v>49</v>
      </c>
      <c r="D430" s="14" t="str">
        <f>[1]sales!D435</f>
        <v xml:space="preserve"> Chorizo con papa/arepa</v>
      </c>
      <c r="E430" s="3">
        <f>+[1]sales!G435</f>
        <v>1</v>
      </c>
      <c r="F430" s="195">
        <f>+_xlfn.XLOOKUP(sales[[#This Row],[Fecha]],OPEX_SALES!A:A,OPEX_SALES!B:B)</f>
        <v>4</v>
      </c>
      <c r="G430" s="14" t="str">
        <f>+_xlfn.XLOOKUP(sales[[#This Row],[Fecha]],OPEX_SALES!A:A,OPEX_SALES!E:E)</f>
        <v>A) Día hábil</v>
      </c>
      <c r="H430" s="14" t="str">
        <f>+TEXT(sales[[#This Row],[Fecha]],"ddd")</f>
        <v>jue</v>
      </c>
      <c r="I430" s="185">
        <f>+sales[[#This Row],[Venta]]-sales[[#This Row],[costo_venta]]</f>
        <v>3660</v>
      </c>
      <c r="J430" s="101">
        <f>[1]sales!K435</f>
        <v>8000</v>
      </c>
      <c r="K430" s="79">
        <f>[1]sales!I435</f>
        <v>8000</v>
      </c>
      <c r="L430" s="52">
        <f>[1]sales!J435</f>
        <v>0</v>
      </c>
      <c r="M430" s="1">
        <f>[1]sales!L435*sales[[#This Row],[cantidad]]</f>
        <v>4340</v>
      </c>
      <c r="N430" s="37">
        <f>+(sales[[#This Row],[Venta]]-sales[[#This Row],[costo_venta]])/sales[[#This Row],[Venta]]</f>
        <v>0.45750000000000002</v>
      </c>
    </row>
    <row r="431" spans="1:14" x14ac:dyDescent="0.2">
      <c r="A431" s="14">
        <f>[1]sales!A436</f>
        <v>46100</v>
      </c>
      <c r="B431" s="188">
        <f>[1]sales!B436</f>
        <v>0.78782407407407407</v>
      </c>
      <c r="C431" s="184" t="s">
        <v>49</v>
      </c>
      <c r="D431" s="14" t="str">
        <f>[1]sales!D436</f>
        <v xml:space="preserve"> Chorizo con papa/arepa</v>
      </c>
      <c r="E431" s="3">
        <f>+[1]sales!G436</f>
        <v>1</v>
      </c>
      <c r="F431" s="195">
        <f>+_xlfn.XLOOKUP(sales[[#This Row],[Fecha]],OPEX_SALES!A:A,OPEX_SALES!B:B)</f>
        <v>4</v>
      </c>
      <c r="G431" s="14" t="str">
        <f>+_xlfn.XLOOKUP(sales[[#This Row],[Fecha]],OPEX_SALES!A:A,OPEX_SALES!E:E)</f>
        <v>A) Día hábil</v>
      </c>
      <c r="H431" s="14" t="str">
        <f>+TEXT(sales[[#This Row],[Fecha]],"ddd")</f>
        <v>jue</v>
      </c>
      <c r="I431" s="185">
        <f>+sales[[#This Row],[Venta]]-sales[[#This Row],[costo_venta]]</f>
        <v>3660</v>
      </c>
      <c r="J431" s="101">
        <f>[1]sales!K436</f>
        <v>8000</v>
      </c>
      <c r="K431" s="79">
        <f>[1]sales!I436</f>
        <v>8000</v>
      </c>
      <c r="L431" s="52">
        <f>[1]sales!J436</f>
        <v>0</v>
      </c>
      <c r="M431" s="1">
        <f>[1]sales!L436*sales[[#This Row],[cantidad]]</f>
        <v>4340</v>
      </c>
      <c r="N431" s="37">
        <f>+(sales[[#This Row],[Venta]]-sales[[#This Row],[costo_venta]])/sales[[#This Row],[Venta]]</f>
        <v>0.45750000000000002</v>
      </c>
    </row>
    <row r="432" spans="1:14" x14ac:dyDescent="0.2">
      <c r="A432" s="14">
        <f>[1]sales!A437</f>
        <v>46100</v>
      </c>
      <c r="B432" s="188">
        <f>[1]sales!B437</f>
        <v>0.79299768518518521</v>
      </c>
      <c r="C432" s="184" t="s">
        <v>49</v>
      </c>
      <c r="D432" s="14" t="str">
        <f>[1]sales!D437</f>
        <v xml:space="preserve"> Chorizo con papa/arepa</v>
      </c>
      <c r="E432" s="3">
        <f>+[1]sales!G437</f>
        <v>1</v>
      </c>
      <c r="F432" s="195">
        <f>+_xlfn.XLOOKUP(sales[[#This Row],[Fecha]],OPEX_SALES!A:A,OPEX_SALES!B:B)</f>
        <v>4</v>
      </c>
      <c r="G432" s="14" t="str">
        <f>+_xlfn.XLOOKUP(sales[[#This Row],[Fecha]],OPEX_SALES!A:A,OPEX_SALES!E:E)</f>
        <v>A) Día hábil</v>
      </c>
      <c r="H432" s="14" t="str">
        <f>+TEXT(sales[[#This Row],[Fecha]],"ddd")</f>
        <v>jue</v>
      </c>
      <c r="I432" s="185">
        <f>+sales[[#This Row],[Venta]]-sales[[#This Row],[costo_venta]]</f>
        <v>3660</v>
      </c>
      <c r="J432" s="101">
        <f>[1]sales!K437</f>
        <v>8000</v>
      </c>
      <c r="K432" s="79">
        <f>[1]sales!I437</f>
        <v>0</v>
      </c>
      <c r="L432" s="52">
        <f>[1]sales!J437</f>
        <v>8000</v>
      </c>
      <c r="M432" s="1">
        <f>[1]sales!L437*sales[[#This Row],[cantidad]]</f>
        <v>4340</v>
      </c>
      <c r="N432" s="37">
        <f>+(sales[[#This Row],[Venta]]-sales[[#This Row],[costo_venta]])/sales[[#This Row],[Venta]]</f>
        <v>0.45750000000000002</v>
      </c>
    </row>
    <row r="433" spans="1:14" x14ac:dyDescent="0.2">
      <c r="A433" s="14">
        <f>[1]sales!A438</f>
        <v>46100</v>
      </c>
      <c r="B433" s="188">
        <f>[1]sales!B438</f>
        <v>0.79532407407407413</v>
      </c>
      <c r="C433" s="184" t="s">
        <v>49</v>
      </c>
      <c r="D433" s="14" t="str">
        <f>[1]sales!D438</f>
        <v xml:space="preserve"> Chorizo con papa/arepa</v>
      </c>
      <c r="E433" s="3">
        <f>+[1]sales!G438</f>
        <v>2</v>
      </c>
      <c r="F433" s="195">
        <f>+_xlfn.XLOOKUP(sales[[#This Row],[Fecha]],OPEX_SALES!A:A,OPEX_SALES!B:B)</f>
        <v>4</v>
      </c>
      <c r="G433" s="14" t="str">
        <f>+_xlfn.XLOOKUP(sales[[#This Row],[Fecha]],OPEX_SALES!A:A,OPEX_SALES!E:E)</f>
        <v>A) Día hábil</v>
      </c>
      <c r="H433" s="14" t="str">
        <f>+TEXT(sales[[#This Row],[Fecha]],"ddd")</f>
        <v>jue</v>
      </c>
      <c r="I433" s="185">
        <f>+sales[[#This Row],[Venta]]-sales[[#This Row],[costo_venta]]</f>
        <v>7320</v>
      </c>
      <c r="J433" s="101">
        <f>[1]sales!K438</f>
        <v>16000</v>
      </c>
      <c r="K433" s="79">
        <f>[1]sales!I438</f>
        <v>16000</v>
      </c>
      <c r="L433" s="52">
        <f>[1]sales!J438</f>
        <v>0</v>
      </c>
      <c r="M433" s="1">
        <f>[1]sales!L438*sales[[#This Row],[cantidad]]</f>
        <v>8680</v>
      </c>
      <c r="N433" s="37">
        <f>+(sales[[#This Row],[Venta]]-sales[[#This Row],[costo_venta]])/sales[[#This Row],[Venta]]</f>
        <v>0.45750000000000002</v>
      </c>
    </row>
    <row r="434" spans="1:14" x14ac:dyDescent="0.2">
      <c r="A434" s="14">
        <f>[1]sales!A439</f>
        <v>46100</v>
      </c>
      <c r="B434" s="188">
        <f>[1]sales!B439</f>
        <v>0.79532407407407413</v>
      </c>
      <c r="C434" s="184" t="s">
        <v>49</v>
      </c>
      <c r="D434" s="14" t="str">
        <f>[1]sales!D439</f>
        <v>BEBIDA - Coca Cola</v>
      </c>
      <c r="E434" s="3">
        <f>+[1]sales!G439</f>
        <v>1</v>
      </c>
      <c r="F434" s="195">
        <f>+_xlfn.XLOOKUP(sales[[#This Row],[Fecha]],OPEX_SALES!A:A,OPEX_SALES!B:B)</f>
        <v>4</v>
      </c>
      <c r="G434" s="14" t="str">
        <f>+_xlfn.XLOOKUP(sales[[#This Row],[Fecha]],OPEX_SALES!A:A,OPEX_SALES!E:E)</f>
        <v>A) Día hábil</v>
      </c>
      <c r="H434" s="14" t="str">
        <f>+TEXT(sales[[#This Row],[Fecha]],"ddd")</f>
        <v>jue</v>
      </c>
      <c r="I434" s="185">
        <f>+sales[[#This Row],[Venta]]-sales[[#This Row],[costo_venta]]</f>
        <v>1800</v>
      </c>
      <c r="J434" s="101">
        <f>[1]sales!K439</f>
        <v>3000</v>
      </c>
      <c r="K434" s="79">
        <f>[1]sales!I439</f>
        <v>3000</v>
      </c>
      <c r="L434" s="52">
        <f>[1]sales!J439</f>
        <v>0</v>
      </c>
      <c r="M434" s="1">
        <f>[1]sales!L439*sales[[#This Row],[cantidad]]</f>
        <v>1200</v>
      </c>
      <c r="N434" s="37">
        <f>+(sales[[#This Row],[Venta]]-sales[[#This Row],[costo_venta]])/sales[[#This Row],[Venta]]</f>
        <v>0.6</v>
      </c>
    </row>
    <row r="435" spans="1:14" x14ac:dyDescent="0.2">
      <c r="A435" s="14">
        <f>[1]sales!A440</f>
        <v>46100</v>
      </c>
      <c r="B435" s="188">
        <f>[1]sales!B440</f>
        <v>0.81797453703703704</v>
      </c>
      <c r="C435" s="184" t="s">
        <v>49</v>
      </c>
      <c r="D435" s="14" t="str">
        <f>[1]sales!D440</f>
        <v xml:space="preserve"> Chorizo con papa/arepa</v>
      </c>
      <c r="E435" s="3">
        <f>+[1]sales!G440</f>
        <v>1</v>
      </c>
      <c r="F435" s="195">
        <f>+_xlfn.XLOOKUP(sales[[#This Row],[Fecha]],OPEX_SALES!A:A,OPEX_SALES!B:B)</f>
        <v>4</v>
      </c>
      <c r="G435" s="14" t="str">
        <f>+_xlfn.XLOOKUP(sales[[#This Row],[Fecha]],OPEX_SALES!A:A,OPEX_SALES!E:E)</f>
        <v>A) Día hábil</v>
      </c>
      <c r="H435" s="14" t="str">
        <f>+TEXT(sales[[#This Row],[Fecha]],"ddd")</f>
        <v>jue</v>
      </c>
      <c r="I435" s="185">
        <f>+sales[[#This Row],[Venta]]-sales[[#This Row],[costo_venta]]</f>
        <v>3660</v>
      </c>
      <c r="J435" s="101">
        <f>[1]sales!K440</f>
        <v>8000</v>
      </c>
      <c r="K435" s="79">
        <f>[1]sales!I440</f>
        <v>0</v>
      </c>
      <c r="L435" s="52">
        <f>[1]sales!J440</f>
        <v>8000</v>
      </c>
      <c r="M435" s="1">
        <f>[1]sales!L440*sales[[#This Row],[cantidad]]</f>
        <v>4340</v>
      </c>
      <c r="N435" s="37">
        <f>+(sales[[#This Row],[Venta]]-sales[[#This Row],[costo_venta]])/sales[[#This Row],[Venta]]</f>
        <v>0.45750000000000002</v>
      </c>
    </row>
    <row r="436" spans="1:14" x14ac:dyDescent="0.2">
      <c r="A436" s="14">
        <f>[1]sales!A441</f>
        <v>46100</v>
      </c>
      <c r="B436" s="188">
        <f>[1]sales!B441</f>
        <v>0.81797453703703704</v>
      </c>
      <c r="C436" s="184" t="s">
        <v>49</v>
      </c>
      <c r="D436" s="14" t="str">
        <f>[1]sales!D441</f>
        <v>BEBIDA - Coca Cola</v>
      </c>
      <c r="E436" s="3">
        <f>+[1]sales!G441</f>
        <v>1</v>
      </c>
      <c r="F436" s="195">
        <f>+_xlfn.XLOOKUP(sales[[#This Row],[Fecha]],OPEX_SALES!A:A,OPEX_SALES!B:B)</f>
        <v>4</v>
      </c>
      <c r="G436" s="14" t="str">
        <f>+_xlfn.XLOOKUP(sales[[#This Row],[Fecha]],OPEX_SALES!A:A,OPEX_SALES!E:E)</f>
        <v>A) Día hábil</v>
      </c>
      <c r="H436" s="14" t="str">
        <f>+TEXT(sales[[#This Row],[Fecha]],"ddd")</f>
        <v>jue</v>
      </c>
      <c r="I436" s="185">
        <f>+sales[[#This Row],[Venta]]-sales[[#This Row],[costo_venta]]</f>
        <v>1800</v>
      </c>
      <c r="J436" s="101">
        <f>[1]sales!K441</f>
        <v>3000</v>
      </c>
      <c r="K436" s="79">
        <f>[1]sales!I441</f>
        <v>0</v>
      </c>
      <c r="L436" s="52">
        <f>[1]sales!J441</f>
        <v>3000</v>
      </c>
      <c r="M436" s="1">
        <f>[1]sales!L441*sales[[#This Row],[cantidad]]</f>
        <v>1200</v>
      </c>
      <c r="N436" s="37">
        <f>+(sales[[#This Row],[Venta]]-sales[[#This Row],[costo_venta]])/sales[[#This Row],[Venta]]</f>
        <v>0.6</v>
      </c>
    </row>
    <row r="437" spans="1:14" x14ac:dyDescent="0.2">
      <c r="A437" s="14">
        <f>[1]sales!A442</f>
        <v>46100</v>
      </c>
      <c r="B437" s="188">
        <f>[1]sales!B442</f>
        <v>0.82131944444444449</v>
      </c>
      <c r="C437" s="184" t="s">
        <v>49</v>
      </c>
      <c r="D437" s="14" t="str">
        <f>[1]sales!D442</f>
        <v xml:space="preserve"> Chorizo con papa/arepa</v>
      </c>
      <c r="E437" s="3">
        <f>+[1]sales!G442</f>
        <v>5</v>
      </c>
      <c r="F437" s="195">
        <f>+_xlfn.XLOOKUP(sales[[#This Row],[Fecha]],OPEX_SALES!A:A,OPEX_SALES!B:B)</f>
        <v>4</v>
      </c>
      <c r="G437" s="14" t="str">
        <f>+_xlfn.XLOOKUP(sales[[#This Row],[Fecha]],OPEX_SALES!A:A,OPEX_SALES!E:E)</f>
        <v>A) Día hábil</v>
      </c>
      <c r="H437" s="14" t="str">
        <f>+TEXT(sales[[#This Row],[Fecha]],"ddd")</f>
        <v>jue</v>
      </c>
      <c r="I437" s="185">
        <f>+sales[[#This Row],[Venta]]-sales[[#This Row],[costo_venta]]</f>
        <v>18300</v>
      </c>
      <c r="J437" s="101">
        <f>[1]sales!K442</f>
        <v>40000</v>
      </c>
      <c r="K437" s="79">
        <f>[1]sales!I442</f>
        <v>0</v>
      </c>
      <c r="L437" s="52">
        <f>[1]sales!J442</f>
        <v>40000</v>
      </c>
      <c r="M437" s="1">
        <f>[1]sales!L442*sales[[#This Row],[cantidad]]</f>
        <v>21700</v>
      </c>
      <c r="N437" s="37">
        <f>+(sales[[#This Row],[Venta]]-sales[[#This Row],[costo_venta]])/sales[[#This Row],[Venta]]</f>
        <v>0.45750000000000002</v>
      </c>
    </row>
    <row r="438" spans="1:14" x14ac:dyDescent="0.2">
      <c r="A438" s="14">
        <f>[1]sales!A443</f>
        <v>46101</v>
      </c>
      <c r="B438" s="188">
        <f>[1]sales!B443</f>
        <v>0.64905092592592595</v>
      </c>
      <c r="C438" s="184" t="s">
        <v>49</v>
      </c>
      <c r="D438" s="14" t="str">
        <f>[1]sales!D443</f>
        <v xml:space="preserve"> Chorizo con papa/arepa</v>
      </c>
      <c r="E438" s="3">
        <f>+[1]sales!G443</f>
        <v>3</v>
      </c>
      <c r="F438" s="195">
        <f>+_xlfn.XLOOKUP(sales[[#This Row],[Fecha]],OPEX_SALES!A:A,OPEX_SALES!B:B)</f>
        <v>4</v>
      </c>
      <c r="G438" s="14" t="str">
        <f>+_xlfn.XLOOKUP(sales[[#This Row],[Fecha]],OPEX_SALES!A:A,OPEX_SALES!E:E)</f>
        <v>B) Viernes</v>
      </c>
      <c r="H438" s="14" t="str">
        <f>+TEXT(sales[[#This Row],[Fecha]],"ddd")</f>
        <v>vie</v>
      </c>
      <c r="I438" s="185">
        <f>+sales[[#This Row],[Venta]]-sales[[#This Row],[costo_venta]]</f>
        <v>10980</v>
      </c>
      <c r="J438" s="101">
        <f>[1]sales!K443</f>
        <v>24000</v>
      </c>
      <c r="K438" s="79">
        <f>[1]sales!I443</f>
        <v>24000</v>
      </c>
      <c r="L438" s="52">
        <f>[1]sales!J443</f>
        <v>0</v>
      </c>
      <c r="M438" s="1">
        <f>[1]sales!L443*sales[[#This Row],[cantidad]]</f>
        <v>13020</v>
      </c>
      <c r="N438" s="37">
        <f>+(sales[[#This Row],[Venta]]-sales[[#This Row],[costo_venta]])/sales[[#This Row],[Venta]]</f>
        <v>0.45750000000000002</v>
      </c>
    </row>
    <row r="439" spans="1:14" x14ac:dyDescent="0.2">
      <c r="A439" s="14">
        <f>[1]sales!A444</f>
        <v>46101</v>
      </c>
      <c r="B439" s="188">
        <f>[1]sales!B444</f>
        <v>0.64905092592592595</v>
      </c>
      <c r="C439" s="184" t="s">
        <v>49</v>
      </c>
      <c r="D439" s="14" t="str">
        <f>[1]sales!D444</f>
        <v>BEBIDA - Coca Cola</v>
      </c>
      <c r="E439" s="3">
        <f>+[1]sales!G444</f>
        <v>3</v>
      </c>
      <c r="F439" s="195">
        <f>+_xlfn.XLOOKUP(sales[[#This Row],[Fecha]],OPEX_SALES!A:A,OPEX_SALES!B:B)</f>
        <v>4</v>
      </c>
      <c r="G439" s="14" t="str">
        <f>+_xlfn.XLOOKUP(sales[[#This Row],[Fecha]],OPEX_SALES!A:A,OPEX_SALES!E:E)</f>
        <v>B) Viernes</v>
      </c>
      <c r="H439" s="14" t="str">
        <f>+TEXT(sales[[#This Row],[Fecha]],"ddd")</f>
        <v>vie</v>
      </c>
      <c r="I439" s="185">
        <f>+sales[[#This Row],[Venta]]-sales[[#This Row],[costo_venta]]</f>
        <v>5400</v>
      </c>
      <c r="J439" s="101">
        <f>[1]sales!K444</f>
        <v>9000</v>
      </c>
      <c r="K439" s="79">
        <f>[1]sales!I444</f>
        <v>9000</v>
      </c>
      <c r="L439" s="52">
        <f>[1]sales!J444</f>
        <v>0</v>
      </c>
      <c r="M439" s="1">
        <f>[1]sales!L444*sales[[#This Row],[cantidad]]</f>
        <v>3600</v>
      </c>
      <c r="N439" s="37">
        <f>+(sales[[#This Row],[Venta]]-sales[[#This Row],[costo_venta]])/sales[[#This Row],[Venta]]</f>
        <v>0.6</v>
      </c>
    </row>
    <row r="440" spans="1:14" x14ac:dyDescent="0.2">
      <c r="A440" s="14">
        <f>[1]sales!A445</f>
        <v>46101</v>
      </c>
      <c r="B440" s="188">
        <f>[1]sales!B445</f>
        <v>0.64994212962962961</v>
      </c>
      <c r="C440" s="184" t="s">
        <v>49</v>
      </c>
      <c r="D440" s="14" t="str">
        <f>[1]sales!D445</f>
        <v xml:space="preserve"> Chorizo con papa/arepa</v>
      </c>
      <c r="E440" s="3">
        <f>+[1]sales!G445</f>
        <v>3</v>
      </c>
      <c r="F440" s="195">
        <f>+_xlfn.XLOOKUP(sales[[#This Row],[Fecha]],OPEX_SALES!A:A,OPEX_SALES!B:B)</f>
        <v>4</v>
      </c>
      <c r="G440" s="14" t="str">
        <f>+_xlfn.XLOOKUP(sales[[#This Row],[Fecha]],OPEX_SALES!A:A,OPEX_SALES!E:E)</f>
        <v>B) Viernes</v>
      </c>
      <c r="H440" s="14" t="str">
        <f>+TEXT(sales[[#This Row],[Fecha]],"ddd")</f>
        <v>vie</v>
      </c>
      <c r="I440" s="185">
        <f>+sales[[#This Row],[Venta]]-sales[[#This Row],[costo_venta]]</f>
        <v>10980</v>
      </c>
      <c r="J440" s="101">
        <f>[1]sales!K445</f>
        <v>24000</v>
      </c>
      <c r="K440" s="79">
        <f>[1]sales!I445</f>
        <v>0</v>
      </c>
      <c r="L440" s="52">
        <f>[1]sales!J445</f>
        <v>24000</v>
      </c>
      <c r="M440" s="1">
        <f>[1]sales!L445*sales[[#This Row],[cantidad]]</f>
        <v>13020</v>
      </c>
      <c r="N440" s="37">
        <f>+(sales[[#This Row],[Venta]]-sales[[#This Row],[costo_venta]])/sales[[#This Row],[Venta]]</f>
        <v>0.45750000000000002</v>
      </c>
    </row>
    <row r="441" spans="1:14" x14ac:dyDescent="0.2">
      <c r="A441" s="14">
        <f>[1]sales!A446</f>
        <v>46101</v>
      </c>
      <c r="B441" s="188">
        <f>[1]sales!B446</f>
        <v>0.64994212962962961</v>
      </c>
      <c r="C441" s="184" t="s">
        <v>49</v>
      </c>
      <c r="D441" s="14" t="str">
        <f>[1]sales!D446</f>
        <v>BEBIDA - Coca Cola</v>
      </c>
      <c r="E441" s="3">
        <f>+[1]sales!G446</f>
        <v>3</v>
      </c>
      <c r="F441" s="195">
        <f>+_xlfn.XLOOKUP(sales[[#This Row],[Fecha]],OPEX_SALES!A:A,OPEX_SALES!B:B)</f>
        <v>4</v>
      </c>
      <c r="G441" s="14" t="str">
        <f>+_xlfn.XLOOKUP(sales[[#This Row],[Fecha]],OPEX_SALES!A:A,OPEX_SALES!E:E)</f>
        <v>B) Viernes</v>
      </c>
      <c r="H441" s="14" t="str">
        <f>+TEXT(sales[[#This Row],[Fecha]],"ddd")</f>
        <v>vie</v>
      </c>
      <c r="I441" s="185">
        <f>+sales[[#This Row],[Venta]]-sales[[#This Row],[costo_venta]]</f>
        <v>5400</v>
      </c>
      <c r="J441" s="101">
        <f>[1]sales!K446</f>
        <v>9000</v>
      </c>
      <c r="K441" s="79">
        <f>[1]sales!I446</f>
        <v>0</v>
      </c>
      <c r="L441" s="52">
        <f>[1]sales!J446</f>
        <v>9000</v>
      </c>
      <c r="M441" s="1">
        <f>[1]sales!L446*sales[[#This Row],[cantidad]]</f>
        <v>3600</v>
      </c>
      <c r="N441" s="37">
        <f>+(sales[[#This Row],[Venta]]-sales[[#This Row],[costo_venta]])/sales[[#This Row],[Venta]]</f>
        <v>0.6</v>
      </c>
    </row>
    <row r="442" spans="1:14" x14ac:dyDescent="0.2">
      <c r="A442" s="14">
        <f>[1]sales!A447</f>
        <v>46101</v>
      </c>
      <c r="B442" s="188">
        <f>[1]sales!B447</f>
        <v>0.66108796296296302</v>
      </c>
      <c r="C442" s="184" t="s">
        <v>49</v>
      </c>
      <c r="D442" s="14" t="str">
        <f>[1]sales!D447</f>
        <v>BEBIDA - Botella de Agua</v>
      </c>
      <c r="E442" s="3">
        <f>+[1]sales!G447</f>
        <v>1</v>
      </c>
      <c r="F442" s="195">
        <f>+_xlfn.XLOOKUP(sales[[#This Row],[Fecha]],OPEX_SALES!A:A,OPEX_SALES!B:B)</f>
        <v>4</v>
      </c>
      <c r="G442" s="14" t="str">
        <f>+_xlfn.XLOOKUP(sales[[#This Row],[Fecha]],OPEX_SALES!A:A,OPEX_SALES!E:E)</f>
        <v>B) Viernes</v>
      </c>
      <c r="H442" s="14" t="str">
        <f>+TEXT(sales[[#This Row],[Fecha]],"ddd")</f>
        <v>vie</v>
      </c>
      <c r="I442" s="185">
        <f>+sales[[#This Row],[Venta]]-sales[[#This Row],[costo_venta]]</f>
        <v>1583.33</v>
      </c>
      <c r="J442" s="101">
        <f>[1]sales!K447</f>
        <v>3000</v>
      </c>
      <c r="K442" s="79">
        <f>[1]sales!I447</f>
        <v>3000</v>
      </c>
      <c r="L442" s="52">
        <f>[1]sales!J447</f>
        <v>0</v>
      </c>
      <c r="M442" s="1">
        <f>[1]sales!L447*sales[[#This Row],[cantidad]]</f>
        <v>1416.67</v>
      </c>
      <c r="N442" s="37">
        <f>+(sales[[#This Row],[Venta]]-sales[[#This Row],[costo_venta]])/sales[[#This Row],[Venta]]</f>
        <v>0.52777666666666667</v>
      </c>
    </row>
    <row r="443" spans="1:14" x14ac:dyDescent="0.2">
      <c r="A443" s="14">
        <f>[1]sales!A448</f>
        <v>46101</v>
      </c>
      <c r="B443" s="188">
        <f>[1]sales!B448</f>
        <v>0.71699074074074076</v>
      </c>
      <c r="C443" s="184" t="s">
        <v>49</v>
      </c>
      <c r="D443" s="14" t="str">
        <f>[1]sales!D448</f>
        <v xml:space="preserve"> Chorizo con papa/arepa</v>
      </c>
      <c r="E443" s="3">
        <f>+[1]sales!G448</f>
        <v>2</v>
      </c>
      <c r="F443" s="195">
        <f>+_xlfn.XLOOKUP(sales[[#This Row],[Fecha]],OPEX_SALES!A:A,OPEX_SALES!B:B)</f>
        <v>4</v>
      </c>
      <c r="G443" s="14" t="str">
        <f>+_xlfn.XLOOKUP(sales[[#This Row],[Fecha]],OPEX_SALES!A:A,OPEX_SALES!E:E)</f>
        <v>B) Viernes</v>
      </c>
      <c r="H443" s="14" t="str">
        <f>+TEXT(sales[[#This Row],[Fecha]],"ddd")</f>
        <v>vie</v>
      </c>
      <c r="I443" s="185">
        <f>+sales[[#This Row],[Venta]]-sales[[#This Row],[costo_venta]]</f>
        <v>7320</v>
      </c>
      <c r="J443" s="101">
        <f>[1]sales!K448</f>
        <v>16000</v>
      </c>
      <c r="K443" s="79">
        <f>[1]sales!I448</f>
        <v>16000</v>
      </c>
      <c r="L443" s="52">
        <f>[1]sales!J448</f>
        <v>0</v>
      </c>
      <c r="M443" s="1">
        <f>[1]sales!L448*sales[[#This Row],[cantidad]]</f>
        <v>8680</v>
      </c>
      <c r="N443" s="37">
        <f>+(sales[[#This Row],[Venta]]-sales[[#This Row],[costo_venta]])/sales[[#This Row],[Venta]]</f>
        <v>0.45750000000000002</v>
      </c>
    </row>
    <row r="444" spans="1:14" x14ac:dyDescent="0.2">
      <c r="A444" s="14">
        <f>[1]sales!A449</f>
        <v>46101</v>
      </c>
      <c r="B444" s="188">
        <f>[1]sales!B449</f>
        <v>0.74997685185185181</v>
      </c>
      <c r="C444" s="184" t="s">
        <v>49</v>
      </c>
      <c r="D444" s="14" t="str">
        <f>[1]sales!D449</f>
        <v xml:space="preserve"> Chorizo solo</v>
      </c>
      <c r="E444" s="3">
        <f>+[1]sales!G449</f>
        <v>2</v>
      </c>
      <c r="F444" s="195">
        <f>+_xlfn.XLOOKUP(sales[[#This Row],[Fecha]],OPEX_SALES!A:A,OPEX_SALES!B:B)</f>
        <v>4</v>
      </c>
      <c r="G444" s="14" t="str">
        <f>+_xlfn.XLOOKUP(sales[[#This Row],[Fecha]],OPEX_SALES!A:A,OPEX_SALES!E:E)</f>
        <v>B) Viernes</v>
      </c>
      <c r="H444" s="14" t="str">
        <f>+TEXT(sales[[#This Row],[Fecha]],"ddd")</f>
        <v>vie</v>
      </c>
      <c r="I444" s="185">
        <f>+sales[[#This Row],[Venta]]-sales[[#This Row],[costo_venta]]</f>
        <v>7000</v>
      </c>
      <c r="J444" s="101">
        <f>[1]sales!K449</f>
        <v>14000</v>
      </c>
      <c r="K444" s="79">
        <f>[1]sales!I449</f>
        <v>14000</v>
      </c>
      <c r="L444" s="52">
        <f>[1]sales!J449</f>
        <v>0</v>
      </c>
      <c r="M444" s="1">
        <f>[1]sales!L449*sales[[#This Row],[cantidad]]</f>
        <v>7000</v>
      </c>
      <c r="N444" s="37">
        <f>+(sales[[#This Row],[Venta]]-sales[[#This Row],[costo_venta]])/sales[[#This Row],[Venta]]</f>
        <v>0.5</v>
      </c>
    </row>
    <row r="445" spans="1:14" x14ac:dyDescent="0.2">
      <c r="A445" s="14">
        <f>[1]sales!A450</f>
        <v>46101</v>
      </c>
      <c r="B445" s="188">
        <f>[1]sales!B450</f>
        <v>0.74997685185185181</v>
      </c>
      <c r="C445" s="184" t="s">
        <v>49</v>
      </c>
      <c r="D445" s="14" t="str">
        <f>[1]sales!D450</f>
        <v>BEBIDA - Coca Cola</v>
      </c>
      <c r="E445" s="3">
        <f>+[1]sales!G450</f>
        <v>2</v>
      </c>
      <c r="F445" s="195">
        <f>+_xlfn.XLOOKUP(sales[[#This Row],[Fecha]],OPEX_SALES!A:A,OPEX_SALES!B:B)</f>
        <v>4</v>
      </c>
      <c r="G445" s="14" t="str">
        <f>+_xlfn.XLOOKUP(sales[[#This Row],[Fecha]],OPEX_SALES!A:A,OPEX_SALES!E:E)</f>
        <v>B) Viernes</v>
      </c>
      <c r="H445" s="14" t="str">
        <f>+TEXT(sales[[#This Row],[Fecha]],"ddd")</f>
        <v>vie</v>
      </c>
      <c r="I445" s="185">
        <f>+sales[[#This Row],[Venta]]-sales[[#This Row],[costo_venta]]</f>
        <v>3600</v>
      </c>
      <c r="J445" s="101">
        <f>[1]sales!K450</f>
        <v>6000</v>
      </c>
      <c r="K445" s="79">
        <f>[1]sales!I450</f>
        <v>6000</v>
      </c>
      <c r="L445" s="52">
        <f>[1]sales!J450</f>
        <v>0</v>
      </c>
      <c r="M445" s="1">
        <f>[1]sales!L450*sales[[#This Row],[cantidad]]</f>
        <v>2400</v>
      </c>
      <c r="N445" s="37">
        <f>+(sales[[#This Row],[Venta]]-sales[[#This Row],[costo_venta]])/sales[[#This Row],[Venta]]</f>
        <v>0.6</v>
      </c>
    </row>
    <row r="446" spans="1:14" x14ac:dyDescent="0.2">
      <c r="A446" s="14">
        <f>[1]sales!A451</f>
        <v>46101</v>
      </c>
      <c r="B446" s="188">
        <f>[1]sales!B451</f>
        <v>0.75557870370370372</v>
      </c>
      <c r="C446" s="184" t="s">
        <v>49</v>
      </c>
      <c r="D446" s="14" t="str">
        <f>[1]sales!D451</f>
        <v xml:space="preserve"> Chorizo con papa/arepa</v>
      </c>
      <c r="E446" s="3">
        <f>+[1]sales!G451</f>
        <v>2</v>
      </c>
      <c r="F446" s="195">
        <f>+_xlfn.XLOOKUP(sales[[#This Row],[Fecha]],OPEX_SALES!A:A,OPEX_SALES!B:B)</f>
        <v>4</v>
      </c>
      <c r="G446" s="14" t="str">
        <f>+_xlfn.XLOOKUP(sales[[#This Row],[Fecha]],OPEX_SALES!A:A,OPEX_SALES!E:E)</f>
        <v>B) Viernes</v>
      </c>
      <c r="H446" s="14" t="str">
        <f>+TEXT(sales[[#This Row],[Fecha]],"ddd")</f>
        <v>vie</v>
      </c>
      <c r="I446" s="185">
        <f>+sales[[#This Row],[Venta]]-sales[[#This Row],[costo_venta]]</f>
        <v>7320</v>
      </c>
      <c r="J446" s="101">
        <f>[1]sales!K451</f>
        <v>16000</v>
      </c>
      <c r="K446" s="79">
        <f>[1]sales!I451</f>
        <v>16000</v>
      </c>
      <c r="L446" s="52">
        <f>[1]sales!J451</f>
        <v>0</v>
      </c>
      <c r="M446" s="1">
        <f>[1]sales!L451*sales[[#This Row],[cantidad]]</f>
        <v>8680</v>
      </c>
      <c r="N446" s="37">
        <f>+(sales[[#This Row],[Venta]]-sales[[#This Row],[costo_venta]])/sales[[#This Row],[Venta]]</f>
        <v>0.45750000000000002</v>
      </c>
    </row>
    <row r="447" spans="1:14" x14ac:dyDescent="0.2">
      <c r="A447" s="14">
        <f>[1]sales!A452</f>
        <v>46101</v>
      </c>
      <c r="B447" s="188">
        <f>[1]sales!B452</f>
        <v>0.76745370370370369</v>
      </c>
      <c r="C447" s="184" t="s">
        <v>49</v>
      </c>
      <c r="D447" s="14" t="str">
        <f>[1]sales!D452</f>
        <v xml:space="preserve"> Chorizo con papa/arepa</v>
      </c>
      <c r="E447" s="3">
        <f>+[1]sales!G452</f>
        <v>1</v>
      </c>
      <c r="F447" s="195">
        <f>+_xlfn.XLOOKUP(sales[[#This Row],[Fecha]],OPEX_SALES!A:A,OPEX_SALES!B:B)</f>
        <v>4</v>
      </c>
      <c r="G447" s="14" t="str">
        <f>+_xlfn.XLOOKUP(sales[[#This Row],[Fecha]],OPEX_SALES!A:A,OPEX_SALES!E:E)</f>
        <v>B) Viernes</v>
      </c>
      <c r="H447" s="14" t="str">
        <f>+TEXT(sales[[#This Row],[Fecha]],"ddd")</f>
        <v>vie</v>
      </c>
      <c r="I447" s="185">
        <f>+sales[[#This Row],[Venta]]-sales[[#This Row],[costo_venta]]</f>
        <v>3660</v>
      </c>
      <c r="J447" s="101">
        <f>[1]sales!K452</f>
        <v>8000</v>
      </c>
      <c r="K447" s="79">
        <f>[1]sales!I452</f>
        <v>8000</v>
      </c>
      <c r="L447" s="52">
        <f>[1]sales!J452</f>
        <v>0</v>
      </c>
      <c r="M447" s="1">
        <f>[1]sales!L452*sales[[#This Row],[cantidad]]</f>
        <v>4340</v>
      </c>
      <c r="N447" s="37">
        <f>+(sales[[#This Row],[Venta]]-sales[[#This Row],[costo_venta]])/sales[[#This Row],[Venta]]</f>
        <v>0.45750000000000002</v>
      </c>
    </row>
    <row r="448" spans="1:14" x14ac:dyDescent="0.2">
      <c r="A448" s="14">
        <f>[1]sales!A453</f>
        <v>46101</v>
      </c>
      <c r="B448" s="188">
        <f>[1]sales!B453</f>
        <v>0.79473379629629626</v>
      </c>
      <c r="C448" s="184" t="s">
        <v>49</v>
      </c>
      <c r="D448" s="14" t="str">
        <f>[1]sales!D453</f>
        <v xml:space="preserve"> Chorizo con papa/arepa</v>
      </c>
      <c r="E448" s="3">
        <f>+[1]sales!G453</f>
        <v>2</v>
      </c>
      <c r="F448" s="195">
        <f>+_xlfn.XLOOKUP(sales[[#This Row],[Fecha]],OPEX_SALES!A:A,OPEX_SALES!B:B)</f>
        <v>4</v>
      </c>
      <c r="G448" s="14" t="str">
        <f>+_xlfn.XLOOKUP(sales[[#This Row],[Fecha]],OPEX_SALES!A:A,OPEX_SALES!E:E)</f>
        <v>B) Viernes</v>
      </c>
      <c r="H448" s="14" t="str">
        <f>+TEXT(sales[[#This Row],[Fecha]],"ddd")</f>
        <v>vie</v>
      </c>
      <c r="I448" s="185">
        <f>+sales[[#This Row],[Venta]]-sales[[#This Row],[costo_venta]]</f>
        <v>7320</v>
      </c>
      <c r="J448" s="101">
        <f>[1]sales!K453</f>
        <v>16000</v>
      </c>
      <c r="K448" s="79">
        <f>[1]sales!I453</f>
        <v>0</v>
      </c>
      <c r="L448" s="52">
        <f>[1]sales!J453</f>
        <v>16000</v>
      </c>
      <c r="M448" s="1">
        <f>[1]sales!L453*sales[[#This Row],[cantidad]]</f>
        <v>8680</v>
      </c>
      <c r="N448" s="37">
        <f>+(sales[[#This Row],[Venta]]-sales[[#This Row],[costo_venta]])/sales[[#This Row],[Venta]]</f>
        <v>0.45750000000000002</v>
      </c>
    </row>
  </sheetData>
  <conditionalFormatting sqref="F2:F448">
    <cfRule type="containsText" dxfId="23" priority="138" operator="containsText" text="D) Domingo">
      <formula>NOT(ISERROR(SEARCH("D) Domingo",F2)))</formula>
    </cfRule>
    <cfRule type="containsText" dxfId="22" priority="139" operator="containsText" text="viernes">
      <formula>NOT(ISERROR(SEARCH("viernes",F2)))</formula>
    </cfRule>
  </conditionalFormatting>
  <conditionalFormatting sqref="G2:G448">
    <cfRule type="containsText" dxfId="21" priority="1" operator="containsText" text="E) Festivo">
      <formula>NOT(ISERROR(SEARCH("E) Festivo",G2)))</formula>
    </cfRule>
    <cfRule type="containsText" dxfId="20" priority="2" operator="containsText" text="B) Viernes">
      <formula>NOT(ISERROR(SEARCH("B) Viernes",G2)))</formula>
    </cfRule>
    <cfRule type="containsText" dxfId="19" priority="3" operator="containsText" text="D) Domingo">
      <formula>NOT(ISERROR(SEARCH("D) Domingo",G2)))</formula>
    </cfRule>
    <cfRule type="containsText" dxfId="18" priority="4" operator="containsText" text="C) Sábado">
      <formula>NOT(ISERROR(SEARCH("C) Sábado",G2)))</formula>
    </cfRule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C1B10-143D-494A-B1FB-B9C376907241}">
  <sheetPr>
    <tabColor rgb="FFFFFFA3"/>
  </sheetPr>
  <dimension ref="A1:D35"/>
  <sheetViews>
    <sheetView workbookViewId="0">
      <selection activeCell="B4" sqref="B4"/>
    </sheetView>
  </sheetViews>
  <sheetFormatPr baseColWidth="10" defaultRowHeight="14.25" x14ac:dyDescent="0.2"/>
  <cols>
    <col min="1" max="1" width="28.625" bestFit="1" customWidth="1"/>
  </cols>
  <sheetData>
    <row r="1" spans="1:4" x14ac:dyDescent="0.2">
      <c r="C1" t="s">
        <v>260</v>
      </c>
      <c r="D1" t="s">
        <v>262</v>
      </c>
    </row>
    <row r="2" spans="1:4" x14ac:dyDescent="0.2">
      <c r="A2" s="108" t="s">
        <v>189</v>
      </c>
      <c r="B2" t="s">
        <v>261</v>
      </c>
      <c r="C2">
        <v>3500</v>
      </c>
      <c r="D2">
        <v>300</v>
      </c>
    </row>
    <row r="3" spans="1:4" x14ac:dyDescent="0.2">
      <c r="A3" s="149" t="s">
        <v>229</v>
      </c>
      <c r="B3">
        <f>+SUMPRODUCT(C3:D3,C$2:D$2)</f>
        <v>3500</v>
      </c>
      <c r="C3">
        <v>1</v>
      </c>
      <c r="D3">
        <v>0</v>
      </c>
    </row>
    <row r="4" spans="1:4" x14ac:dyDescent="0.2">
      <c r="A4" s="149" t="s">
        <v>228</v>
      </c>
      <c r="B4">
        <f t="shared" ref="B4:B35" si="0">+SUMPRODUCT(C4:D4,C$2:D$2)</f>
        <v>3500</v>
      </c>
      <c r="C4">
        <v>1</v>
      </c>
    </row>
    <row r="5" spans="1:4" x14ac:dyDescent="0.2">
      <c r="A5" s="149" t="s">
        <v>239</v>
      </c>
      <c r="B5">
        <f t="shared" si="0"/>
        <v>3500</v>
      </c>
      <c r="C5">
        <v>1</v>
      </c>
    </row>
    <row r="6" spans="1:4" x14ac:dyDescent="0.2">
      <c r="A6" s="150" t="s">
        <v>235</v>
      </c>
      <c r="B6">
        <f t="shared" si="0"/>
        <v>3500</v>
      </c>
      <c r="C6">
        <v>1</v>
      </c>
    </row>
    <row r="7" spans="1:4" x14ac:dyDescent="0.2">
      <c r="A7" s="150" t="s">
        <v>251</v>
      </c>
      <c r="B7">
        <f t="shared" si="0"/>
        <v>3500</v>
      </c>
      <c r="C7">
        <v>1</v>
      </c>
    </row>
    <row r="8" spans="1:4" x14ac:dyDescent="0.2">
      <c r="A8" s="149" t="s">
        <v>258</v>
      </c>
      <c r="B8">
        <f t="shared" si="0"/>
        <v>0</v>
      </c>
    </row>
    <row r="9" spans="1:4" x14ac:dyDescent="0.2">
      <c r="A9" s="149" t="s">
        <v>237</v>
      </c>
      <c r="B9">
        <f t="shared" si="0"/>
        <v>0</v>
      </c>
    </row>
    <row r="10" spans="1:4" x14ac:dyDescent="0.2">
      <c r="A10" s="150" t="s">
        <v>227</v>
      </c>
      <c r="B10">
        <f t="shared" si="0"/>
        <v>0</v>
      </c>
    </row>
    <row r="11" spans="1:4" x14ac:dyDescent="0.2">
      <c r="A11" s="150" t="s">
        <v>234</v>
      </c>
      <c r="B11">
        <f t="shared" si="0"/>
        <v>0</v>
      </c>
    </row>
    <row r="12" spans="1:4" x14ac:dyDescent="0.2">
      <c r="A12" s="150" t="s">
        <v>232</v>
      </c>
      <c r="B12">
        <f t="shared" si="0"/>
        <v>0</v>
      </c>
    </row>
    <row r="13" spans="1:4" x14ac:dyDescent="0.2">
      <c r="A13" s="149" t="s">
        <v>231</v>
      </c>
      <c r="B13">
        <f t="shared" si="0"/>
        <v>0</v>
      </c>
    </row>
    <row r="14" spans="1:4" x14ac:dyDescent="0.2">
      <c r="A14" s="149" t="s">
        <v>257</v>
      </c>
      <c r="B14">
        <f t="shared" si="0"/>
        <v>0</v>
      </c>
    </row>
    <row r="15" spans="1:4" x14ac:dyDescent="0.2">
      <c r="A15" s="150" t="s">
        <v>256</v>
      </c>
      <c r="B15">
        <f t="shared" si="0"/>
        <v>0</v>
      </c>
    </row>
    <row r="16" spans="1:4" x14ac:dyDescent="0.2">
      <c r="A16" s="149" t="s">
        <v>250</v>
      </c>
      <c r="B16">
        <f t="shared" si="0"/>
        <v>0</v>
      </c>
    </row>
    <row r="17" spans="1:3" x14ac:dyDescent="0.2">
      <c r="A17" s="150" t="s">
        <v>246</v>
      </c>
      <c r="B17">
        <f t="shared" si="0"/>
        <v>0</v>
      </c>
    </row>
    <row r="18" spans="1:3" x14ac:dyDescent="0.2">
      <c r="A18" s="149" t="s">
        <v>255</v>
      </c>
      <c r="B18">
        <f t="shared" si="0"/>
        <v>0</v>
      </c>
    </row>
    <row r="19" spans="1:3" x14ac:dyDescent="0.2">
      <c r="A19" s="150" t="s">
        <v>259</v>
      </c>
      <c r="B19">
        <f t="shared" si="0"/>
        <v>0</v>
      </c>
    </row>
    <row r="20" spans="1:3" x14ac:dyDescent="0.2">
      <c r="A20" s="150" t="s">
        <v>236</v>
      </c>
      <c r="B20">
        <f t="shared" si="0"/>
        <v>3500</v>
      </c>
      <c r="C20">
        <v>1</v>
      </c>
    </row>
    <row r="21" spans="1:3" x14ac:dyDescent="0.2">
      <c r="A21" s="149" t="s">
        <v>233</v>
      </c>
      <c r="B21">
        <f t="shared" si="0"/>
        <v>0</v>
      </c>
    </row>
    <row r="22" spans="1:3" x14ac:dyDescent="0.2">
      <c r="A22" s="150" t="s">
        <v>254</v>
      </c>
      <c r="B22">
        <f t="shared" si="0"/>
        <v>0</v>
      </c>
    </row>
    <row r="23" spans="1:3" x14ac:dyDescent="0.2">
      <c r="A23" s="150" t="s">
        <v>245</v>
      </c>
      <c r="B23">
        <f t="shared" si="0"/>
        <v>0</v>
      </c>
    </row>
    <row r="24" spans="1:3" x14ac:dyDescent="0.2">
      <c r="A24" s="150" t="s">
        <v>253</v>
      </c>
      <c r="B24">
        <f t="shared" si="0"/>
        <v>0</v>
      </c>
    </row>
    <row r="25" spans="1:3" x14ac:dyDescent="0.2">
      <c r="A25" s="150" t="s">
        <v>238</v>
      </c>
      <c r="B25">
        <f t="shared" si="0"/>
        <v>0</v>
      </c>
    </row>
    <row r="26" spans="1:3" x14ac:dyDescent="0.2">
      <c r="A26" s="149" t="s">
        <v>243</v>
      </c>
      <c r="B26">
        <f t="shared" si="0"/>
        <v>0</v>
      </c>
    </row>
    <row r="27" spans="1:3" x14ac:dyDescent="0.2">
      <c r="A27" s="149" t="s">
        <v>241</v>
      </c>
      <c r="B27">
        <f t="shared" si="0"/>
        <v>0</v>
      </c>
    </row>
    <row r="28" spans="1:3" x14ac:dyDescent="0.2">
      <c r="A28" s="149" t="s">
        <v>249</v>
      </c>
      <c r="B28">
        <f t="shared" si="0"/>
        <v>0</v>
      </c>
    </row>
    <row r="29" spans="1:3" x14ac:dyDescent="0.2">
      <c r="A29" s="150" t="s">
        <v>242</v>
      </c>
      <c r="B29">
        <f t="shared" si="0"/>
        <v>0</v>
      </c>
    </row>
    <row r="30" spans="1:3" x14ac:dyDescent="0.2">
      <c r="A30" s="150" t="s">
        <v>252</v>
      </c>
      <c r="B30">
        <f t="shared" si="0"/>
        <v>0</v>
      </c>
    </row>
    <row r="31" spans="1:3" x14ac:dyDescent="0.2">
      <c r="A31" s="150" t="s">
        <v>248</v>
      </c>
      <c r="B31">
        <f t="shared" si="0"/>
        <v>0</v>
      </c>
    </row>
    <row r="32" spans="1:3" x14ac:dyDescent="0.2">
      <c r="A32" s="150" t="s">
        <v>247</v>
      </c>
      <c r="B32">
        <f t="shared" si="0"/>
        <v>0</v>
      </c>
    </row>
    <row r="33" spans="1:3" x14ac:dyDescent="0.2">
      <c r="A33" s="150" t="s">
        <v>240</v>
      </c>
      <c r="B33">
        <f t="shared" si="0"/>
        <v>0</v>
      </c>
    </row>
    <row r="34" spans="1:3" x14ac:dyDescent="0.2">
      <c r="A34" s="149" t="s">
        <v>230</v>
      </c>
      <c r="B34">
        <f t="shared" si="0"/>
        <v>3500</v>
      </c>
      <c r="C34">
        <v>1</v>
      </c>
    </row>
    <row r="35" spans="1:3" x14ac:dyDescent="0.2">
      <c r="A35" s="150" t="s">
        <v>244</v>
      </c>
      <c r="B35">
        <f t="shared" si="0"/>
        <v>0</v>
      </c>
    </row>
  </sheetData>
  <autoFilter ref="A2:A449" xr:uid="{08EC1B10-143D-494A-B1FB-B9C376907241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42D73-6CF5-4CA1-8E00-F8FEBA11727B}">
  <sheetPr>
    <tabColor rgb="FFFFFFA3"/>
  </sheetPr>
  <dimension ref="A1:D150"/>
  <sheetViews>
    <sheetView workbookViewId="0">
      <selection activeCell="A3" sqref="A3"/>
    </sheetView>
  </sheetViews>
  <sheetFormatPr baseColWidth="10" defaultRowHeight="14.25" x14ac:dyDescent="0.2"/>
  <cols>
    <col min="1" max="1" width="15.375" bestFit="1" customWidth="1"/>
    <col min="2" max="2" width="12.75" bestFit="1" customWidth="1"/>
    <col min="3" max="3" width="10.875" bestFit="1" customWidth="1"/>
    <col min="4" max="4" width="17" bestFit="1" customWidth="1"/>
  </cols>
  <sheetData>
    <row r="1" spans="1:4" x14ac:dyDescent="0.2">
      <c r="A1" s="15" t="s">
        <v>202</v>
      </c>
      <c r="B1" t="s">
        <v>170</v>
      </c>
      <c r="C1" t="s">
        <v>225</v>
      </c>
    </row>
    <row r="2" spans="1:4" x14ac:dyDescent="0.2">
      <c r="A2" s="170">
        <v>46076</v>
      </c>
      <c r="B2" s="1">
        <v>225000</v>
      </c>
      <c r="C2" s="1">
        <v>90000</v>
      </c>
      <c r="D2" s="53" t="s">
        <v>134</v>
      </c>
    </row>
    <row r="3" spans="1:4" x14ac:dyDescent="0.2">
      <c r="A3" s="170">
        <v>46077</v>
      </c>
      <c r="B3" s="1">
        <v>221500</v>
      </c>
      <c r="C3" s="1">
        <v>88600</v>
      </c>
      <c r="D3" s="53" t="s">
        <v>134</v>
      </c>
    </row>
    <row r="4" spans="1:4" x14ac:dyDescent="0.2">
      <c r="A4" s="170">
        <v>46078</v>
      </c>
      <c r="B4" s="1">
        <v>390500</v>
      </c>
      <c r="C4" s="1">
        <v>156200</v>
      </c>
      <c r="D4" s="53" t="s">
        <v>134</v>
      </c>
    </row>
    <row r="5" spans="1:4" x14ac:dyDescent="0.2">
      <c r="A5" s="170">
        <v>46079</v>
      </c>
      <c r="B5" s="1">
        <v>209000</v>
      </c>
      <c r="C5" s="1">
        <v>83600</v>
      </c>
      <c r="D5" s="53" t="s">
        <v>134</v>
      </c>
    </row>
    <row r="6" spans="1:4" x14ac:dyDescent="0.2">
      <c r="A6" s="170">
        <v>46080</v>
      </c>
      <c r="B6" s="1">
        <v>248500</v>
      </c>
      <c r="C6" s="1">
        <v>99400</v>
      </c>
      <c r="D6" s="53" t="s">
        <v>134</v>
      </c>
    </row>
    <row r="7" spans="1:4" x14ac:dyDescent="0.2">
      <c r="A7" s="170">
        <v>46081</v>
      </c>
      <c r="B7" s="1">
        <v>504000</v>
      </c>
      <c r="C7" s="1">
        <v>201600</v>
      </c>
      <c r="D7" s="53" t="s">
        <v>134</v>
      </c>
    </row>
    <row r="8" spans="1:4" x14ac:dyDescent="0.2">
      <c r="A8" s="170">
        <v>46083</v>
      </c>
      <c r="B8" s="1">
        <v>60000</v>
      </c>
      <c r="C8" s="1">
        <v>24000</v>
      </c>
      <c r="D8" s="53" t="s">
        <v>134</v>
      </c>
    </row>
    <row r="9" spans="1:4" x14ac:dyDescent="0.2">
      <c r="A9" s="170">
        <v>46084</v>
      </c>
      <c r="B9" s="1">
        <v>169000</v>
      </c>
      <c r="C9" s="1">
        <v>67600</v>
      </c>
      <c r="D9" s="53" t="s">
        <v>134</v>
      </c>
    </row>
    <row r="10" spans="1:4" x14ac:dyDescent="0.2">
      <c r="A10" s="170">
        <v>46085</v>
      </c>
      <c r="B10" s="1">
        <v>344000</v>
      </c>
      <c r="C10" s="1">
        <v>137600</v>
      </c>
      <c r="D10" s="53" t="s">
        <v>134</v>
      </c>
    </row>
    <row r="11" spans="1:4" x14ac:dyDescent="0.2">
      <c r="A11" s="170">
        <v>46086</v>
      </c>
      <c r="B11" s="1">
        <v>259000</v>
      </c>
      <c r="C11" s="1">
        <v>103600</v>
      </c>
      <c r="D11" s="53" t="s">
        <v>134</v>
      </c>
    </row>
    <row r="12" spans="1:4" x14ac:dyDescent="0.2">
      <c r="A12" s="170">
        <v>46088</v>
      </c>
      <c r="B12" s="1">
        <v>298500</v>
      </c>
      <c r="C12" s="1">
        <v>119400</v>
      </c>
      <c r="D12" s="53" t="s">
        <v>134</v>
      </c>
    </row>
    <row r="13" spans="1:4" x14ac:dyDescent="0.2">
      <c r="A13" s="170">
        <v>46089</v>
      </c>
      <c r="B13" s="1">
        <v>219500</v>
      </c>
      <c r="C13" s="1">
        <v>87800</v>
      </c>
      <c r="D13" s="53" t="s">
        <v>134</v>
      </c>
    </row>
    <row r="14" spans="1:4" x14ac:dyDescent="0.2">
      <c r="A14" s="170">
        <v>46090</v>
      </c>
      <c r="B14" s="1">
        <v>248500</v>
      </c>
      <c r="C14" s="1">
        <v>99400</v>
      </c>
      <c r="D14" s="53" t="s">
        <v>134</v>
      </c>
    </row>
    <row r="15" spans="1:4" x14ac:dyDescent="0.2">
      <c r="A15" s="170">
        <v>46091</v>
      </c>
      <c r="B15" s="1">
        <v>94000</v>
      </c>
      <c r="C15" s="1">
        <v>37600</v>
      </c>
      <c r="D15" s="53" t="s">
        <v>134</v>
      </c>
    </row>
    <row r="16" spans="1:4" x14ac:dyDescent="0.2">
      <c r="A16" s="170">
        <v>46092</v>
      </c>
      <c r="B16" s="1">
        <v>473500</v>
      </c>
      <c r="C16" s="1">
        <v>189400</v>
      </c>
      <c r="D16" s="53" t="s">
        <v>134</v>
      </c>
    </row>
    <row r="17" spans="1:4" x14ac:dyDescent="0.2">
      <c r="A17" s="170">
        <v>46093</v>
      </c>
      <c r="B17" s="1">
        <v>243000</v>
      </c>
      <c r="C17" s="1">
        <v>97200</v>
      </c>
      <c r="D17" s="53" t="s">
        <v>134</v>
      </c>
    </row>
    <row r="18" spans="1:4" x14ac:dyDescent="0.2">
      <c r="A18" s="170">
        <v>46094</v>
      </c>
      <c r="B18" s="1">
        <v>132500</v>
      </c>
      <c r="C18" s="1">
        <v>53000</v>
      </c>
      <c r="D18" s="53" t="s">
        <v>134</v>
      </c>
    </row>
    <row r="19" spans="1:4" x14ac:dyDescent="0.2">
      <c r="A19" s="170">
        <v>46095</v>
      </c>
      <c r="B19" s="1">
        <v>392500</v>
      </c>
      <c r="C19" s="1">
        <v>157000</v>
      </c>
      <c r="D19" s="53" t="s">
        <v>134</v>
      </c>
    </row>
    <row r="20" spans="1:4" x14ac:dyDescent="0.2">
      <c r="A20" s="170">
        <v>46096</v>
      </c>
      <c r="B20" s="1">
        <v>118000</v>
      </c>
      <c r="C20" s="1">
        <v>47200</v>
      </c>
      <c r="D20" s="53" t="s">
        <v>134</v>
      </c>
    </row>
    <row r="21" spans="1:4" x14ac:dyDescent="0.2">
      <c r="A21" s="170">
        <v>46097</v>
      </c>
      <c r="B21" s="1">
        <v>124000</v>
      </c>
      <c r="C21" s="1">
        <v>49600</v>
      </c>
      <c r="D21" s="53" t="s">
        <v>134</v>
      </c>
    </row>
    <row r="22" spans="1:4" x14ac:dyDescent="0.2">
      <c r="A22" s="170">
        <v>46098</v>
      </c>
      <c r="B22" s="1">
        <v>314000</v>
      </c>
      <c r="C22" s="1">
        <v>125600</v>
      </c>
      <c r="D22" s="53" t="s">
        <v>134</v>
      </c>
    </row>
    <row r="23" spans="1:4" x14ac:dyDescent="0.2">
      <c r="A23" s="170">
        <v>46099</v>
      </c>
      <c r="B23" s="1">
        <v>149000</v>
      </c>
      <c r="C23" s="1">
        <v>59600</v>
      </c>
      <c r="D23" s="53" t="s">
        <v>134</v>
      </c>
    </row>
    <row r="24" spans="1:4" x14ac:dyDescent="0.2">
      <c r="A24" s="170">
        <v>46100</v>
      </c>
      <c r="B24" s="1">
        <v>388900</v>
      </c>
      <c r="C24" s="1">
        <v>155560</v>
      </c>
      <c r="D24" s="53" t="s">
        <v>134</v>
      </c>
    </row>
    <row r="25" spans="1:4" x14ac:dyDescent="0.2">
      <c r="A25" s="170">
        <v>46101</v>
      </c>
      <c r="B25" s="1">
        <v>172700</v>
      </c>
      <c r="C25" s="1">
        <v>69080</v>
      </c>
      <c r="D25" s="53" t="s">
        <v>134</v>
      </c>
    </row>
    <row r="26" spans="1:4" x14ac:dyDescent="0.2">
      <c r="A26" s="170">
        <v>46103</v>
      </c>
      <c r="B26" s="1">
        <v>11000</v>
      </c>
      <c r="C26" s="1">
        <v>4400</v>
      </c>
      <c r="D26" s="53" t="s">
        <v>134</v>
      </c>
    </row>
    <row r="27" spans="1:4" x14ac:dyDescent="0.2">
      <c r="D27" s="53" t="s">
        <v>134</v>
      </c>
    </row>
    <row r="28" spans="1:4" x14ac:dyDescent="0.2">
      <c r="D28" s="53" t="s">
        <v>134</v>
      </c>
    </row>
    <row r="29" spans="1:4" x14ac:dyDescent="0.2">
      <c r="D29" s="53" t="s">
        <v>134</v>
      </c>
    </row>
    <row r="30" spans="1:4" x14ac:dyDescent="0.2">
      <c r="D30" s="53" t="s">
        <v>134</v>
      </c>
    </row>
    <row r="31" spans="1:4" x14ac:dyDescent="0.2">
      <c r="D31" s="53" t="s">
        <v>134</v>
      </c>
    </row>
    <row r="32" spans="1:4" x14ac:dyDescent="0.2">
      <c r="D32" s="53" t="s">
        <v>134</v>
      </c>
    </row>
    <row r="33" spans="4:4" x14ac:dyDescent="0.2">
      <c r="D33" s="53" t="s">
        <v>134</v>
      </c>
    </row>
    <row r="34" spans="4:4" x14ac:dyDescent="0.2">
      <c r="D34" s="53" t="s">
        <v>134</v>
      </c>
    </row>
    <row r="35" spans="4:4" x14ac:dyDescent="0.2">
      <c r="D35" s="53" t="s">
        <v>134</v>
      </c>
    </row>
    <row r="36" spans="4:4" x14ac:dyDescent="0.2">
      <c r="D36" s="53" t="s">
        <v>134</v>
      </c>
    </row>
    <row r="37" spans="4:4" x14ac:dyDescent="0.2">
      <c r="D37" s="53" t="s">
        <v>134</v>
      </c>
    </row>
    <row r="38" spans="4:4" x14ac:dyDescent="0.2">
      <c r="D38" s="53" t="s">
        <v>134</v>
      </c>
    </row>
    <row r="39" spans="4:4" x14ac:dyDescent="0.2">
      <c r="D39" s="53" t="s">
        <v>134</v>
      </c>
    </row>
    <row r="40" spans="4:4" x14ac:dyDescent="0.2">
      <c r="D40" s="53" t="s">
        <v>134</v>
      </c>
    </row>
    <row r="41" spans="4:4" x14ac:dyDescent="0.2">
      <c r="D41" s="53" t="s">
        <v>134</v>
      </c>
    </row>
    <row r="42" spans="4:4" x14ac:dyDescent="0.2">
      <c r="D42" s="53" t="s">
        <v>134</v>
      </c>
    </row>
    <row r="43" spans="4:4" x14ac:dyDescent="0.2">
      <c r="D43" s="53" t="s">
        <v>134</v>
      </c>
    </row>
    <row r="44" spans="4:4" x14ac:dyDescent="0.2">
      <c r="D44" s="53" t="s">
        <v>134</v>
      </c>
    </row>
    <row r="45" spans="4:4" x14ac:dyDescent="0.2">
      <c r="D45" s="53" t="s">
        <v>134</v>
      </c>
    </row>
    <row r="46" spans="4:4" x14ac:dyDescent="0.2">
      <c r="D46" s="53" t="s">
        <v>134</v>
      </c>
    </row>
    <row r="47" spans="4:4" x14ac:dyDescent="0.2">
      <c r="D47" s="53" t="s">
        <v>134</v>
      </c>
    </row>
    <row r="48" spans="4:4" x14ac:dyDescent="0.2">
      <c r="D48" s="53" t="s">
        <v>134</v>
      </c>
    </row>
    <row r="49" spans="4:4" x14ac:dyDescent="0.2">
      <c r="D49" s="53" t="s">
        <v>134</v>
      </c>
    </row>
    <row r="50" spans="4:4" x14ac:dyDescent="0.2">
      <c r="D50" s="53" t="s">
        <v>134</v>
      </c>
    </row>
    <row r="51" spans="4:4" x14ac:dyDescent="0.2">
      <c r="D51" s="53" t="s">
        <v>134</v>
      </c>
    </row>
    <row r="52" spans="4:4" x14ac:dyDescent="0.2">
      <c r="D52" s="53" t="s">
        <v>134</v>
      </c>
    </row>
    <row r="53" spans="4:4" x14ac:dyDescent="0.2">
      <c r="D53" s="53" t="s">
        <v>134</v>
      </c>
    </row>
    <row r="54" spans="4:4" x14ac:dyDescent="0.2">
      <c r="D54" s="53" t="s">
        <v>134</v>
      </c>
    </row>
    <row r="55" spans="4:4" x14ac:dyDescent="0.2">
      <c r="D55" s="53" t="s">
        <v>134</v>
      </c>
    </row>
    <row r="56" spans="4:4" x14ac:dyDescent="0.2">
      <c r="D56" s="53" t="s">
        <v>134</v>
      </c>
    </row>
    <row r="57" spans="4:4" x14ac:dyDescent="0.2">
      <c r="D57" s="53" t="s">
        <v>134</v>
      </c>
    </row>
    <row r="58" spans="4:4" x14ac:dyDescent="0.2">
      <c r="D58" s="53" t="s">
        <v>134</v>
      </c>
    </row>
    <row r="59" spans="4:4" x14ac:dyDescent="0.2">
      <c r="D59" s="53" t="s">
        <v>134</v>
      </c>
    </row>
    <row r="60" spans="4:4" x14ac:dyDescent="0.2">
      <c r="D60" s="53" t="s">
        <v>134</v>
      </c>
    </row>
    <row r="61" spans="4:4" x14ac:dyDescent="0.2">
      <c r="D61" s="53" t="s">
        <v>134</v>
      </c>
    </row>
    <row r="62" spans="4:4" x14ac:dyDescent="0.2">
      <c r="D62" s="53" t="s">
        <v>134</v>
      </c>
    </row>
    <row r="63" spans="4:4" x14ac:dyDescent="0.2">
      <c r="D63" s="53" t="s">
        <v>134</v>
      </c>
    </row>
    <row r="64" spans="4:4" x14ac:dyDescent="0.2">
      <c r="D64" s="53" t="s">
        <v>134</v>
      </c>
    </row>
    <row r="65" spans="4:4" x14ac:dyDescent="0.2">
      <c r="D65" s="53" t="s">
        <v>134</v>
      </c>
    </row>
    <row r="66" spans="4:4" x14ac:dyDescent="0.2">
      <c r="D66" s="53" t="s">
        <v>134</v>
      </c>
    </row>
    <row r="67" spans="4:4" x14ac:dyDescent="0.2">
      <c r="D67" s="53" t="s">
        <v>134</v>
      </c>
    </row>
    <row r="68" spans="4:4" x14ac:dyDescent="0.2">
      <c r="D68" s="53" t="s">
        <v>134</v>
      </c>
    </row>
    <row r="69" spans="4:4" x14ac:dyDescent="0.2">
      <c r="D69" s="53" t="s">
        <v>134</v>
      </c>
    </row>
    <row r="70" spans="4:4" x14ac:dyDescent="0.2">
      <c r="D70" s="53" t="s">
        <v>134</v>
      </c>
    </row>
    <row r="71" spans="4:4" x14ac:dyDescent="0.2">
      <c r="D71" s="53" t="s">
        <v>134</v>
      </c>
    </row>
    <row r="72" spans="4:4" x14ac:dyDescent="0.2">
      <c r="D72" s="53" t="s">
        <v>134</v>
      </c>
    </row>
    <row r="73" spans="4:4" x14ac:dyDescent="0.2">
      <c r="D73" s="53" t="s">
        <v>134</v>
      </c>
    </row>
    <row r="74" spans="4:4" x14ac:dyDescent="0.2">
      <c r="D74" s="53" t="s">
        <v>134</v>
      </c>
    </row>
    <row r="75" spans="4:4" x14ac:dyDescent="0.2">
      <c r="D75" s="53" t="s">
        <v>134</v>
      </c>
    </row>
    <row r="76" spans="4:4" x14ac:dyDescent="0.2">
      <c r="D76" s="53" t="s">
        <v>134</v>
      </c>
    </row>
    <row r="77" spans="4:4" x14ac:dyDescent="0.2">
      <c r="D77" s="53" t="s">
        <v>134</v>
      </c>
    </row>
    <row r="78" spans="4:4" x14ac:dyDescent="0.2">
      <c r="D78" s="53" t="s">
        <v>134</v>
      </c>
    </row>
    <row r="79" spans="4:4" x14ac:dyDescent="0.2">
      <c r="D79" s="53" t="s">
        <v>134</v>
      </c>
    </row>
    <row r="80" spans="4:4" x14ac:dyDescent="0.2">
      <c r="D80" s="53" t="s">
        <v>134</v>
      </c>
    </row>
    <row r="81" spans="4:4" x14ac:dyDescent="0.2">
      <c r="D81" s="53" t="s">
        <v>134</v>
      </c>
    </row>
    <row r="82" spans="4:4" x14ac:dyDescent="0.2">
      <c r="D82" s="53" t="s">
        <v>134</v>
      </c>
    </row>
    <row r="83" spans="4:4" x14ac:dyDescent="0.2">
      <c r="D83" s="53" t="s">
        <v>134</v>
      </c>
    </row>
    <row r="84" spans="4:4" x14ac:dyDescent="0.2">
      <c r="D84" s="53" t="s">
        <v>134</v>
      </c>
    </row>
    <row r="85" spans="4:4" x14ac:dyDescent="0.2">
      <c r="D85" s="53" t="s">
        <v>134</v>
      </c>
    </row>
    <row r="86" spans="4:4" x14ac:dyDescent="0.2">
      <c r="D86" s="53" t="s">
        <v>134</v>
      </c>
    </row>
    <row r="87" spans="4:4" x14ac:dyDescent="0.2">
      <c r="D87" s="53" t="s">
        <v>134</v>
      </c>
    </row>
    <row r="88" spans="4:4" x14ac:dyDescent="0.2">
      <c r="D88" s="53" t="s">
        <v>134</v>
      </c>
    </row>
    <row r="89" spans="4:4" x14ac:dyDescent="0.2">
      <c r="D89" s="53" t="s">
        <v>134</v>
      </c>
    </row>
    <row r="90" spans="4:4" x14ac:dyDescent="0.2">
      <c r="D90" s="53" t="s">
        <v>134</v>
      </c>
    </row>
    <row r="91" spans="4:4" x14ac:dyDescent="0.2">
      <c r="D91" s="53" t="s">
        <v>134</v>
      </c>
    </row>
    <row r="92" spans="4:4" x14ac:dyDescent="0.2">
      <c r="D92" s="53" t="s">
        <v>134</v>
      </c>
    </row>
    <row r="93" spans="4:4" x14ac:dyDescent="0.2">
      <c r="D93" s="53" t="s">
        <v>134</v>
      </c>
    </row>
    <row r="94" spans="4:4" x14ac:dyDescent="0.2">
      <c r="D94" s="53" t="s">
        <v>134</v>
      </c>
    </row>
    <row r="95" spans="4:4" x14ac:dyDescent="0.2">
      <c r="D95" s="53" t="s">
        <v>134</v>
      </c>
    </row>
    <row r="96" spans="4:4" x14ac:dyDescent="0.2">
      <c r="D96" s="53" t="s">
        <v>134</v>
      </c>
    </row>
    <row r="97" spans="4:4" x14ac:dyDescent="0.2">
      <c r="D97" s="53" t="s">
        <v>134</v>
      </c>
    </row>
    <row r="98" spans="4:4" x14ac:dyDescent="0.2">
      <c r="D98" s="53" t="s">
        <v>134</v>
      </c>
    </row>
    <row r="99" spans="4:4" x14ac:dyDescent="0.2">
      <c r="D99" s="53" t="s">
        <v>134</v>
      </c>
    </row>
    <row r="100" spans="4:4" x14ac:dyDescent="0.2">
      <c r="D100" s="53" t="s">
        <v>134</v>
      </c>
    </row>
    <row r="101" spans="4:4" x14ac:dyDescent="0.2">
      <c r="D101" s="53" t="s">
        <v>134</v>
      </c>
    </row>
    <row r="102" spans="4:4" x14ac:dyDescent="0.2">
      <c r="D102" s="53" t="s">
        <v>134</v>
      </c>
    </row>
    <row r="103" spans="4:4" x14ac:dyDescent="0.2">
      <c r="D103" s="53" t="s">
        <v>134</v>
      </c>
    </row>
    <row r="104" spans="4:4" x14ac:dyDescent="0.2">
      <c r="D104" s="53" t="s">
        <v>134</v>
      </c>
    </row>
    <row r="105" spans="4:4" x14ac:dyDescent="0.2">
      <c r="D105" s="53" t="s">
        <v>134</v>
      </c>
    </row>
    <row r="106" spans="4:4" x14ac:dyDescent="0.2">
      <c r="D106" s="53" t="s">
        <v>134</v>
      </c>
    </row>
    <row r="107" spans="4:4" x14ac:dyDescent="0.2">
      <c r="D107" s="53" t="s">
        <v>134</v>
      </c>
    </row>
    <row r="108" spans="4:4" x14ac:dyDescent="0.2">
      <c r="D108" s="53" t="s">
        <v>134</v>
      </c>
    </row>
    <row r="109" spans="4:4" x14ac:dyDescent="0.2">
      <c r="D109" s="53" t="s">
        <v>134</v>
      </c>
    </row>
    <row r="110" spans="4:4" x14ac:dyDescent="0.2">
      <c r="D110" s="53" t="s">
        <v>134</v>
      </c>
    </row>
    <row r="111" spans="4:4" x14ac:dyDescent="0.2">
      <c r="D111" s="53" t="s">
        <v>134</v>
      </c>
    </row>
    <row r="112" spans="4:4" x14ac:dyDescent="0.2">
      <c r="D112" s="53" t="s">
        <v>134</v>
      </c>
    </row>
    <row r="113" spans="4:4" x14ac:dyDescent="0.2">
      <c r="D113" s="53" t="s">
        <v>134</v>
      </c>
    </row>
    <row r="114" spans="4:4" x14ac:dyDescent="0.2">
      <c r="D114" s="53" t="s">
        <v>134</v>
      </c>
    </row>
    <row r="115" spans="4:4" x14ac:dyDescent="0.2">
      <c r="D115" s="53" t="s">
        <v>134</v>
      </c>
    </row>
    <row r="116" spans="4:4" x14ac:dyDescent="0.2">
      <c r="D116" s="53" t="s">
        <v>134</v>
      </c>
    </row>
    <row r="117" spans="4:4" x14ac:dyDescent="0.2">
      <c r="D117" s="53" t="s">
        <v>134</v>
      </c>
    </row>
    <row r="118" spans="4:4" x14ac:dyDescent="0.2">
      <c r="D118" s="53" t="s">
        <v>134</v>
      </c>
    </row>
    <row r="119" spans="4:4" x14ac:dyDescent="0.2">
      <c r="D119" s="53" t="s">
        <v>134</v>
      </c>
    </row>
    <row r="120" spans="4:4" x14ac:dyDescent="0.2">
      <c r="D120" s="53" t="s">
        <v>134</v>
      </c>
    </row>
    <row r="121" spans="4:4" x14ac:dyDescent="0.2">
      <c r="D121" s="53" t="s">
        <v>134</v>
      </c>
    </row>
    <row r="122" spans="4:4" x14ac:dyDescent="0.2">
      <c r="D122" s="53" t="s">
        <v>134</v>
      </c>
    </row>
    <row r="123" spans="4:4" x14ac:dyDescent="0.2">
      <c r="D123" s="53" t="s">
        <v>134</v>
      </c>
    </row>
    <row r="124" spans="4:4" x14ac:dyDescent="0.2">
      <c r="D124" s="53" t="s">
        <v>134</v>
      </c>
    </row>
    <row r="125" spans="4:4" x14ac:dyDescent="0.2">
      <c r="D125" s="53" t="s">
        <v>134</v>
      </c>
    </row>
    <row r="126" spans="4:4" x14ac:dyDescent="0.2">
      <c r="D126" s="53" t="s">
        <v>134</v>
      </c>
    </row>
    <row r="127" spans="4:4" x14ac:dyDescent="0.2">
      <c r="D127" s="53" t="s">
        <v>134</v>
      </c>
    </row>
    <row r="128" spans="4:4" x14ac:dyDescent="0.2">
      <c r="D128" s="53" t="s">
        <v>134</v>
      </c>
    </row>
    <row r="129" spans="4:4" x14ac:dyDescent="0.2">
      <c r="D129" s="53" t="s">
        <v>134</v>
      </c>
    </row>
    <row r="130" spans="4:4" x14ac:dyDescent="0.2">
      <c r="D130" s="53" t="s">
        <v>134</v>
      </c>
    </row>
    <row r="131" spans="4:4" x14ac:dyDescent="0.2">
      <c r="D131" s="53" t="s">
        <v>134</v>
      </c>
    </row>
    <row r="132" spans="4:4" x14ac:dyDescent="0.2">
      <c r="D132" s="53" t="s">
        <v>134</v>
      </c>
    </row>
    <row r="133" spans="4:4" x14ac:dyDescent="0.2">
      <c r="D133" s="53" t="s">
        <v>134</v>
      </c>
    </row>
    <row r="134" spans="4:4" x14ac:dyDescent="0.2">
      <c r="D134" s="53" t="s">
        <v>134</v>
      </c>
    </row>
    <row r="135" spans="4:4" x14ac:dyDescent="0.2">
      <c r="D135" s="53" t="s">
        <v>134</v>
      </c>
    </row>
    <row r="136" spans="4:4" x14ac:dyDescent="0.2">
      <c r="D136" s="53" t="s">
        <v>134</v>
      </c>
    </row>
    <row r="137" spans="4:4" x14ac:dyDescent="0.2">
      <c r="D137" s="53" t="s">
        <v>134</v>
      </c>
    </row>
    <row r="138" spans="4:4" x14ac:dyDescent="0.2">
      <c r="D138" s="53" t="s">
        <v>134</v>
      </c>
    </row>
    <row r="139" spans="4:4" x14ac:dyDescent="0.2">
      <c r="D139" s="53" t="s">
        <v>134</v>
      </c>
    </row>
    <row r="140" spans="4:4" x14ac:dyDescent="0.2">
      <c r="D140" s="53" t="s">
        <v>134</v>
      </c>
    </row>
    <row r="141" spans="4:4" x14ac:dyDescent="0.2">
      <c r="D141" s="53" t="s">
        <v>134</v>
      </c>
    </row>
    <row r="142" spans="4:4" x14ac:dyDescent="0.2">
      <c r="D142" s="53" t="s">
        <v>134</v>
      </c>
    </row>
    <row r="143" spans="4:4" x14ac:dyDescent="0.2">
      <c r="D143" s="53" t="s">
        <v>134</v>
      </c>
    </row>
    <row r="144" spans="4:4" x14ac:dyDescent="0.2">
      <c r="D144" s="53" t="s">
        <v>134</v>
      </c>
    </row>
    <row r="145" spans="4:4" x14ac:dyDescent="0.2">
      <c r="D145" s="53" t="s">
        <v>134</v>
      </c>
    </row>
    <row r="146" spans="4:4" x14ac:dyDescent="0.2">
      <c r="D146" s="53" t="s">
        <v>134</v>
      </c>
    </row>
    <row r="147" spans="4:4" x14ac:dyDescent="0.2">
      <c r="D147" s="53" t="s">
        <v>134</v>
      </c>
    </row>
    <row r="148" spans="4:4" x14ac:dyDescent="0.2">
      <c r="D148" s="53" t="s">
        <v>134</v>
      </c>
    </row>
    <row r="149" spans="4:4" x14ac:dyDescent="0.2">
      <c r="D149" s="53" t="s">
        <v>134</v>
      </c>
    </row>
    <row r="150" spans="4:4" x14ac:dyDescent="0.2">
      <c r="D150" s="53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I13"/>
  <sheetViews>
    <sheetView workbookViewId="0">
      <selection activeCell="D24" sqref="D24"/>
    </sheetView>
  </sheetViews>
  <sheetFormatPr baseColWidth="10" defaultRowHeight="14.25" x14ac:dyDescent="0.2"/>
  <cols>
    <col min="1" max="1" width="14.75" bestFit="1" customWidth="1"/>
    <col min="2" max="2" width="13.5" bestFit="1" customWidth="1"/>
    <col min="3" max="3" width="14" bestFit="1" customWidth="1"/>
  </cols>
  <sheetData>
    <row r="1" spans="1:9" x14ac:dyDescent="0.2">
      <c r="A1" s="108" t="s">
        <v>189</v>
      </c>
      <c r="B1" s="108" t="s">
        <v>204</v>
      </c>
      <c r="C1" s="171" t="s">
        <v>205</v>
      </c>
    </row>
    <row r="2" spans="1:9" x14ac:dyDescent="0.2">
      <c r="A2" s="149" t="s">
        <v>193</v>
      </c>
      <c r="B2" s="172">
        <v>8000</v>
      </c>
      <c r="C2" s="173">
        <f>3500+8000</f>
        <v>11500</v>
      </c>
    </row>
    <row r="3" spans="1:9" x14ac:dyDescent="0.2">
      <c r="A3" s="150" t="s">
        <v>206</v>
      </c>
      <c r="B3" s="172">
        <v>4500</v>
      </c>
      <c r="C3" s="173">
        <v>2416.6666666666665</v>
      </c>
    </row>
    <row r="4" spans="1:9" x14ac:dyDescent="0.2">
      <c r="A4" s="149" t="s">
        <v>207</v>
      </c>
      <c r="B4" s="172">
        <v>3000</v>
      </c>
      <c r="C4" s="173">
        <v>1200</v>
      </c>
    </row>
    <row r="5" spans="1:9" x14ac:dyDescent="0.2">
      <c r="A5" s="150" t="s">
        <v>140</v>
      </c>
      <c r="B5" s="172">
        <v>3000</v>
      </c>
      <c r="C5" s="173">
        <v>1200</v>
      </c>
    </row>
    <row r="6" spans="1:9" x14ac:dyDescent="0.2">
      <c r="A6" s="149" t="s">
        <v>208</v>
      </c>
      <c r="B6" s="172">
        <v>3000</v>
      </c>
      <c r="C6" s="173">
        <v>1166.6666666666667</v>
      </c>
      <c r="F6" t="s">
        <v>195</v>
      </c>
      <c r="G6" s="152">
        <v>33000</v>
      </c>
      <c r="H6">
        <v>24</v>
      </c>
      <c r="I6" s="152">
        <f t="shared" ref="I6:I8" si="0">+G6/H6</f>
        <v>1375</v>
      </c>
    </row>
    <row r="7" spans="1:9" x14ac:dyDescent="0.2">
      <c r="A7" s="150" t="s">
        <v>209</v>
      </c>
      <c r="B7" s="172">
        <v>4500</v>
      </c>
      <c r="C7" s="173">
        <v>3500</v>
      </c>
      <c r="F7" t="s">
        <v>194</v>
      </c>
      <c r="G7" s="152">
        <v>29000</v>
      </c>
      <c r="H7">
        <v>12</v>
      </c>
      <c r="I7" s="152">
        <f t="shared" si="0"/>
        <v>2416.6666666666665</v>
      </c>
    </row>
    <row r="8" spans="1:9" x14ac:dyDescent="0.2">
      <c r="A8" s="149" t="s">
        <v>210</v>
      </c>
      <c r="B8" s="172">
        <v>35000</v>
      </c>
      <c r="C8" s="2">
        <v>25000</v>
      </c>
      <c r="F8" t="s">
        <v>196</v>
      </c>
      <c r="G8" s="152">
        <v>35000</v>
      </c>
      <c r="H8">
        <v>30</v>
      </c>
      <c r="I8" s="152">
        <f t="shared" si="0"/>
        <v>1166.6666666666667</v>
      </c>
    </row>
    <row r="9" spans="1:9" x14ac:dyDescent="0.2">
      <c r="A9" s="150" t="s">
        <v>211</v>
      </c>
      <c r="B9" s="172">
        <v>25000</v>
      </c>
      <c r="C9" s="2">
        <v>15000</v>
      </c>
      <c r="F9" t="s">
        <v>197</v>
      </c>
      <c r="G9" s="152">
        <v>36000</v>
      </c>
      <c r="H9">
        <v>30</v>
      </c>
      <c r="I9" s="152">
        <f>+G9/H9</f>
        <v>1200</v>
      </c>
    </row>
    <row r="10" spans="1:9" x14ac:dyDescent="0.2">
      <c r="A10" s="149" t="s">
        <v>212</v>
      </c>
      <c r="B10" s="172">
        <v>2000</v>
      </c>
      <c r="C10" s="2">
        <v>800</v>
      </c>
    </row>
    <row r="11" spans="1:9" x14ac:dyDescent="0.2">
      <c r="A11" s="150" t="s">
        <v>213</v>
      </c>
      <c r="B11" s="172">
        <v>48000</v>
      </c>
      <c r="C11" s="2">
        <v>30000</v>
      </c>
    </row>
    <row r="12" spans="1:9" x14ac:dyDescent="0.2">
      <c r="A12" s="149" t="s">
        <v>214</v>
      </c>
      <c r="B12" s="172">
        <v>70000</v>
      </c>
      <c r="C12" s="2">
        <v>45000</v>
      </c>
    </row>
    <row r="13" spans="1:9" x14ac:dyDescent="0.2">
      <c r="A13" s="150" t="s">
        <v>215</v>
      </c>
      <c r="B13" s="172">
        <v>40000</v>
      </c>
      <c r="C13" s="2">
        <v>25000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34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12" sqref="J12"/>
    </sheetView>
  </sheetViews>
  <sheetFormatPr baseColWidth="10" defaultRowHeight="14.25" x14ac:dyDescent="0.2"/>
  <cols>
    <col min="1" max="1" width="12.75" bestFit="1" customWidth="1"/>
    <col min="2" max="5" width="10.125" bestFit="1" customWidth="1"/>
    <col min="6" max="6" width="11" bestFit="1" customWidth="1"/>
    <col min="7" max="7" width="11" customWidth="1"/>
    <col min="8" max="8" width="11.125" customWidth="1"/>
    <col min="10" max="10" width="10.125" bestFit="1" customWidth="1"/>
    <col min="11" max="11" width="10.125" customWidth="1"/>
    <col min="12" max="12" width="7.75" customWidth="1"/>
    <col min="14" max="14" width="11.125" bestFit="1" customWidth="1"/>
    <col min="15" max="15" width="17" bestFit="1" customWidth="1"/>
    <col min="16" max="16" width="6.875" customWidth="1"/>
    <col min="17" max="17" width="19.375" bestFit="1" customWidth="1"/>
    <col min="18" max="18" width="10" bestFit="1" customWidth="1"/>
    <col min="19" max="19" width="12.25" bestFit="1" customWidth="1"/>
  </cols>
  <sheetData>
    <row r="1" spans="1:35" ht="18.75" x14ac:dyDescent="0.3">
      <c r="D1" s="4" t="s">
        <v>36</v>
      </c>
      <c r="I1" s="187" t="s">
        <v>72</v>
      </c>
      <c r="J1" s="187"/>
      <c r="K1" s="187"/>
      <c r="L1" s="187"/>
      <c r="N1" s="204" t="s">
        <v>176</v>
      </c>
      <c r="O1" s="204"/>
      <c r="P1" s="204"/>
    </row>
    <row r="3" spans="1:35" x14ac:dyDescent="0.2">
      <c r="A3" s="15" t="s">
        <v>170</v>
      </c>
      <c r="B3" s="15" t="s">
        <v>172</v>
      </c>
      <c r="J3" s="110">
        <f>+AVERAGE(J5:J11)</f>
        <v>247125</v>
      </c>
      <c r="K3" s="110"/>
      <c r="O3" s="110" t="e">
        <f>+AVERAGE(O5:O11)</f>
        <v>#DIV/0!</v>
      </c>
    </row>
    <row r="4" spans="1:35" s="3" customFormat="1" ht="15" x14ac:dyDescent="0.25">
      <c r="A4" s="136" t="s">
        <v>39</v>
      </c>
      <c r="B4" s="3">
        <v>1</v>
      </c>
      <c r="C4" s="3">
        <v>2</v>
      </c>
      <c r="D4" s="3">
        <v>3</v>
      </c>
      <c r="E4" s="3">
        <v>4</v>
      </c>
      <c r="F4"/>
      <c r="G4"/>
      <c r="H4"/>
      <c r="I4" s="111" t="s">
        <v>39</v>
      </c>
      <c r="J4" s="111" t="s">
        <v>72</v>
      </c>
      <c r="K4" s="111" t="s">
        <v>226</v>
      </c>
      <c r="L4" s="138" t="s">
        <v>173</v>
      </c>
      <c r="N4" s="136" t="s">
        <v>39</v>
      </c>
      <c r="O4"/>
      <c r="P4" s="138" t="s">
        <v>173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</row>
    <row r="5" spans="1:35" x14ac:dyDescent="0.2">
      <c r="A5" s="127" t="s">
        <v>164</v>
      </c>
      <c r="B5" s="110">
        <v>225000</v>
      </c>
      <c r="C5" s="110">
        <v>60000</v>
      </c>
      <c r="D5" s="110">
        <v>248500</v>
      </c>
      <c r="E5" s="110">
        <v>124000</v>
      </c>
      <c r="I5" s="118" t="s">
        <v>164</v>
      </c>
      <c r="J5" s="112">
        <f>+AVERAGE(B5:E5)</f>
        <v>164375</v>
      </c>
      <c r="K5" s="112">
        <f>+J5*0.4</f>
        <v>65750</v>
      </c>
      <c r="L5" s="115">
        <f>+J5/D5-1</f>
        <v>-0.33853118712273644</v>
      </c>
      <c r="N5" s="127" t="s">
        <v>164</v>
      </c>
      <c r="P5" s="115">
        <f t="shared" ref="P5:P12" si="0">+O5/J5-1</f>
        <v>-1</v>
      </c>
    </row>
    <row r="6" spans="1:35" x14ac:dyDescent="0.2">
      <c r="A6" s="127" t="s">
        <v>165</v>
      </c>
      <c r="B6" s="110">
        <v>221500</v>
      </c>
      <c r="C6" s="110">
        <v>169000</v>
      </c>
      <c r="D6" s="110">
        <v>94000</v>
      </c>
      <c r="E6" s="110">
        <v>314000</v>
      </c>
      <c r="I6" s="118" t="s">
        <v>165</v>
      </c>
      <c r="J6" s="112">
        <f>+AVERAGE(B6:E6)</f>
        <v>199625</v>
      </c>
      <c r="K6" s="112">
        <f t="shared" ref="K6:K12" si="1">+J6*0.4</f>
        <v>79850</v>
      </c>
      <c r="L6" s="115">
        <f>+J6/D6-1</f>
        <v>1.1236702127659575</v>
      </c>
      <c r="N6" s="127" t="s">
        <v>165</v>
      </c>
      <c r="P6" s="115">
        <f t="shared" si="0"/>
        <v>-1</v>
      </c>
    </row>
    <row r="7" spans="1:35" x14ac:dyDescent="0.2">
      <c r="A7" s="127" t="s">
        <v>166</v>
      </c>
      <c r="B7" s="110">
        <v>390500</v>
      </c>
      <c r="C7" s="110">
        <v>344000</v>
      </c>
      <c r="D7" s="110">
        <v>473500</v>
      </c>
      <c r="E7" s="110">
        <v>149000</v>
      </c>
      <c r="I7" s="118" t="s">
        <v>166</v>
      </c>
      <c r="J7" s="112">
        <f>+AVERAGE(B7:E7)</f>
        <v>339250</v>
      </c>
      <c r="K7" s="112">
        <f t="shared" si="1"/>
        <v>135700</v>
      </c>
      <c r="L7" s="115">
        <f>+J7/C7-1</f>
        <v>-1.380813953488369E-2</v>
      </c>
      <c r="N7" s="127" t="s">
        <v>166</v>
      </c>
      <c r="P7" s="115">
        <f t="shared" si="0"/>
        <v>-1</v>
      </c>
    </row>
    <row r="8" spans="1:35" x14ac:dyDescent="0.2">
      <c r="A8" s="127" t="s">
        <v>167</v>
      </c>
      <c r="B8" s="110">
        <v>209000</v>
      </c>
      <c r="C8" s="110">
        <v>259000</v>
      </c>
      <c r="D8" s="110">
        <v>243000</v>
      </c>
      <c r="E8" s="110">
        <v>388900</v>
      </c>
      <c r="I8" s="118" t="s">
        <v>167</v>
      </c>
      <c r="J8" s="112">
        <f>+AVERAGE(B8:E8)</f>
        <v>274975</v>
      </c>
      <c r="K8" s="112">
        <f t="shared" si="1"/>
        <v>109990</v>
      </c>
      <c r="L8" s="115">
        <f t="shared" ref="L8" si="2">+J8/C8-1</f>
        <v>6.1679536679536628E-2</v>
      </c>
      <c r="N8" s="127" t="s">
        <v>167</v>
      </c>
      <c r="P8" s="115">
        <f t="shared" si="0"/>
        <v>-1</v>
      </c>
    </row>
    <row r="9" spans="1:35" ht="16.5" x14ac:dyDescent="0.35">
      <c r="A9" s="141" t="s">
        <v>168</v>
      </c>
      <c r="B9" s="124">
        <v>248500</v>
      </c>
      <c r="C9" s="124"/>
      <c r="D9" s="124">
        <v>132500</v>
      </c>
      <c r="E9" s="124">
        <v>172700</v>
      </c>
      <c r="I9" s="119" t="s">
        <v>168</v>
      </c>
      <c r="J9" s="137">
        <f>+AVERAGE(B9:E9)</f>
        <v>184566.66666666666</v>
      </c>
      <c r="K9" s="112">
        <f>+J9*0.4</f>
        <v>73826.666666666672</v>
      </c>
      <c r="L9" s="115">
        <f>+J9/B9-1</f>
        <v>-0.25727699530516435</v>
      </c>
      <c r="N9" s="141" t="s">
        <v>168</v>
      </c>
      <c r="P9" s="115">
        <f t="shared" si="0"/>
        <v>-1</v>
      </c>
    </row>
    <row r="10" spans="1:35" ht="16.5" x14ac:dyDescent="0.35">
      <c r="A10" s="127" t="s">
        <v>169</v>
      </c>
      <c r="B10" s="124">
        <v>504000</v>
      </c>
      <c r="C10" s="124">
        <v>298500</v>
      </c>
      <c r="D10" s="124">
        <v>392500</v>
      </c>
      <c r="E10" s="124"/>
      <c r="I10" s="120" t="s">
        <v>169</v>
      </c>
      <c r="J10" s="137">
        <f>+AVERAGE(B10:D10)</f>
        <v>398333.33333333331</v>
      </c>
      <c r="K10" s="112">
        <f t="shared" si="1"/>
        <v>159333.33333333334</v>
      </c>
      <c r="L10" s="115">
        <f>+J10/C10-1</f>
        <v>0.33445002791736456</v>
      </c>
      <c r="N10" s="127" t="s">
        <v>169</v>
      </c>
      <c r="P10" s="115">
        <f t="shared" si="0"/>
        <v>-1</v>
      </c>
    </row>
    <row r="11" spans="1:35" ht="17.25" thickBot="1" x14ac:dyDescent="0.4">
      <c r="A11" s="183" t="s">
        <v>163</v>
      </c>
      <c r="B11" s="124"/>
      <c r="C11" s="124">
        <v>219500</v>
      </c>
      <c r="D11" s="124">
        <v>118000</v>
      </c>
      <c r="E11" s="124">
        <v>11000</v>
      </c>
      <c r="I11" s="121" t="s">
        <v>163</v>
      </c>
      <c r="J11" s="137">
        <f>+AVERAGE(B11:D11)</f>
        <v>168750</v>
      </c>
      <c r="K11" s="112">
        <f t="shared" si="1"/>
        <v>67500</v>
      </c>
      <c r="L11" s="115">
        <f>+J11/C11-1</f>
        <v>-0.2312072892938497</v>
      </c>
      <c r="N11" s="183" t="s">
        <v>163</v>
      </c>
      <c r="P11" s="140">
        <f t="shared" si="0"/>
        <v>-1</v>
      </c>
    </row>
    <row r="12" spans="1:35" ht="15" thickTop="1" x14ac:dyDescent="0.2">
      <c r="A12" s="109" t="s">
        <v>83</v>
      </c>
      <c r="B12" s="110">
        <v>1798500</v>
      </c>
      <c r="C12" s="110">
        <v>1350000</v>
      </c>
      <c r="D12" s="110">
        <v>1702000</v>
      </c>
      <c r="E12" s="110">
        <v>1159600</v>
      </c>
      <c r="I12" s="114" t="s">
        <v>83</v>
      </c>
      <c r="J12" s="113">
        <f t="shared" ref="J12" si="3">+AVERAGE(B12:D12)</f>
        <v>1616833.3333333333</v>
      </c>
      <c r="K12" s="112">
        <f t="shared" si="1"/>
        <v>646733.33333333337</v>
      </c>
      <c r="L12" s="115">
        <f>+J12/C12-1</f>
        <v>0.19765432098765423</v>
      </c>
      <c r="N12" s="109" t="s">
        <v>83</v>
      </c>
      <c r="P12" s="139">
        <f t="shared" si="0"/>
        <v>-1</v>
      </c>
    </row>
    <row r="13" spans="1:35" x14ac:dyDescent="0.2">
      <c r="C13" s="115">
        <f>+C12/B12-1</f>
        <v>-0.24937447873227692</v>
      </c>
      <c r="D13" s="115">
        <f>+D12/C12-1</f>
        <v>0.26074074074074072</v>
      </c>
      <c r="E13" s="115">
        <f>+E12/D12-1</f>
        <v>-0.31868390129259694</v>
      </c>
    </row>
    <row r="16" spans="1:35" x14ac:dyDescent="0.2">
      <c r="A16" s="111" t="s">
        <v>39</v>
      </c>
      <c r="B16" s="117">
        <v>1</v>
      </c>
      <c r="C16" s="189">
        <v>2</v>
      </c>
      <c r="D16" s="189">
        <v>3</v>
      </c>
      <c r="E16" s="189">
        <v>4</v>
      </c>
    </row>
    <row r="17" spans="1:5" x14ac:dyDescent="0.2">
      <c r="A17" s="118" t="s">
        <v>164</v>
      </c>
      <c r="B17" s="112">
        <v>0</v>
      </c>
      <c r="C17" s="115">
        <f>+C5/B5-1</f>
        <v>-0.73333333333333339</v>
      </c>
      <c r="D17" s="115">
        <f t="shared" ref="D17" si="4">+D5/C5-1</f>
        <v>3.1416666666666666</v>
      </c>
      <c r="E17" s="115">
        <f>+E5/D5-1</f>
        <v>-0.50100603621730389</v>
      </c>
    </row>
    <row r="18" spans="1:5" x14ac:dyDescent="0.2">
      <c r="A18" s="118" t="s">
        <v>165</v>
      </c>
      <c r="B18" s="112">
        <v>0</v>
      </c>
      <c r="C18" s="115">
        <f t="shared" ref="C18:D18" si="5">+C6/B6-1</f>
        <v>-0.23702031602708806</v>
      </c>
      <c r="D18" s="115">
        <f t="shared" si="5"/>
        <v>-0.44378698224852076</v>
      </c>
      <c r="E18" s="115">
        <f>+E6/D6-1</f>
        <v>2.3404255319148937</v>
      </c>
    </row>
    <row r="19" spans="1:5" x14ac:dyDescent="0.2">
      <c r="A19" s="118" t="s">
        <v>166</v>
      </c>
      <c r="B19" s="112">
        <v>0</v>
      </c>
      <c r="C19" s="115">
        <f t="shared" ref="C19:D20" si="6">+C7/B7-1</f>
        <v>-0.11907810499359794</v>
      </c>
      <c r="D19" s="115">
        <f t="shared" si="6"/>
        <v>0.37645348837209291</v>
      </c>
      <c r="E19" s="115">
        <f>+E7/D7-1</f>
        <v>-0.68532206969376985</v>
      </c>
    </row>
    <row r="20" spans="1:5" x14ac:dyDescent="0.2">
      <c r="A20" s="131" t="s">
        <v>167</v>
      </c>
      <c r="B20" s="132">
        <v>0</v>
      </c>
      <c r="C20" s="133">
        <f t="shared" si="6"/>
        <v>0.23923444976076547</v>
      </c>
      <c r="D20" s="133">
        <f t="shared" si="6"/>
        <v>-6.1776061776061764E-2</v>
      </c>
      <c r="E20" s="133">
        <f t="shared" ref="E20:E24" si="7">+E8/D8-1</f>
        <v>0.60041152263374475</v>
      </c>
    </row>
    <row r="21" spans="1:5" x14ac:dyDescent="0.2">
      <c r="A21" s="128" t="s">
        <v>168</v>
      </c>
      <c r="B21" s="129">
        <v>0</v>
      </c>
      <c r="C21" s="130">
        <f t="shared" ref="C21:D24" si="8">+C9/B9-1</f>
        <v>-1</v>
      </c>
      <c r="D21" s="130" t="e">
        <f t="shared" si="8"/>
        <v>#DIV/0!</v>
      </c>
      <c r="E21" s="130">
        <f>+E9/D9-1</f>
        <v>0.30339622641509445</v>
      </c>
    </row>
    <row r="22" spans="1:5" x14ac:dyDescent="0.2">
      <c r="A22" s="120" t="s">
        <v>169</v>
      </c>
      <c r="B22" s="122">
        <v>0</v>
      </c>
      <c r="C22" s="123">
        <f t="shared" si="8"/>
        <v>-0.40773809523809523</v>
      </c>
      <c r="D22" s="123">
        <f t="shared" si="8"/>
        <v>0.31490787269681753</v>
      </c>
      <c r="E22" s="123">
        <f t="shared" si="7"/>
        <v>-1</v>
      </c>
    </row>
    <row r="23" spans="1:5" ht="15" thickBot="1" x14ac:dyDescent="0.25">
      <c r="A23" s="121" t="s">
        <v>163</v>
      </c>
      <c r="B23" s="122">
        <v>0</v>
      </c>
      <c r="C23" s="193" t="e">
        <f>+C11/B11-1</f>
        <v>#DIV/0!</v>
      </c>
      <c r="D23" s="123">
        <f t="shared" si="8"/>
        <v>-0.4624145785876993</v>
      </c>
      <c r="E23" s="123">
        <f t="shared" si="7"/>
        <v>-0.90677966101694918</v>
      </c>
    </row>
    <row r="24" spans="1:5" ht="15" thickTop="1" x14ac:dyDescent="0.2">
      <c r="A24" s="114" t="s">
        <v>83</v>
      </c>
      <c r="B24" s="113">
        <v>0</v>
      </c>
      <c r="C24" s="116">
        <f>+C12/B12-1</f>
        <v>-0.24937447873227692</v>
      </c>
      <c r="D24" s="116">
        <f t="shared" si="8"/>
        <v>0.26074074074074072</v>
      </c>
      <c r="E24" s="116">
        <f t="shared" si="7"/>
        <v>-0.31868390129259694</v>
      </c>
    </row>
    <row r="26" spans="1:5" x14ac:dyDescent="0.2">
      <c r="A26" s="111" t="s">
        <v>39</v>
      </c>
      <c r="B26" s="117">
        <v>1</v>
      </c>
      <c r="C26" s="117">
        <v>2</v>
      </c>
      <c r="D26" s="117">
        <v>3</v>
      </c>
      <c r="E26" s="117">
        <v>3</v>
      </c>
    </row>
    <row r="27" spans="1:5" x14ac:dyDescent="0.2">
      <c r="A27" s="118" t="s">
        <v>164</v>
      </c>
      <c r="B27" s="112"/>
      <c r="C27" s="125">
        <f t="shared" ref="C27:D33" si="9">+C5-B5</f>
        <v>-165000</v>
      </c>
      <c r="D27" s="125">
        <f t="shared" si="9"/>
        <v>188500</v>
      </c>
      <c r="E27" s="125">
        <f>+E5-D5</f>
        <v>-124500</v>
      </c>
    </row>
    <row r="28" spans="1:5" x14ac:dyDescent="0.2">
      <c r="A28" s="118" t="s">
        <v>165</v>
      </c>
      <c r="B28" s="112"/>
      <c r="C28" s="125">
        <f t="shared" si="9"/>
        <v>-52500</v>
      </c>
      <c r="D28" s="125">
        <f t="shared" si="9"/>
        <v>-75000</v>
      </c>
      <c r="E28" s="125">
        <f t="shared" ref="E28" si="10">+E6-D6</f>
        <v>220000</v>
      </c>
    </row>
    <row r="29" spans="1:5" x14ac:dyDescent="0.2">
      <c r="A29" s="118" t="s">
        <v>166</v>
      </c>
      <c r="B29" s="112"/>
      <c r="C29" s="125">
        <f t="shared" si="9"/>
        <v>-46500</v>
      </c>
      <c r="D29" s="125">
        <f t="shared" si="9"/>
        <v>129500</v>
      </c>
      <c r="E29" s="125">
        <f t="shared" ref="E29" si="11">+E7-D7</f>
        <v>-324500</v>
      </c>
    </row>
    <row r="30" spans="1:5" x14ac:dyDescent="0.2">
      <c r="A30" s="118" t="s">
        <v>167</v>
      </c>
      <c r="B30" s="112"/>
      <c r="C30" s="125">
        <f t="shared" si="9"/>
        <v>50000</v>
      </c>
      <c r="D30" s="125">
        <f t="shared" si="9"/>
        <v>-16000</v>
      </c>
      <c r="E30" s="125">
        <f t="shared" ref="E30" si="12">+E8-D8</f>
        <v>145900</v>
      </c>
    </row>
    <row r="31" spans="1:5" x14ac:dyDescent="0.2">
      <c r="A31" s="119" t="s">
        <v>168</v>
      </c>
      <c r="B31" s="122"/>
      <c r="C31" s="126">
        <f t="shared" si="9"/>
        <v>-248500</v>
      </c>
      <c r="D31" s="126">
        <f t="shared" si="9"/>
        <v>132500</v>
      </c>
      <c r="E31" s="126">
        <f t="shared" ref="E31" si="13">+E9-D9</f>
        <v>40200</v>
      </c>
    </row>
    <row r="32" spans="1:5" x14ac:dyDescent="0.2">
      <c r="A32" s="120" t="s">
        <v>169</v>
      </c>
      <c r="B32" s="122"/>
      <c r="C32" s="126">
        <f t="shared" si="9"/>
        <v>-205500</v>
      </c>
      <c r="D32" s="126">
        <f t="shared" si="9"/>
        <v>94000</v>
      </c>
      <c r="E32" s="126">
        <f t="shared" ref="E32" si="14">+E10-D10</f>
        <v>-392500</v>
      </c>
    </row>
    <row r="33" spans="1:5" ht="15" thickBot="1" x14ac:dyDescent="0.25">
      <c r="A33" s="121" t="s">
        <v>163</v>
      </c>
      <c r="B33" s="122">
        <v>0</v>
      </c>
      <c r="C33" s="126">
        <f t="shared" si="9"/>
        <v>219500</v>
      </c>
      <c r="D33" s="126">
        <f t="shared" si="9"/>
        <v>-101500</v>
      </c>
      <c r="E33" s="126">
        <f t="shared" ref="E33" si="15">+E11-D11</f>
        <v>-107000</v>
      </c>
    </row>
    <row r="34" spans="1:5" ht="15" thickTop="1" x14ac:dyDescent="0.2">
      <c r="A34" s="114" t="s">
        <v>83</v>
      </c>
      <c r="B34" s="134">
        <v>0</v>
      </c>
      <c r="C34" s="135">
        <f t="shared" ref="C34:D34" si="16">+C12-B12</f>
        <v>-448500</v>
      </c>
      <c r="D34" s="135">
        <f t="shared" si="16"/>
        <v>352000</v>
      </c>
      <c r="E34" s="135">
        <f>+E12-D12</f>
        <v>-542400</v>
      </c>
    </row>
  </sheetData>
  <mergeCells count="1">
    <mergeCell ref="N1:P1"/>
  </mergeCells>
  <conditionalFormatting sqref="B17:G20">
    <cfRule type="cellIs" dxfId="17" priority="13" operator="greaterThan">
      <formula>0.5</formula>
    </cfRule>
    <cfRule type="cellIs" dxfId="16" priority="16" operator="lessThan">
      <formula>-0.5</formula>
    </cfRule>
  </conditionalFormatting>
  <conditionalFormatting sqref="B21:G23">
    <cfRule type="cellIs" dxfId="15" priority="14" operator="greaterThan">
      <formula>0.4</formula>
    </cfRule>
    <cfRule type="cellIs" dxfId="14" priority="15" operator="lessThan">
      <formula>-0.4</formula>
    </cfRule>
  </conditionalFormatting>
  <conditionalFormatting sqref="B27:G30">
    <cfRule type="cellIs" dxfId="13" priority="5" operator="greaterThan">
      <formula>0.5</formula>
    </cfRule>
    <cfRule type="cellIs" dxfId="12" priority="8" operator="lessThan">
      <formula>-0.5</formula>
    </cfRule>
  </conditionalFormatting>
  <conditionalFormatting sqref="B31:G33">
    <cfRule type="cellIs" dxfId="11" priority="6" operator="greaterThan">
      <formula>0.4</formula>
    </cfRule>
    <cfRule type="cellIs" dxfId="10" priority="7" operator="lessThan">
      <formula>-0.4</formula>
    </cfRule>
  </conditionalFormatting>
  <conditionalFormatting sqref="C13:G13">
    <cfRule type="cellIs" dxfId="9" priority="37" operator="greaterThan">
      <formula>0.5</formula>
    </cfRule>
    <cfRule type="cellIs" dxfId="8" priority="38" operator="lessThan">
      <formula>-0.5</formula>
    </cfRule>
  </conditionalFormatting>
  <conditionalFormatting sqref="L5:L12">
    <cfRule type="cellIs" dxfId="7" priority="3" operator="greaterThan">
      <formula>0.5</formula>
    </cfRule>
    <cfRule type="cellIs" dxfId="6" priority="4" operator="lessThan">
      <formula>-0.5</formula>
    </cfRule>
  </conditionalFormatting>
  <conditionalFormatting sqref="P5:P12">
    <cfRule type="cellIs" dxfId="5" priority="29" operator="greaterThan">
      <formula>0.5</formula>
    </cfRule>
    <cfRule type="cellIs" dxfId="4" priority="30" operator="lessThan">
      <formula>-0.5</formula>
    </cfRule>
  </conditionalFormatting>
  <pageMargins left="0.7" right="0.7" top="0.75" bottom="0.75" header="0.3" footer="0.3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39997558519241921"/>
  </sheetPr>
  <dimension ref="B4:S56"/>
  <sheetViews>
    <sheetView showGridLines="0" topLeftCell="A3" zoomScale="85" zoomScaleNormal="85" workbookViewId="0">
      <selection activeCell="A3" sqref="A3"/>
    </sheetView>
  </sheetViews>
  <sheetFormatPr baseColWidth="10" defaultRowHeight="14.25" x14ac:dyDescent="0.2"/>
  <cols>
    <col min="1" max="1" width="1.375" customWidth="1"/>
    <col min="2" max="2" width="24.25" customWidth="1"/>
    <col min="3" max="3" width="19.375" bestFit="1" customWidth="1"/>
    <col min="4" max="4" width="19.625" bestFit="1" customWidth="1"/>
    <col min="5" max="5" width="12.625" bestFit="1" customWidth="1"/>
    <col min="6" max="6" width="12.625" customWidth="1"/>
    <col min="7" max="7" width="4.875" customWidth="1"/>
    <col min="8" max="8" width="20.25" bestFit="1" customWidth="1"/>
    <col min="9" max="9" width="12.875" customWidth="1"/>
    <col min="10" max="10" width="8.625" customWidth="1"/>
    <col min="11" max="11" width="12.5" bestFit="1" customWidth="1"/>
    <col min="12" max="12" width="16.375" bestFit="1" customWidth="1"/>
    <col min="13" max="13" width="13.875" bestFit="1" customWidth="1"/>
    <col min="14" max="14" width="7.75" customWidth="1"/>
    <col min="15" max="15" width="4.5" bestFit="1" customWidth="1"/>
    <col min="16" max="16" width="11.5" bestFit="1" customWidth="1"/>
    <col min="17" max="17" width="17.625" bestFit="1" customWidth="1"/>
    <col min="18" max="18" width="19.625" bestFit="1" customWidth="1"/>
    <col min="19" max="19" width="12.625" customWidth="1"/>
  </cols>
  <sheetData>
    <row r="4" spans="2:16" x14ac:dyDescent="0.2">
      <c r="B4" s="35" t="s">
        <v>84</v>
      </c>
      <c r="C4" s="35" t="s">
        <v>7</v>
      </c>
      <c r="D4" s="35" t="s">
        <v>71</v>
      </c>
      <c r="E4" s="36" t="s">
        <v>1</v>
      </c>
      <c r="F4" s="56" t="s">
        <v>115</v>
      </c>
      <c r="H4" s="3" t="s">
        <v>61</v>
      </c>
      <c r="I4" s="3" t="s">
        <v>1</v>
      </c>
      <c r="K4" s="29" t="s">
        <v>34</v>
      </c>
      <c r="L4" s="30" t="s">
        <v>11</v>
      </c>
      <c r="M4" s="31">
        <f>+M5+M6</f>
        <v>18150000</v>
      </c>
      <c r="N4" s="33">
        <f>+M4/$K$5</f>
        <v>0.61570257311773358</v>
      </c>
    </row>
    <row r="5" spans="2:16" x14ac:dyDescent="0.2">
      <c r="B5" t="s">
        <v>183</v>
      </c>
      <c r="C5" t="s">
        <v>73</v>
      </c>
      <c r="D5" t="s">
        <v>77</v>
      </c>
      <c r="E5" s="1">
        <v>350000</v>
      </c>
      <c r="F5" s="1">
        <v>0</v>
      </c>
      <c r="H5" t="s">
        <v>82</v>
      </c>
      <c r="I5" s="2">
        <v>1000000</v>
      </c>
      <c r="K5" s="205">
        <f>+M4+M7</f>
        <v>29478519</v>
      </c>
      <c r="L5" s="12" t="s">
        <v>81</v>
      </c>
      <c r="M5" s="13">
        <f>+Planta_y_Equipo[[#Totals],[Valor]]</f>
        <v>16020000</v>
      </c>
      <c r="N5" s="32">
        <f>+M5/$M$4</f>
        <v>0.88264462809917354</v>
      </c>
    </row>
    <row r="6" spans="2:16" x14ac:dyDescent="0.2">
      <c r="B6" t="s">
        <v>183</v>
      </c>
      <c r="C6" t="s">
        <v>74</v>
      </c>
      <c r="D6" t="s">
        <v>78</v>
      </c>
      <c r="E6" s="1">
        <v>0</v>
      </c>
      <c r="F6" s="1">
        <v>0</v>
      </c>
      <c r="H6" t="s">
        <v>53</v>
      </c>
      <c r="I6" s="8">
        <f>550000/2</f>
        <v>275000</v>
      </c>
      <c r="K6" s="206"/>
      <c r="L6" s="12" t="s">
        <v>80</v>
      </c>
      <c r="M6" s="13">
        <f>+Stock_Actual[[#Totals],[Valor]]</f>
        <v>2130000</v>
      </c>
      <c r="N6" s="32">
        <f>+M6/$M$4</f>
        <v>0.11735537190082644</v>
      </c>
    </row>
    <row r="7" spans="2:16" x14ac:dyDescent="0.2">
      <c r="B7" t="s">
        <v>183</v>
      </c>
      <c r="C7" t="s">
        <v>8</v>
      </c>
      <c r="D7" t="s">
        <v>79</v>
      </c>
      <c r="E7" s="1">
        <v>1088000</v>
      </c>
      <c r="F7" s="1">
        <v>0</v>
      </c>
      <c r="H7" t="s">
        <v>22</v>
      </c>
      <c r="I7" s="8">
        <v>200000</v>
      </c>
      <c r="K7" s="206"/>
      <c r="L7" s="54" t="s">
        <v>33</v>
      </c>
      <c r="M7" s="55">
        <f>+M8+M9</f>
        <v>11328519</v>
      </c>
      <c r="N7" s="34">
        <f>+M7/$K$5</f>
        <v>0.38429742688226637</v>
      </c>
      <c r="O7" s="37">
        <f>+M7/M4</f>
        <v>0.62416082644628101</v>
      </c>
      <c r="P7" s="5">
        <f>+M4-M7</f>
        <v>6821481</v>
      </c>
    </row>
    <row r="8" spans="2:16" x14ac:dyDescent="0.2">
      <c r="B8" t="s">
        <v>183</v>
      </c>
      <c r="C8" t="s">
        <v>6</v>
      </c>
      <c r="D8" t="s">
        <v>86</v>
      </c>
      <c r="E8" s="1">
        <v>380000</v>
      </c>
      <c r="F8" s="1">
        <v>0</v>
      </c>
      <c r="H8" t="s">
        <v>55</v>
      </c>
      <c r="I8" s="2">
        <v>100000</v>
      </c>
      <c r="K8" s="206"/>
      <c r="L8" s="148" t="s">
        <v>183</v>
      </c>
      <c r="M8" s="13">
        <f>+SUMIF(B5:B23,L8,E5:E23)</f>
        <v>4728920</v>
      </c>
      <c r="N8" s="32">
        <f>+M8/$M$7</f>
        <v>0.41743497097899557</v>
      </c>
    </row>
    <row r="9" spans="2:16" x14ac:dyDescent="0.2">
      <c r="B9" t="s">
        <v>183</v>
      </c>
      <c r="C9" t="s">
        <v>88</v>
      </c>
      <c r="D9" t="s">
        <v>87</v>
      </c>
      <c r="E9" s="1">
        <v>750000</v>
      </c>
      <c r="F9" s="1">
        <v>0</v>
      </c>
      <c r="H9" t="s">
        <v>2</v>
      </c>
      <c r="I9" s="5">
        <f>SUBTOTAL(109,Gastos_entrada[Valor])</f>
        <v>1575000</v>
      </c>
      <c r="K9" s="207"/>
      <c r="L9" s="148" t="s">
        <v>182</v>
      </c>
      <c r="M9" s="13">
        <f>+SUMIF(B5:B23,L9,E5:E23)</f>
        <v>6599599</v>
      </c>
      <c r="N9" s="32">
        <f>+M9/$M$7</f>
        <v>0.58256502902100438</v>
      </c>
    </row>
    <row r="10" spans="2:16" x14ac:dyDescent="0.2">
      <c r="B10" t="s">
        <v>183</v>
      </c>
      <c r="C10" t="s">
        <v>64</v>
      </c>
      <c r="D10" t="s">
        <v>143</v>
      </c>
      <c r="E10" s="1">
        <v>150000</v>
      </c>
      <c r="F10" s="1">
        <v>0</v>
      </c>
    </row>
    <row r="11" spans="2:16" x14ac:dyDescent="0.2">
      <c r="B11" t="s">
        <v>183</v>
      </c>
      <c r="C11" t="s">
        <v>76</v>
      </c>
      <c r="D11" t="s">
        <v>87</v>
      </c>
      <c r="E11" s="1">
        <v>400000</v>
      </c>
      <c r="F11" s="1">
        <f>+E11</f>
        <v>400000</v>
      </c>
      <c r="M11" s="40" t="s">
        <v>95</v>
      </c>
      <c r="N11" s="41" t="s">
        <v>93</v>
      </c>
    </row>
    <row r="12" spans="2:16" x14ac:dyDescent="0.2">
      <c r="B12" t="s">
        <v>183</v>
      </c>
      <c r="C12" t="s">
        <v>151</v>
      </c>
      <c r="D12" t="s">
        <v>87</v>
      </c>
      <c r="E12" s="1">
        <v>370000</v>
      </c>
      <c r="F12" s="1">
        <v>0</v>
      </c>
      <c r="L12" s="42" t="s">
        <v>89</v>
      </c>
      <c r="M12" s="39">
        <f>+M15/K5</f>
        <v>0.15604583120339255</v>
      </c>
      <c r="N12" s="38">
        <f>+M7/K5</f>
        <v>0.38429742688226637</v>
      </c>
      <c r="O12" t="s">
        <v>90</v>
      </c>
    </row>
    <row r="13" spans="2:16" x14ac:dyDescent="0.2">
      <c r="B13" t="s">
        <v>183</v>
      </c>
      <c r="C13" t="s">
        <v>181</v>
      </c>
      <c r="D13" t="s">
        <v>181</v>
      </c>
      <c r="E13" s="1">
        <v>180000</v>
      </c>
      <c r="F13" s="1">
        <v>0</v>
      </c>
      <c r="L13" s="42" t="s">
        <v>91</v>
      </c>
      <c r="M13" s="39">
        <f>M15/M4</f>
        <v>0.25344352617079891</v>
      </c>
      <c r="N13" s="38">
        <f>+M7/M4</f>
        <v>0.62416082644628101</v>
      </c>
      <c r="O13" t="s">
        <v>92</v>
      </c>
    </row>
    <row r="14" spans="2:16" x14ac:dyDescent="0.2">
      <c r="B14" t="s">
        <v>183</v>
      </c>
      <c r="C14" t="s">
        <v>158</v>
      </c>
      <c r="D14" t="s">
        <v>111</v>
      </c>
      <c r="E14" s="1">
        <v>1060920</v>
      </c>
      <c r="F14" s="1">
        <f>+E14</f>
        <v>1060920</v>
      </c>
    </row>
    <row r="15" spans="2:16" x14ac:dyDescent="0.2">
      <c r="B15" t="s">
        <v>183</v>
      </c>
      <c r="C15" t="s">
        <v>162</v>
      </c>
      <c r="D15" t="s">
        <v>174</v>
      </c>
      <c r="E15" s="1">
        <v>0</v>
      </c>
      <c r="F15" s="1">
        <f>+E15</f>
        <v>0</v>
      </c>
      <c r="L15" s="40" t="s">
        <v>94</v>
      </c>
      <c r="M15" s="43">
        <f>$I$54</f>
        <v>4600000</v>
      </c>
    </row>
    <row r="16" spans="2:16" x14ac:dyDescent="0.2">
      <c r="B16" t="s">
        <v>183</v>
      </c>
      <c r="C16" t="s">
        <v>177</v>
      </c>
      <c r="D16" t="s">
        <v>179</v>
      </c>
      <c r="E16" s="1">
        <v>0</v>
      </c>
      <c r="F16" s="1">
        <v>0</v>
      </c>
      <c r="L16" t="s">
        <v>96</v>
      </c>
      <c r="M16" s="5">
        <f>+M7-M15</f>
        <v>6728519</v>
      </c>
    </row>
    <row r="17" spans="2:19" x14ac:dyDescent="0.2">
      <c r="B17" t="s">
        <v>183</v>
      </c>
      <c r="C17" t="s">
        <v>178</v>
      </c>
      <c r="D17" t="s">
        <v>180</v>
      </c>
      <c r="E17" s="1">
        <v>0</v>
      </c>
      <c r="F17" s="1">
        <v>0</v>
      </c>
    </row>
    <row r="18" spans="2:19" x14ac:dyDescent="0.2">
      <c r="B18" t="s">
        <v>182</v>
      </c>
      <c r="C18" t="s">
        <v>73</v>
      </c>
      <c r="D18" t="s">
        <v>70</v>
      </c>
      <c r="E18" s="1">
        <v>3000000</v>
      </c>
      <c r="F18" s="1">
        <v>0</v>
      </c>
    </row>
    <row r="19" spans="2:19" x14ac:dyDescent="0.2">
      <c r="B19" t="s">
        <v>182</v>
      </c>
      <c r="C19" t="s">
        <v>8</v>
      </c>
      <c r="D19" t="s">
        <v>85</v>
      </c>
      <c r="E19" s="1">
        <v>300000</v>
      </c>
      <c r="F19" s="1">
        <v>0</v>
      </c>
    </row>
    <row r="20" spans="2:19" x14ac:dyDescent="0.2">
      <c r="B20" t="s">
        <v>182</v>
      </c>
      <c r="C20" t="s">
        <v>8</v>
      </c>
      <c r="D20" t="s">
        <v>65</v>
      </c>
      <c r="E20" s="1">
        <v>350000</v>
      </c>
      <c r="F20" s="1">
        <v>0</v>
      </c>
    </row>
    <row r="21" spans="2:19" x14ac:dyDescent="0.2">
      <c r="B21" t="s">
        <v>182</v>
      </c>
      <c r="C21" t="s">
        <v>6</v>
      </c>
      <c r="D21" t="s">
        <v>66</v>
      </c>
      <c r="E21" s="1">
        <v>1350000</v>
      </c>
      <c r="F21" s="1">
        <v>100000</v>
      </c>
    </row>
    <row r="22" spans="2:19" ht="15" thickBot="1" x14ac:dyDescent="0.25">
      <c r="B22" t="s">
        <v>182</v>
      </c>
      <c r="C22" t="s">
        <v>68</v>
      </c>
      <c r="D22" t="s">
        <v>69</v>
      </c>
      <c r="E22" s="1">
        <v>0</v>
      </c>
      <c r="F22" s="57">
        <v>0</v>
      </c>
      <c r="S22" s="1"/>
    </row>
    <row r="23" spans="2:19" ht="15" thickTop="1" x14ac:dyDescent="0.2">
      <c r="B23" t="s">
        <v>182</v>
      </c>
      <c r="C23" t="s">
        <v>5</v>
      </c>
      <c r="D23" t="s">
        <v>67</v>
      </c>
      <c r="E23" s="1">
        <v>1599599</v>
      </c>
      <c r="F23" s="58">
        <f>+SUM(F5:F22)</f>
        <v>1560920</v>
      </c>
      <c r="S23" s="1"/>
    </row>
    <row r="24" spans="2:19" x14ac:dyDescent="0.2">
      <c r="B24" t="s">
        <v>83</v>
      </c>
      <c r="E24" s="1">
        <v>11328519</v>
      </c>
      <c r="S24" s="1"/>
    </row>
    <row r="25" spans="2:19" x14ac:dyDescent="0.2">
      <c r="E25" s="1"/>
      <c r="S25" s="1"/>
    </row>
    <row r="26" spans="2:19" x14ac:dyDescent="0.2">
      <c r="E26" s="1"/>
      <c r="S26" s="1"/>
    </row>
    <row r="27" spans="2:19" x14ac:dyDescent="0.2">
      <c r="E27" s="1"/>
      <c r="S27" s="1"/>
    </row>
    <row r="28" spans="2:19" x14ac:dyDescent="0.2">
      <c r="E28" s="1"/>
      <c r="S28" s="1"/>
    </row>
    <row r="29" spans="2:19" x14ac:dyDescent="0.2">
      <c r="E29" s="1"/>
      <c r="S29" s="1"/>
    </row>
    <row r="34" spans="2:12" x14ac:dyDescent="0.2">
      <c r="B34" s="3" t="s">
        <v>27</v>
      </c>
      <c r="C34" s="3" t="s">
        <v>56</v>
      </c>
      <c r="D34" s="3" t="s">
        <v>1</v>
      </c>
      <c r="H34" s="9" t="s">
        <v>60</v>
      </c>
      <c r="I34" s="9" t="s">
        <v>1</v>
      </c>
    </row>
    <row r="35" spans="2:12" x14ac:dyDescent="0.2">
      <c r="B35" t="s">
        <v>25</v>
      </c>
      <c r="C35" s="2" t="s">
        <v>58</v>
      </c>
      <c r="D35" s="18">
        <v>10000000</v>
      </c>
      <c r="H35" s="10" t="s">
        <v>29</v>
      </c>
      <c r="I35" s="19">
        <v>200000</v>
      </c>
    </row>
    <row r="36" spans="2:12" x14ac:dyDescent="0.2">
      <c r="B36" t="s">
        <v>62</v>
      </c>
      <c r="C36" s="2" t="s">
        <v>63</v>
      </c>
      <c r="D36" s="18">
        <v>1800000</v>
      </c>
      <c r="H36" s="10" t="s">
        <v>31</v>
      </c>
      <c r="I36" s="19">
        <f>50*20000</f>
        <v>1000000</v>
      </c>
      <c r="K36" t="s">
        <v>152</v>
      </c>
    </row>
    <row r="37" spans="2:12" x14ac:dyDescent="0.2">
      <c r="B37" t="s">
        <v>4</v>
      </c>
      <c r="C37" s="2" t="s">
        <v>57</v>
      </c>
      <c r="D37" s="18">
        <v>600000</v>
      </c>
      <c r="H37" s="10" t="s">
        <v>153</v>
      </c>
      <c r="I37" s="19">
        <v>0</v>
      </c>
      <c r="K37" t="s">
        <v>154</v>
      </c>
    </row>
    <row r="38" spans="2:12" x14ac:dyDescent="0.2">
      <c r="B38" t="s">
        <v>19</v>
      </c>
      <c r="C38" s="2" t="s">
        <v>57</v>
      </c>
      <c r="D38" s="18">
        <v>600000</v>
      </c>
      <c r="H38" s="10" t="s">
        <v>54</v>
      </c>
      <c r="I38" s="19">
        <v>280000</v>
      </c>
      <c r="K38" t="s">
        <v>155</v>
      </c>
    </row>
    <row r="39" spans="2:12" x14ac:dyDescent="0.2">
      <c r="B39" t="s">
        <v>3</v>
      </c>
      <c r="C39" s="2" t="s">
        <v>57</v>
      </c>
      <c r="D39" s="18">
        <v>500000</v>
      </c>
      <c r="H39" s="10" t="s">
        <v>28</v>
      </c>
      <c r="I39" s="19">
        <v>300000</v>
      </c>
      <c r="K39" t="s">
        <v>156</v>
      </c>
    </row>
    <row r="40" spans="2:12" x14ac:dyDescent="0.2">
      <c r="B40" t="s">
        <v>21</v>
      </c>
      <c r="C40" s="2" t="s">
        <v>58</v>
      </c>
      <c r="D40" s="18">
        <v>480000</v>
      </c>
      <c r="H40" s="10" t="s">
        <v>30</v>
      </c>
      <c r="I40" s="19">
        <v>0</v>
      </c>
    </row>
    <row r="41" spans="2:12" x14ac:dyDescent="0.2">
      <c r="B41" t="s">
        <v>26</v>
      </c>
      <c r="C41" s="2" t="s">
        <v>58</v>
      </c>
      <c r="D41" s="18">
        <v>320000</v>
      </c>
      <c r="H41" s="11" t="s">
        <v>35</v>
      </c>
      <c r="I41" s="20">
        <v>200000</v>
      </c>
      <c r="K41" t="s">
        <v>157</v>
      </c>
      <c r="L41" s="59">
        <v>200000</v>
      </c>
    </row>
    <row r="42" spans="2:12" ht="15" thickBot="1" x14ac:dyDescent="0.25">
      <c r="B42" t="s">
        <v>184</v>
      </c>
      <c r="C42" s="2" t="s">
        <v>58</v>
      </c>
      <c r="D42" s="18">
        <v>200000</v>
      </c>
      <c r="H42" s="17" t="s">
        <v>75</v>
      </c>
      <c r="I42" s="21">
        <v>150000</v>
      </c>
    </row>
    <row r="43" spans="2:12" ht="15" thickTop="1" x14ac:dyDescent="0.2">
      <c r="B43" t="s">
        <v>59</v>
      </c>
      <c r="C43" s="2" t="s">
        <v>57</v>
      </c>
      <c r="D43" s="18">
        <v>200000</v>
      </c>
      <c r="H43" t="s">
        <v>2</v>
      </c>
      <c r="I43" s="1">
        <f>SUBTOTAL(109,Stock_Actual[Valor])</f>
        <v>2130000</v>
      </c>
    </row>
    <row r="44" spans="2:12" x14ac:dyDescent="0.2">
      <c r="B44" t="s">
        <v>17</v>
      </c>
      <c r="C44" s="2" t="s">
        <v>57</v>
      </c>
      <c r="D44" s="18">
        <v>200000</v>
      </c>
    </row>
    <row r="45" spans="2:12" x14ac:dyDescent="0.2">
      <c r="B45" t="s">
        <v>10</v>
      </c>
      <c r="C45" s="2" t="s">
        <v>57</v>
      </c>
      <c r="D45" s="18">
        <v>200000</v>
      </c>
    </row>
    <row r="46" spans="2:12" x14ac:dyDescent="0.2">
      <c r="B46" t="s">
        <v>23</v>
      </c>
      <c r="C46" s="2" t="s">
        <v>57</v>
      </c>
      <c r="D46" s="18">
        <v>150000</v>
      </c>
      <c r="H46" s="9" t="s">
        <v>60</v>
      </c>
      <c r="I46" s="9" t="s">
        <v>1</v>
      </c>
    </row>
    <row r="47" spans="2:12" x14ac:dyDescent="0.2">
      <c r="B47" t="s">
        <v>20</v>
      </c>
      <c r="C47" s="2" t="s">
        <v>58</v>
      </c>
      <c r="D47" s="18">
        <v>120000</v>
      </c>
      <c r="H47" s="10" t="s">
        <v>29</v>
      </c>
      <c r="I47" s="19">
        <v>1500000</v>
      </c>
    </row>
    <row r="48" spans="2:12" x14ac:dyDescent="0.2">
      <c r="B48" t="s">
        <v>13</v>
      </c>
      <c r="C48" s="2" t="s">
        <v>57</v>
      </c>
      <c r="D48" s="18">
        <v>120000</v>
      </c>
      <c r="H48" s="10" t="s">
        <v>31</v>
      </c>
      <c r="I48" s="19">
        <f>50*20000</f>
        <v>1000000</v>
      </c>
    </row>
    <row r="49" spans="2:13" x14ac:dyDescent="0.2">
      <c r="B49" t="s">
        <v>16</v>
      </c>
      <c r="C49" s="2" t="s">
        <v>57</v>
      </c>
      <c r="D49" s="18">
        <v>100000</v>
      </c>
      <c r="H49" s="10" t="s">
        <v>54</v>
      </c>
      <c r="I49" s="19">
        <v>800000</v>
      </c>
      <c r="K49" t="s">
        <v>150</v>
      </c>
      <c r="M49" t="s">
        <v>149</v>
      </c>
    </row>
    <row r="50" spans="2:13" x14ac:dyDescent="0.2">
      <c r="B50" t="s">
        <v>14</v>
      </c>
      <c r="C50" s="2" t="s">
        <v>57</v>
      </c>
      <c r="D50" s="18">
        <v>90000</v>
      </c>
      <c r="H50" s="10" t="s">
        <v>28</v>
      </c>
      <c r="I50" s="19">
        <v>300000</v>
      </c>
      <c r="M50" t="s">
        <v>148</v>
      </c>
    </row>
    <row r="51" spans="2:13" x14ac:dyDescent="0.2">
      <c r="B51" t="s">
        <v>32</v>
      </c>
      <c r="C51" s="2" t="s">
        <v>58</v>
      </c>
      <c r="D51" s="18">
        <v>70000</v>
      </c>
      <c r="H51" s="10" t="s">
        <v>30</v>
      </c>
      <c r="I51" s="19">
        <v>500000</v>
      </c>
    </row>
    <row r="52" spans="2:13" x14ac:dyDescent="0.2">
      <c r="B52" t="s">
        <v>12</v>
      </c>
      <c r="C52" s="2" t="s">
        <v>57</v>
      </c>
      <c r="D52" s="18">
        <v>70000</v>
      </c>
      <c r="H52" s="11" t="s">
        <v>35</v>
      </c>
      <c r="I52" s="20">
        <v>200000</v>
      </c>
    </row>
    <row r="53" spans="2:13" ht="15" thickBot="1" x14ac:dyDescent="0.25">
      <c r="B53" t="s">
        <v>18</v>
      </c>
      <c r="C53" s="2" t="s">
        <v>57</v>
      </c>
      <c r="D53" s="18">
        <f>35000*2</f>
        <v>70000</v>
      </c>
      <c r="H53" s="17" t="s">
        <v>75</v>
      </c>
      <c r="I53" s="21">
        <v>300000</v>
      </c>
    </row>
    <row r="54" spans="2:13" ht="15" thickTop="1" x14ac:dyDescent="0.2">
      <c r="B54" t="s">
        <v>24</v>
      </c>
      <c r="C54" s="2" t="s">
        <v>57</v>
      </c>
      <c r="D54" s="18">
        <v>70000</v>
      </c>
      <c r="H54" t="s">
        <v>2</v>
      </c>
      <c r="I54" s="1">
        <f>SUBTOTAL(109,Stock_Ideal[Valor])</f>
        <v>4600000</v>
      </c>
    </row>
    <row r="55" spans="2:13" x14ac:dyDescent="0.2">
      <c r="B55" t="s">
        <v>15</v>
      </c>
      <c r="C55" s="2" t="s">
        <v>57</v>
      </c>
      <c r="D55" s="18">
        <v>60000</v>
      </c>
    </row>
    <row r="56" spans="2:13" x14ac:dyDescent="0.2">
      <c r="B56" t="s">
        <v>2</v>
      </c>
      <c r="D56" s="1">
        <f>SUBTOTAL(109,Planta_y_Equipo[Valor])</f>
        <v>16020000</v>
      </c>
    </row>
  </sheetData>
  <mergeCells count="1">
    <mergeCell ref="K5:K9"/>
  </mergeCells>
  <phoneticPr fontId="15" type="noConversion"/>
  <pageMargins left="0.7" right="0.7" top="0.75" bottom="0.75" header="0.3" footer="0.3"/>
  <pageSetup orientation="portrait" verticalDpi="0" r:id="rId2"/>
  <drawing r:id="rId3"/>
  <legacyDrawing r:id="rId4"/>
  <tableParts count="4">
    <tablePart r:id="rId5"/>
    <tablePart r:id="rId6"/>
    <tablePart r:id="rId7"/>
    <tablePart r:id="rId8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 tint="0.39997558519241921"/>
  </sheetPr>
  <dimension ref="A2:AR29"/>
  <sheetViews>
    <sheetView showGridLines="0" topLeftCell="H1" zoomScale="70" zoomScaleNormal="70" workbookViewId="0"/>
  </sheetViews>
  <sheetFormatPr baseColWidth="10" defaultRowHeight="14.25" outlineLevelCol="1" x14ac:dyDescent="0.2"/>
  <cols>
    <col min="1" max="1" width="12.5" hidden="1" customWidth="1" outlineLevel="1"/>
    <col min="2" max="2" width="14.75" hidden="1" customWidth="1" outlineLevel="1"/>
    <col min="3" max="3" width="7.875" hidden="1" customWidth="1" outlineLevel="1"/>
    <col min="4" max="4" width="10" hidden="1" customWidth="1" outlineLevel="1"/>
    <col min="5" max="5" width="11.375" hidden="1" customWidth="1" outlineLevel="1"/>
    <col min="6" max="6" width="9" hidden="1" customWidth="1" outlineLevel="1"/>
    <col min="7" max="7" width="9.125" hidden="1" customWidth="1" outlineLevel="1"/>
    <col min="8" max="8" width="11" collapsed="1"/>
    <col min="20" max="20" width="8.125" customWidth="1"/>
    <col min="21" max="21" width="6" customWidth="1"/>
    <col min="22" max="22" width="11.375" customWidth="1"/>
    <col min="23" max="23" width="12.25" bestFit="1" customWidth="1"/>
    <col min="24" max="25" width="17.25" bestFit="1" customWidth="1"/>
    <col min="26" max="26" width="9" bestFit="1" customWidth="1"/>
    <col min="27" max="27" width="15" bestFit="1" customWidth="1"/>
    <col min="28" max="28" width="21.875" bestFit="1" customWidth="1"/>
    <col min="29" max="29" width="17.125" bestFit="1" customWidth="1"/>
    <col min="30" max="30" width="13.375" bestFit="1" customWidth="1"/>
    <col min="32" max="32" width="12.375" bestFit="1" customWidth="1"/>
    <col min="37" max="37" width="7.625" bestFit="1" customWidth="1"/>
    <col min="38" max="39" width="11.375" bestFit="1" customWidth="1"/>
    <col min="40" max="40" width="10.125" bestFit="1" customWidth="1"/>
    <col min="44" max="44" width="10.25" bestFit="1" customWidth="1"/>
    <col min="45" max="45" width="7.625" bestFit="1" customWidth="1"/>
    <col min="46" max="47" width="9" bestFit="1" customWidth="1"/>
    <col min="48" max="48" width="13.375" bestFit="1" customWidth="1"/>
  </cols>
  <sheetData>
    <row r="2" spans="1:44" ht="15" thickBot="1" x14ac:dyDescent="0.25">
      <c r="A2" s="15" t="s">
        <v>47</v>
      </c>
      <c r="B2" t="s">
        <v>109</v>
      </c>
      <c r="W2" s="192" t="s">
        <v>48</v>
      </c>
      <c r="X2" t="s">
        <v>100</v>
      </c>
      <c r="AQ2" s="15" t="s">
        <v>47</v>
      </c>
      <c r="AR2" t="s">
        <v>109</v>
      </c>
    </row>
    <row r="3" spans="1:44" x14ac:dyDescent="0.2">
      <c r="W3" s="1">
        <v>6010100</v>
      </c>
      <c r="X3" s="1">
        <v>13445.413870246084</v>
      </c>
      <c r="AD3" s="44"/>
      <c r="AF3" s="1"/>
    </row>
    <row r="4" spans="1:44" x14ac:dyDescent="0.2">
      <c r="A4" s="15" t="s">
        <v>38</v>
      </c>
      <c r="B4" s="15" t="s">
        <v>39</v>
      </c>
      <c r="C4" t="s">
        <v>48</v>
      </c>
      <c r="AD4" s="37"/>
      <c r="AE4" s="37"/>
      <c r="AJ4" s="15" t="s">
        <v>38</v>
      </c>
      <c r="AK4" s="15" t="s">
        <v>39</v>
      </c>
      <c r="AL4" t="s">
        <v>48</v>
      </c>
      <c r="AQ4" s="15" t="s">
        <v>38</v>
      </c>
      <c r="AR4" s="15" t="s">
        <v>39</v>
      </c>
    </row>
    <row r="5" spans="1:44" ht="15" thickBot="1" x14ac:dyDescent="0.25">
      <c r="A5" s="14">
        <v>46076</v>
      </c>
      <c r="B5" t="s">
        <v>164</v>
      </c>
      <c r="C5" s="1">
        <v>225000</v>
      </c>
      <c r="AJ5" s="14">
        <v>46076</v>
      </c>
      <c r="AK5" t="s">
        <v>164</v>
      </c>
      <c r="AL5" s="1">
        <v>225000</v>
      </c>
      <c r="AQ5" s="14">
        <v>46076</v>
      </c>
      <c r="AR5" t="s">
        <v>164</v>
      </c>
    </row>
    <row r="6" spans="1:44" ht="15" thickBot="1" x14ac:dyDescent="0.25">
      <c r="A6" s="14">
        <v>46077</v>
      </c>
      <c r="B6" t="s">
        <v>165</v>
      </c>
      <c r="C6" s="1">
        <v>221500</v>
      </c>
      <c r="W6" s="16" t="s">
        <v>101</v>
      </c>
      <c r="X6" s="49" t="s">
        <v>98</v>
      </c>
      <c r="Y6" s="49" t="s">
        <v>46</v>
      </c>
      <c r="Z6" s="49" t="s">
        <v>97</v>
      </c>
      <c r="AA6" s="49" t="s">
        <v>102</v>
      </c>
      <c r="AB6" s="49" t="s">
        <v>103</v>
      </c>
      <c r="AC6" s="49" t="s">
        <v>105</v>
      </c>
      <c r="AD6" s="49" t="s">
        <v>104</v>
      </c>
      <c r="AJ6" s="14">
        <v>46077</v>
      </c>
      <c r="AK6" t="s">
        <v>165</v>
      </c>
      <c r="AL6" s="1">
        <v>221500</v>
      </c>
      <c r="AQ6" s="14">
        <v>46077</v>
      </c>
      <c r="AR6" t="s">
        <v>165</v>
      </c>
    </row>
    <row r="7" spans="1:44" ht="15" thickBot="1" x14ac:dyDescent="0.25">
      <c r="A7" s="14">
        <v>46078</v>
      </c>
      <c r="B7" t="s">
        <v>166</v>
      </c>
      <c r="C7" s="1">
        <v>390500</v>
      </c>
      <c r="W7" s="45" t="s">
        <v>51</v>
      </c>
      <c r="X7" s="208">
        <f>+SUBTOTAL(3,B5:B1048576)</f>
        <v>25</v>
      </c>
      <c r="Y7" s="208"/>
      <c r="Z7" s="208"/>
      <c r="AJ7" s="14">
        <v>46078</v>
      </c>
      <c r="AK7" t="s">
        <v>166</v>
      </c>
      <c r="AL7" s="1">
        <v>390500</v>
      </c>
      <c r="AQ7" s="14">
        <v>46078</v>
      </c>
      <c r="AR7" t="s">
        <v>166</v>
      </c>
    </row>
    <row r="8" spans="1:44" ht="15" thickBot="1" x14ac:dyDescent="0.25">
      <c r="A8" s="14">
        <v>46079</v>
      </c>
      <c r="B8" t="s">
        <v>167</v>
      </c>
      <c r="C8" s="1">
        <v>209000</v>
      </c>
      <c r="W8" s="45" t="s">
        <v>52</v>
      </c>
      <c r="X8" s="16">
        <f>+SUBTOTAL(9,D5:D1048576)/SUBTOTAL(3,B5:B1048576)</f>
        <v>0</v>
      </c>
      <c r="Y8" s="16">
        <f>+SUBTOTAL(9,E5:E1048576)/SUBTOTAL(3,B5:B1048576)</f>
        <v>0</v>
      </c>
      <c r="Z8" s="16">
        <f>+SUBTOTAL(9,F5:F1048576)/SUBTOTAL(3,B5:B1048576)</f>
        <v>0</v>
      </c>
      <c r="AA8" s="50">
        <f>+Y8-Z8</f>
        <v>0</v>
      </c>
      <c r="AB8" s="50">
        <f>+AB9/30</f>
        <v>53333.333333333336</v>
      </c>
      <c r="AC8" s="50">
        <f>+AB8+Z8</f>
        <v>53333.333333333336</v>
      </c>
      <c r="AD8" s="50">
        <f>+AD9/30</f>
        <v>177777.77777777778</v>
      </c>
      <c r="AF8">
        <v>143241</v>
      </c>
      <c r="AJ8" s="14">
        <v>46079</v>
      </c>
      <c r="AK8" t="s">
        <v>167</v>
      </c>
      <c r="AL8" s="1">
        <v>209000</v>
      </c>
      <c r="AQ8" s="14">
        <v>46079</v>
      </c>
      <c r="AR8" t="s">
        <v>167</v>
      </c>
    </row>
    <row r="9" spans="1:44" x14ac:dyDescent="0.2">
      <c r="A9" s="14">
        <v>46080</v>
      </c>
      <c r="B9" t="s">
        <v>168</v>
      </c>
      <c r="C9" s="1">
        <v>248500</v>
      </c>
      <c r="W9" s="45" t="s">
        <v>50</v>
      </c>
      <c r="X9" s="16">
        <f>+X8*30</f>
        <v>0</v>
      </c>
      <c r="Y9" s="16">
        <f>+Y8*30</f>
        <v>0</v>
      </c>
      <c r="Z9" s="16">
        <f>+Z8*30</f>
        <v>0</v>
      </c>
      <c r="AA9" s="50">
        <f>+AA8*30</f>
        <v>0</v>
      </c>
      <c r="AB9" s="50">
        <f>+(20000*30)+1000000</f>
        <v>1600000</v>
      </c>
      <c r="AC9" s="50">
        <f>+AB9+Z9</f>
        <v>1600000</v>
      </c>
      <c r="AD9" s="50">
        <f>(AC9*100)/30</f>
        <v>5333333.333333333</v>
      </c>
      <c r="AF9" s="1">
        <v>174333.33333333334</v>
      </c>
      <c r="AG9" s="37">
        <f>+AF9/AF8</f>
        <v>1.2170630848244102</v>
      </c>
      <c r="AH9" s="1">
        <f>+AF9-AF8</f>
        <v>31092.333333333343</v>
      </c>
      <c r="AJ9" s="14">
        <v>46080</v>
      </c>
      <c r="AK9" t="s">
        <v>168</v>
      </c>
      <c r="AL9" s="1">
        <v>248500</v>
      </c>
      <c r="AQ9" s="14">
        <v>46080</v>
      </c>
      <c r="AR9" t="s">
        <v>168</v>
      </c>
    </row>
    <row r="10" spans="1:44" ht="15" thickBot="1" x14ac:dyDescent="0.25">
      <c r="A10" s="14">
        <v>46081</v>
      </c>
      <c r="B10" t="s">
        <v>169</v>
      </c>
      <c r="C10" s="1">
        <v>504000</v>
      </c>
      <c r="AD10" s="1"/>
      <c r="AJ10" s="14">
        <v>46081</v>
      </c>
      <c r="AK10" t="s">
        <v>169</v>
      </c>
      <c r="AL10" s="1">
        <v>504000</v>
      </c>
      <c r="AQ10" s="14">
        <v>46081</v>
      </c>
      <c r="AR10" t="s">
        <v>169</v>
      </c>
    </row>
    <row r="11" spans="1:44" ht="15" thickBot="1" x14ac:dyDescent="0.25">
      <c r="A11" s="14">
        <v>46085</v>
      </c>
      <c r="B11" t="s">
        <v>166</v>
      </c>
      <c r="C11" s="1">
        <v>344000</v>
      </c>
      <c r="X11" s="47" t="s">
        <v>98</v>
      </c>
      <c r="Y11" s="47" t="s">
        <v>46</v>
      </c>
      <c r="Z11" s="47" t="s">
        <v>97</v>
      </c>
      <c r="AA11" s="48" t="s">
        <v>99</v>
      </c>
      <c r="AB11" s="49" t="s">
        <v>108</v>
      </c>
      <c r="AC11" s="49" t="s">
        <v>106</v>
      </c>
      <c r="AD11" s="49" t="s">
        <v>107</v>
      </c>
      <c r="AJ11" s="14">
        <v>46085</v>
      </c>
      <c r="AK11" t="s">
        <v>166</v>
      </c>
      <c r="AL11" s="1">
        <v>344000</v>
      </c>
      <c r="AQ11" s="14">
        <v>46085</v>
      </c>
      <c r="AR11" t="s">
        <v>166</v>
      </c>
    </row>
    <row r="12" spans="1:44" ht="15" thickBot="1" x14ac:dyDescent="0.25">
      <c r="A12" s="14">
        <v>46086</v>
      </c>
      <c r="B12" t="s">
        <v>167</v>
      </c>
      <c r="C12" s="1">
        <v>259000</v>
      </c>
      <c r="W12" s="49" t="s">
        <v>42</v>
      </c>
      <c r="X12" s="16" t="e">
        <f t="shared" ref="X12:X18" si="0">+AVERAGEIF($C$5:$C$1048576,$W12,$D$5:$D$1048576)</f>
        <v>#DIV/0!</v>
      </c>
      <c r="Y12" s="16" t="e">
        <f>+AVERAGEIF($C$5:$C$1048576,W12,$E$5:$E$1048576)</f>
        <v>#DIV/0!</v>
      </c>
      <c r="Z12" s="16" t="e">
        <f>+AVERAGEIF($C$5:$C$1048576,W12,$F$5:$F$1048576)</f>
        <v>#DIV/0!</v>
      </c>
      <c r="AA12" s="46" t="e">
        <f>+Y12-Z12</f>
        <v>#DIV/0!</v>
      </c>
      <c r="AB12" s="51" t="e">
        <f t="shared" ref="AB12:AB18" si="1">+X12/$X$20</f>
        <v>#DIV/0!</v>
      </c>
      <c r="AC12" s="5" t="e">
        <f>+AB12*$AD$8</f>
        <v>#DIV/0!</v>
      </c>
      <c r="AD12" s="37" t="e">
        <f t="shared" ref="AD12:AD18" si="2">+AC12/X12-1</f>
        <v>#DIV/0!</v>
      </c>
      <c r="AJ12" s="14">
        <v>46086</v>
      </c>
      <c r="AK12" t="s">
        <v>167</v>
      </c>
      <c r="AL12" s="1">
        <v>259000</v>
      </c>
      <c r="AQ12" s="14">
        <v>46086</v>
      </c>
      <c r="AR12" t="s">
        <v>167</v>
      </c>
    </row>
    <row r="13" spans="1:44" ht="15" thickBot="1" x14ac:dyDescent="0.25">
      <c r="A13" s="14">
        <v>46083</v>
      </c>
      <c r="B13" t="s">
        <v>164</v>
      </c>
      <c r="C13" s="1">
        <v>60000</v>
      </c>
      <c r="W13" s="49" t="s">
        <v>43</v>
      </c>
      <c r="X13" s="16" t="e">
        <f t="shared" si="0"/>
        <v>#DIV/0!</v>
      </c>
      <c r="Y13" s="16" t="e">
        <f t="shared" ref="Y13:Y18" si="3">+AVERAGEIF($C$5:$C$1048576,W13,$E$5:$E$1048576)</f>
        <v>#DIV/0!</v>
      </c>
      <c r="Z13" s="16" t="e">
        <f t="shared" ref="Z13:Z18" si="4">+AVERAGEIF($C$5:$C$1048576,W13,$F$5:$F$1048576)</f>
        <v>#DIV/0!</v>
      </c>
      <c r="AA13" s="46" t="e">
        <f t="shared" ref="AA13:AA18" si="5">+Y13-Z13</f>
        <v>#DIV/0!</v>
      </c>
      <c r="AB13" s="51" t="e">
        <f t="shared" si="1"/>
        <v>#DIV/0!</v>
      </c>
      <c r="AC13" s="5" t="e">
        <f t="shared" ref="AC13:AC18" si="6">+AB13*$AD$8</f>
        <v>#DIV/0!</v>
      </c>
      <c r="AD13" s="37" t="e">
        <f t="shared" si="2"/>
        <v>#DIV/0!</v>
      </c>
      <c r="AJ13" s="14">
        <v>46083</v>
      </c>
      <c r="AK13" t="s">
        <v>164</v>
      </c>
      <c r="AL13" s="1">
        <v>60000</v>
      </c>
      <c r="AQ13" s="14">
        <v>46083</v>
      </c>
      <c r="AR13" t="s">
        <v>164</v>
      </c>
    </row>
    <row r="14" spans="1:44" ht="15" thickBot="1" x14ac:dyDescent="0.25">
      <c r="A14" s="14">
        <v>46084</v>
      </c>
      <c r="B14" t="s">
        <v>165</v>
      </c>
      <c r="C14" s="1">
        <v>169000</v>
      </c>
      <c r="W14" s="49" t="s">
        <v>44</v>
      </c>
      <c r="X14" s="16" t="e">
        <f t="shared" si="0"/>
        <v>#DIV/0!</v>
      </c>
      <c r="Y14" s="16" t="e">
        <f t="shared" si="3"/>
        <v>#DIV/0!</v>
      </c>
      <c r="Z14" s="16" t="e">
        <f t="shared" si="4"/>
        <v>#DIV/0!</v>
      </c>
      <c r="AA14" s="46" t="e">
        <f t="shared" si="5"/>
        <v>#DIV/0!</v>
      </c>
      <c r="AB14" s="51" t="e">
        <f t="shared" si="1"/>
        <v>#DIV/0!</v>
      </c>
      <c r="AC14" s="5" t="e">
        <f t="shared" si="6"/>
        <v>#DIV/0!</v>
      </c>
      <c r="AD14" s="37" t="e">
        <f t="shared" si="2"/>
        <v>#DIV/0!</v>
      </c>
      <c r="AJ14" s="14">
        <v>46084</v>
      </c>
      <c r="AK14" t="s">
        <v>165</v>
      </c>
      <c r="AL14" s="1">
        <v>169000</v>
      </c>
      <c r="AQ14" s="14">
        <v>46084</v>
      </c>
      <c r="AR14" t="s">
        <v>165</v>
      </c>
    </row>
    <row r="15" spans="1:44" ht="15" thickBot="1" x14ac:dyDescent="0.25">
      <c r="A15" s="14">
        <v>46088</v>
      </c>
      <c r="B15" t="s">
        <v>169</v>
      </c>
      <c r="C15" s="1">
        <v>298500</v>
      </c>
      <c r="W15" s="49" t="s">
        <v>37</v>
      </c>
      <c r="X15" s="16" t="e">
        <f t="shared" si="0"/>
        <v>#DIV/0!</v>
      </c>
      <c r="Y15" s="16" t="e">
        <f t="shared" si="3"/>
        <v>#DIV/0!</v>
      </c>
      <c r="Z15" s="16" t="e">
        <f t="shared" si="4"/>
        <v>#DIV/0!</v>
      </c>
      <c r="AA15" s="46" t="e">
        <f t="shared" si="5"/>
        <v>#DIV/0!</v>
      </c>
      <c r="AB15" s="51" t="e">
        <f t="shared" si="1"/>
        <v>#DIV/0!</v>
      </c>
      <c r="AC15" s="5" t="e">
        <f t="shared" si="6"/>
        <v>#DIV/0!</v>
      </c>
      <c r="AD15" s="37" t="e">
        <f t="shared" si="2"/>
        <v>#DIV/0!</v>
      </c>
      <c r="AJ15" s="14">
        <v>46088</v>
      </c>
      <c r="AK15" t="s">
        <v>169</v>
      </c>
      <c r="AL15" s="1">
        <v>298500</v>
      </c>
      <c r="AQ15" s="14">
        <v>46088</v>
      </c>
      <c r="AR15" t="s">
        <v>169</v>
      </c>
    </row>
    <row r="16" spans="1:44" ht="15" thickBot="1" x14ac:dyDescent="0.25">
      <c r="A16" s="14">
        <v>46089</v>
      </c>
      <c r="B16" t="s">
        <v>163</v>
      </c>
      <c r="C16" s="1">
        <v>219500</v>
      </c>
      <c r="W16" s="49" t="s">
        <v>45</v>
      </c>
      <c r="X16" s="16" t="e">
        <f t="shared" si="0"/>
        <v>#DIV/0!</v>
      </c>
      <c r="Y16" s="16" t="e">
        <f t="shared" si="3"/>
        <v>#DIV/0!</v>
      </c>
      <c r="Z16" s="16" t="e">
        <f t="shared" si="4"/>
        <v>#DIV/0!</v>
      </c>
      <c r="AA16" s="46" t="e">
        <f t="shared" si="5"/>
        <v>#DIV/0!</v>
      </c>
      <c r="AB16" s="51" t="e">
        <f t="shared" si="1"/>
        <v>#DIV/0!</v>
      </c>
      <c r="AC16" s="5" t="e">
        <f t="shared" si="6"/>
        <v>#DIV/0!</v>
      </c>
      <c r="AD16" s="37" t="e">
        <f t="shared" si="2"/>
        <v>#DIV/0!</v>
      </c>
      <c r="AJ16" s="14">
        <v>46089</v>
      </c>
      <c r="AK16" t="s">
        <v>163</v>
      </c>
      <c r="AL16" s="1">
        <v>219500</v>
      </c>
      <c r="AQ16" s="14">
        <v>46089</v>
      </c>
      <c r="AR16" t="s">
        <v>163</v>
      </c>
    </row>
    <row r="17" spans="1:44" ht="15" thickBot="1" x14ac:dyDescent="0.25">
      <c r="A17" s="14">
        <v>46090</v>
      </c>
      <c r="B17" t="s">
        <v>164</v>
      </c>
      <c r="C17" s="1">
        <v>248500</v>
      </c>
      <c r="W17" s="49" t="s">
        <v>40</v>
      </c>
      <c r="X17" s="16" t="e">
        <f t="shared" si="0"/>
        <v>#DIV/0!</v>
      </c>
      <c r="Y17" s="16" t="e">
        <f t="shared" si="3"/>
        <v>#DIV/0!</v>
      </c>
      <c r="Z17" s="16" t="e">
        <f t="shared" si="4"/>
        <v>#DIV/0!</v>
      </c>
      <c r="AA17" s="46" t="e">
        <f t="shared" si="5"/>
        <v>#DIV/0!</v>
      </c>
      <c r="AB17" s="51" t="e">
        <f t="shared" si="1"/>
        <v>#DIV/0!</v>
      </c>
      <c r="AC17" s="5" t="e">
        <f t="shared" si="6"/>
        <v>#DIV/0!</v>
      </c>
      <c r="AD17" s="37" t="e">
        <f t="shared" si="2"/>
        <v>#DIV/0!</v>
      </c>
      <c r="AJ17" s="14">
        <v>46090</v>
      </c>
      <c r="AK17" t="s">
        <v>164</v>
      </c>
      <c r="AL17" s="1">
        <v>248500</v>
      </c>
      <c r="AQ17" s="14">
        <v>46090</v>
      </c>
      <c r="AR17" t="s">
        <v>164</v>
      </c>
    </row>
    <row r="18" spans="1:44" x14ac:dyDescent="0.2">
      <c r="A18" s="14">
        <v>46091</v>
      </c>
      <c r="B18" t="s">
        <v>165</v>
      </c>
      <c r="C18" s="1">
        <v>94000</v>
      </c>
      <c r="W18" s="49" t="s">
        <v>41</v>
      </c>
      <c r="X18" s="16" t="e">
        <f t="shared" si="0"/>
        <v>#DIV/0!</v>
      </c>
      <c r="Y18" s="16" t="e">
        <f t="shared" si="3"/>
        <v>#DIV/0!</v>
      </c>
      <c r="Z18" s="16" t="e">
        <f t="shared" si="4"/>
        <v>#DIV/0!</v>
      </c>
      <c r="AA18" s="46" t="e">
        <f t="shared" si="5"/>
        <v>#DIV/0!</v>
      </c>
      <c r="AB18" s="51" t="e">
        <f t="shared" si="1"/>
        <v>#DIV/0!</v>
      </c>
      <c r="AC18" s="5" t="e">
        <f t="shared" si="6"/>
        <v>#DIV/0!</v>
      </c>
      <c r="AD18" s="37" t="e">
        <f t="shared" si="2"/>
        <v>#DIV/0!</v>
      </c>
      <c r="AJ18" s="14">
        <v>46091</v>
      </c>
      <c r="AK18" t="s">
        <v>165</v>
      </c>
      <c r="AL18" s="1">
        <v>94000</v>
      </c>
      <c r="AQ18" s="14">
        <v>46091</v>
      </c>
      <c r="AR18" t="s">
        <v>165</v>
      </c>
    </row>
    <row r="19" spans="1:44" x14ac:dyDescent="0.2">
      <c r="A19" s="14">
        <v>46092</v>
      </c>
      <c r="B19" t="s">
        <v>166</v>
      </c>
      <c r="C19" s="1">
        <v>473500</v>
      </c>
      <c r="AJ19" s="14">
        <v>46092</v>
      </c>
      <c r="AK19" t="s">
        <v>166</v>
      </c>
      <c r="AL19" s="1">
        <v>473500</v>
      </c>
      <c r="AQ19" s="14">
        <v>46092</v>
      </c>
      <c r="AR19" t="s">
        <v>166</v>
      </c>
    </row>
    <row r="20" spans="1:44" x14ac:dyDescent="0.2">
      <c r="A20" s="14">
        <v>46093</v>
      </c>
      <c r="B20" t="s">
        <v>167</v>
      </c>
      <c r="C20" s="1">
        <v>243000</v>
      </c>
      <c r="X20" s="1" t="e">
        <f>+AVERAGE(X12:X18)</f>
        <v>#DIV/0!</v>
      </c>
      <c r="Y20" s="1" t="e">
        <f>+AVERAGE(Y12:Y18)</f>
        <v>#DIV/0!</v>
      </c>
      <c r="Z20" s="1" t="e">
        <f>+AVERAGE(Z12:Z18)</f>
        <v>#DIV/0!</v>
      </c>
      <c r="AC20" s="1" t="e">
        <f>+AVERAGE(AC12:AC18)</f>
        <v>#DIV/0!</v>
      </c>
      <c r="AD20" s="37" t="e">
        <f>+AC20/X20-1</f>
        <v>#DIV/0!</v>
      </c>
      <c r="AJ20" s="14">
        <v>46093</v>
      </c>
      <c r="AK20" t="s">
        <v>167</v>
      </c>
      <c r="AL20" s="1">
        <v>243000</v>
      </c>
      <c r="AQ20" s="14">
        <v>46093</v>
      </c>
      <c r="AR20" t="s">
        <v>167</v>
      </c>
    </row>
    <row r="21" spans="1:44" x14ac:dyDescent="0.2">
      <c r="A21" s="14">
        <v>46094</v>
      </c>
      <c r="B21" t="s">
        <v>168</v>
      </c>
      <c r="C21" s="1">
        <v>132500</v>
      </c>
      <c r="X21" s="1" t="e">
        <f>+AVERAGE(X12:X15)</f>
        <v>#DIV/0!</v>
      </c>
      <c r="Y21" s="1" t="e">
        <f>+AVERAGE(Y12:Y15)</f>
        <v>#DIV/0!</v>
      </c>
      <c r="Z21" s="1" t="e">
        <f>+AVERAGE(Z12:Z15)</f>
        <v>#DIV/0!</v>
      </c>
      <c r="AJ21" s="14">
        <v>46094</v>
      </c>
      <c r="AK21" t="s">
        <v>168</v>
      </c>
      <c r="AL21" s="1">
        <v>132500</v>
      </c>
      <c r="AQ21" s="14">
        <v>46094</v>
      </c>
      <c r="AR21" t="s">
        <v>168</v>
      </c>
    </row>
    <row r="22" spans="1:44" x14ac:dyDescent="0.2">
      <c r="A22" s="14">
        <v>46095</v>
      </c>
      <c r="B22" t="s">
        <v>169</v>
      </c>
      <c r="C22" s="1">
        <v>392500</v>
      </c>
      <c r="AJ22" s="14">
        <v>46095</v>
      </c>
      <c r="AK22" t="s">
        <v>169</v>
      </c>
      <c r="AL22" s="1">
        <v>392500</v>
      </c>
      <c r="AQ22" s="14">
        <v>46095</v>
      </c>
      <c r="AR22" t="s">
        <v>169</v>
      </c>
    </row>
    <row r="23" spans="1:44" x14ac:dyDescent="0.2">
      <c r="A23" s="14">
        <v>46096</v>
      </c>
      <c r="B23" t="s">
        <v>163</v>
      </c>
      <c r="C23" s="1">
        <v>118000</v>
      </c>
      <c r="AB23">
        <f>15000*30</f>
        <v>450000</v>
      </c>
      <c r="AJ23" s="14">
        <v>46096</v>
      </c>
      <c r="AK23" t="s">
        <v>163</v>
      </c>
      <c r="AL23" s="1">
        <v>118000</v>
      </c>
      <c r="AQ23" s="14">
        <v>46096</v>
      </c>
      <c r="AR23" t="s">
        <v>163</v>
      </c>
    </row>
    <row r="24" spans="1:44" x14ac:dyDescent="0.2">
      <c r="A24" s="14">
        <v>46097</v>
      </c>
      <c r="B24" t="s">
        <v>164</v>
      </c>
      <c r="C24" s="1">
        <v>124000</v>
      </c>
      <c r="AJ24" s="14">
        <v>46097</v>
      </c>
      <c r="AK24" t="s">
        <v>164</v>
      </c>
      <c r="AL24" s="1">
        <v>124000</v>
      </c>
      <c r="AQ24" s="14">
        <v>46097</v>
      </c>
      <c r="AR24" t="s">
        <v>164</v>
      </c>
    </row>
    <row r="25" spans="1:44" x14ac:dyDescent="0.2">
      <c r="A25" s="14">
        <v>46098</v>
      </c>
      <c r="B25" t="s">
        <v>165</v>
      </c>
      <c r="C25" s="1">
        <v>314000</v>
      </c>
      <c r="AJ25" s="14">
        <v>46098</v>
      </c>
      <c r="AK25" t="s">
        <v>165</v>
      </c>
      <c r="AL25" s="1">
        <v>314000</v>
      </c>
      <c r="AQ25" s="14">
        <v>46098</v>
      </c>
      <c r="AR25" t="s">
        <v>165</v>
      </c>
    </row>
    <row r="26" spans="1:44" x14ac:dyDescent="0.2">
      <c r="A26" s="14">
        <v>46099</v>
      </c>
      <c r="B26" t="s">
        <v>166</v>
      </c>
      <c r="C26" s="1">
        <v>149000</v>
      </c>
      <c r="AJ26" s="14">
        <v>46099</v>
      </c>
      <c r="AK26" t="s">
        <v>166</v>
      </c>
      <c r="AL26" s="1">
        <v>149000</v>
      </c>
      <c r="AQ26" s="14">
        <v>46099</v>
      </c>
      <c r="AR26" t="s">
        <v>166</v>
      </c>
    </row>
    <row r="27" spans="1:44" x14ac:dyDescent="0.2">
      <c r="A27" s="14">
        <v>46100</v>
      </c>
      <c r="B27" t="s">
        <v>167</v>
      </c>
      <c r="C27" s="1">
        <v>388900</v>
      </c>
      <c r="AJ27" s="14">
        <v>46100</v>
      </c>
      <c r="AK27" t="s">
        <v>167</v>
      </c>
      <c r="AL27" s="1">
        <v>388900</v>
      </c>
      <c r="AQ27" s="14">
        <v>46100</v>
      </c>
      <c r="AR27" t="s">
        <v>167</v>
      </c>
    </row>
    <row r="28" spans="1:44" x14ac:dyDescent="0.2">
      <c r="A28" s="14">
        <v>46101</v>
      </c>
      <c r="B28" t="s">
        <v>168</v>
      </c>
      <c r="C28" s="1">
        <v>172700</v>
      </c>
      <c r="AJ28" s="14">
        <v>46101</v>
      </c>
      <c r="AK28" t="s">
        <v>168</v>
      </c>
      <c r="AL28" s="1">
        <v>172700</v>
      </c>
      <c r="AQ28" s="14">
        <v>46101</v>
      </c>
      <c r="AR28" t="s">
        <v>168</v>
      </c>
    </row>
    <row r="29" spans="1:44" x14ac:dyDescent="0.2">
      <c r="A29" s="14">
        <v>46103</v>
      </c>
      <c r="B29" t="s">
        <v>163</v>
      </c>
      <c r="C29" s="1">
        <v>11000</v>
      </c>
      <c r="AJ29" s="14">
        <v>46103</v>
      </c>
      <c r="AK29" t="s">
        <v>163</v>
      </c>
      <c r="AL29" s="1">
        <v>11000</v>
      </c>
      <c r="AQ29" s="14">
        <v>46103</v>
      </c>
      <c r="AR29" t="s">
        <v>163</v>
      </c>
    </row>
  </sheetData>
  <mergeCells count="1">
    <mergeCell ref="X7:Z7"/>
  </mergeCells>
  <conditionalFormatting sqref="X12:X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5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2">
    <tabColor theme="6" tint="0.79998168889431442"/>
  </sheetPr>
  <dimension ref="A1:G18"/>
  <sheetViews>
    <sheetView showGridLines="0" zoomScale="130" zoomScaleNormal="130" workbookViewId="0">
      <pane xSplit="2" ySplit="5" topLeftCell="C6" activePane="bottomRight" state="frozen"/>
      <selection pane="topRight" activeCell="C1" sqref="C1"/>
      <selection pane="bottomLeft" activeCell="A4" sqref="A4"/>
      <selection pane="bottomRight" activeCell="C6" sqref="C6"/>
    </sheetView>
  </sheetViews>
  <sheetFormatPr baseColWidth="10" defaultColWidth="12.5" defaultRowHeight="14.25" x14ac:dyDescent="0.2"/>
  <cols>
    <col min="1" max="1" width="18" customWidth="1"/>
    <col min="2" max="2" width="27.5" bestFit="1" customWidth="1"/>
    <col min="3" max="4" width="12.75" customWidth="1"/>
    <col min="5" max="5" width="11.125" customWidth="1"/>
    <col min="6" max="6" width="15" customWidth="1"/>
  </cols>
  <sheetData>
    <row r="1" spans="1:7" x14ac:dyDescent="0.2">
      <c r="A1" s="27"/>
      <c r="B1" s="27"/>
    </row>
    <row r="2" spans="1:7" x14ac:dyDescent="0.2">
      <c r="A2" s="27"/>
      <c r="B2" s="27"/>
      <c r="F2" s="2"/>
    </row>
    <row r="3" spans="1:7" x14ac:dyDescent="0.2">
      <c r="A3" s="27"/>
      <c r="B3" s="27"/>
    </row>
    <row r="4" spans="1:7" x14ac:dyDescent="0.2">
      <c r="A4" s="27"/>
      <c r="B4" s="27"/>
      <c r="C4" s="6"/>
      <c r="D4" s="6"/>
      <c r="E4" s="6"/>
    </row>
    <row r="5" spans="1:7" ht="28.5" x14ac:dyDescent="0.35">
      <c r="A5" s="23" t="s">
        <v>71</v>
      </c>
      <c r="B5" s="22" t="s">
        <v>221</v>
      </c>
      <c r="C5" s="145" t="s">
        <v>161</v>
      </c>
      <c r="D5" s="147" t="s">
        <v>185</v>
      </c>
      <c r="E5" s="104"/>
    </row>
    <row r="6" spans="1:7" ht="17.25" x14ac:dyDescent="0.35">
      <c r="A6" t="s">
        <v>219</v>
      </c>
      <c r="B6" s="26" t="s">
        <v>222</v>
      </c>
      <c r="C6" s="107" t="s">
        <v>159</v>
      </c>
      <c r="D6" s="146"/>
      <c r="E6" s="104"/>
      <c r="G6" s="2"/>
    </row>
    <row r="7" spans="1:7" ht="17.25" x14ac:dyDescent="0.35">
      <c r="A7" t="s">
        <v>220</v>
      </c>
      <c r="B7" s="28" t="s">
        <v>223</v>
      </c>
      <c r="C7" s="107" t="s">
        <v>160</v>
      </c>
      <c r="D7" s="146"/>
      <c r="E7" s="104"/>
      <c r="G7" s="2"/>
    </row>
    <row r="8" spans="1:7" ht="17.25" x14ac:dyDescent="0.35">
      <c r="A8" s="25"/>
      <c r="B8" s="24" t="s">
        <v>2</v>
      </c>
      <c r="C8" s="106"/>
      <c r="D8" s="186"/>
      <c r="E8" s="104"/>
      <c r="F8" s="7"/>
      <c r="G8" s="2"/>
    </row>
    <row r="9" spans="1:7" ht="17.25" x14ac:dyDescent="0.35">
      <c r="C9" s="142"/>
      <c r="D9" s="105"/>
      <c r="E9" s="104"/>
      <c r="G9" s="2"/>
    </row>
    <row r="10" spans="1:7" ht="17.25" x14ac:dyDescent="0.35">
      <c r="E10" s="104"/>
      <c r="G10" s="2"/>
    </row>
    <row r="11" spans="1:7" ht="17.25" x14ac:dyDescent="0.35">
      <c r="E11" s="104"/>
      <c r="G11" s="2"/>
    </row>
    <row r="12" spans="1:7" ht="17.25" x14ac:dyDescent="0.35">
      <c r="E12" s="104"/>
    </row>
    <row r="13" spans="1:7" ht="17.25" x14ac:dyDescent="0.35">
      <c r="E13" s="104"/>
    </row>
    <row r="14" spans="1:7" ht="17.25" x14ac:dyDescent="0.35">
      <c r="E14" s="104"/>
    </row>
    <row r="15" spans="1:7" ht="17.25" x14ac:dyDescent="0.35">
      <c r="E15" s="104"/>
    </row>
    <row r="16" spans="1:7" ht="17.25" x14ac:dyDescent="0.35">
      <c r="E16" s="104"/>
    </row>
    <row r="17" spans="5:7" ht="17.25" x14ac:dyDescent="0.35">
      <c r="E17" s="104"/>
    </row>
    <row r="18" spans="5:7" ht="17.25" x14ac:dyDescent="0.35">
      <c r="E18" s="104"/>
      <c r="G18" s="2"/>
    </row>
  </sheetData>
  <phoneticPr fontId="15" type="noConversion"/>
  <conditionalFormatting sqref="C6:C7">
    <cfRule type="containsText" dxfId="3" priority="9" operator="containsText" text="Urgente">
      <formula>NOT(ISERROR(SEARCH("Urgente",C6)))</formula>
    </cfRule>
    <cfRule type="containsText" dxfId="2" priority="10" operator="containsText" text="Pagado">
      <formula>NOT(ISERROR(SEARCH("Pagado",C6)))</formula>
    </cfRule>
    <cfRule type="containsText" dxfId="1" priority="11" operator="containsText" text="Congelado">
      <formula>NOT(ISERROR(SEARCH("Congelado",C6)))</formula>
    </cfRule>
    <cfRule type="containsText" dxfId="0" priority="12" operator="containsText" text="corto">
      <formula>NOT(ISERROR(SEARCH("corto",C6)))</formula>
    </cfRule>
  </conditionalFormatting>
  <dataValidations count="1">
    <dataValidation type="list" allowBlank="1" showInputMessage="1" showErrorMessage="1" sqref="C6:C7" xr:uid="{00000000-0002-0000-0A00-000000000000}">
      <formula1>"Pagar Urgente, Pagar Otro mes,Congelado,Pagado,Financiero"</formula1>
    </dataValidation>
  </dataValidations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23"/>
  <sheetViews>
    <sheetView showGridLines="0" topLeftCell="D1" zoomScale="115" zoomScaleNormal="115" workbookViewId="0">
      <selection activeCell="J1" sqref="J1"/>
    </sheetView>
  </sheetViews>
  <sheetFormatPr baseColWidth="10" defaultRowHeight="14.25" x14ac:dyDescent="0.2"/>
  <cols>
    <col min="1" max="1" width="7.75" customWidth="1"/>
    <col min="2" max="3" width="9.375" bestFit="1" customWidth="1"/>
    <col min="4" max="4" width="8" bestFit="1" customWidth="1"/>
    <col min="5" max="5" width="10.5" customWidth="1"/>
    <col min="6" max="6" width="9" customWidth="1"/>
    <col min="7" max="7" width="10.375" customWidth="1"/>
    <col min="8" max="8" width="9.375" bestFit="1" customWidth="1"/>
    <col min="9" max="9" width="15.625" bestFit="1" customWidth="1"/>
    <col min="10" max="10" width="9.75" customWidth="1"/>
    <col min="11" max="16" width="10.125" customWidth="1"/>
    <col min="17" max="17" width="9.875" customWidth="1"/>
    <col min="18" max="18" width="8.75" customWidth="1"/>
    <col min="19" max="19" width="12.125" customWidth="1"/>
    <col min="21" max="21" width="11.5" bestFit="1" customWidth="1"/>
  </cols>
  <sheetData>
    <row r="1" spans="1:26" ht="27" customHeight="1" x14ac:dyDescent="0.2">
      <c r="A1" s="60"/>
      <c r="B1" s="61" t="s">
        <v>133</v>
      </c>
      <c r="C1" s="61" t="s">
        <v>38</v>
      </c>
      <c r="D1" s="61" t="s">
        <v>0</v>
      </c>
      <c r="E1" s="62" t="s">
        <v>116</v>
      </c>
      <c r="F1" s="62" t="s">
        <v>128</v>
      </c>
      <c r="G1" s="62" t="s">
        <v>131</v>
      </c>
      <c r="H1" s="63" t="s">
        <v>117</v>
      </c>
      <c r="I1" s="63" t="s">
        <v>126</v>
      </c>
      <c r="J1" s="63" t="s">
        <v>118</v>
      </c>
      <c r="K1" s="63" t="s">
        <v>132</v>
      </c>
      <c r="L1" s="63" t="s">
        <v>135</v>
      </c>
      <c r="M1" s="80" t="s">
        <v>140</v>
      </c>
      <c r="N1" s="80" t="s">
        <v>141</v>
      </c>
      <c r="O1" s="64" t="s">
        <v>119</v>
      </c>
      <c r="P1" s="64" t="s">
        <v>139</v>
      </c>
      <c r="Q1" s="64" t="s">
        <v>127</v>
      </c>
      <c r="R1" s="64" t="s">
        <v>129</v>
      </c>
      <c r="S1" s="64" t="s">
        <v>136</v>
      </c>
      <c r="T1" s="64" t="s">
        <v>130</v>
      </c>
      <c r="U1" s="64" t="s">
        <v>137</v>
      </c>
    </row>
    <row r="2" spans="1:26" x14ac:dyDescent="0.2">
      <c r="B2" s="67" t="s">
        <v>134</v>
      </c>
      <c r="C2" s="67">
        <v>43624</v>
      </c>
      <c r="D2" s="68" t="str">
        <f t="shared" ref="D2:D9" si="0">+TEXT(C2,"mmmm")</f>
        <v>junio</v>
      </c>
      <c r="E2" s="69">
        <v>1000000</v>
      </c>
      <c r="F2" s="71"/>
      <c r="G2" s="73">
        <f>IFERROR(Opex9[[#This Row],[Arriendo]]/Opex9[[#This Row],[No. Días Arriendo]],0)</f>
        <v>0</v>
      </c>
      <c r="H2" s="69">
        <v>430</v>
      </c>
      <c r="I2" s="71">
        <v>0</v>
      </c>
      <c r="J2" s="83">
        <v>0</v>
      </c>
      <c r="K2" s="74">
        <f>IFERROR(Opex9[[#This Row],[Gas]]/Opex9[[#This Row],[Consumo (m3)]],0)</f>
        <v>0</v>
      </c>
      <c r="L2" s="84">
        <f>IFERROR(Opex9[[#This Row],[Gas]]/Opex9[[#This Row],[No. Días Arriendo]],0)</f>
        <v>0</v>
      </c>
      <c r="M2" s="70"/>
      <c r="N2" s="81">
        <f>IFERROR(Opex9[[#This Row],[Agua]]/Opex9[[#This Row],[No. Días Arriendo]],0)</f>
        <v>0</v>
      </c>
      <c r="O2" s="70"/>
      <c r="P2" s="70"/>
      <c r="Q2" s="71">
        <f t="shared" ref="Q2:Q20" si="1">+X2</f>
        <v>0</v>
      </c>
      <c r="R2" s="71"/>
      <c r="S2" s="70">
        <f>IFERROR(Opex9[[#This Row],[Energia]]/Opex9[[#This Row],[Consumo
(KhW]],0)</f>
        <v>0</v>
      </c>
      <c r="T2" s="72"/>
      <c r="U2" s="87">
        <f>IFERROR(Opex9[[#This Row],[Energia]]/Opex9[[#This Row],[No. Días Arriendo]],0)</f>
        <v>0</v>
      </c>
    </row>
    <row r="3" spans="1:26" x14ac:dyDescent="0.2">
      <c r="B3" s="67" t="s">
        <v>134</v>
      </c>
      <c r="C3" s="67">
        <v>43654</v>
      </c>
      <c r="D3" s="68" t="str">
        <f t="shared" si="0"/>
        <v>julio</v>
      </c>
      <c r="E3" s="69">
        <v>1000000</v>
      </c>
      <c r="F3" s="71"/>
      <c r="G3" s="73">
        <f>IFERROR(Opex9[[#This Row],[Arriendo]]/Opex9[[#This Row],[No. Días Arriendo]],0)</f>
        <v>0</v>
      </c>
      <c r="H3" s="69">
        <v>88870</v>
      </c>
      <c r="I3" s="71">
        <f t="shared" ref="I3:I11" si="2">+F2</f>
        <v>0</v>
      </c>
      <c r="J3" s="83">
        <v>112</v>
      </c>
      <c r="K3" s="74">
        <f>IFERROR(Opex9[[#This Row],[Gas]]/Opex9[[#This Row],[Consumo (m3)]],0)</f>
        <v>793.48214285714289</v>
      </c>
      <c r="L3" s="84">
        <f>IFERROR(Opex9[[#This Row],[Gas]]/Opex9[[#This Row],[No. Días Arriendo]],0)</f>
        <v>0</v>
      </c>
      <c r="M3" s="70"/>
      <c r="N3" s="81">
        <f>IFERROR(Opex9[[#This Row],[Agua]]/Opex9[[#This Row],[No. Días Arriendo]],0)</f>
        <v>0</v>
      </c>
      <c r="O3" s="70"/>
      <c r="P3" s="70"/>
      <c r="Q3" s="71">
        <f t="shared" si="1"/>
        <v>0</v>
      </c>
      <c r="R3" s="71"/>
      <c r="S3" s="70">
        <f>IFERROR(Opex9[[#This Row],[Energia]]/Opex9[[#This Row],[Consumo
(KhW]],0)</f>
        <v>0</v>
      </c>
      <c r="T3" s="72"/>
      <c r="U3" s="87">
        <f>IFERROR(Opex9[[#This Row],[Energia]]/Opex9[[#This Row],[No. Días Arriendo]],0)</f>
        <v>0</v>
      </c>
    </row>
    <row r="4" spans="1:26" x14ac:dyDescent="0.2">
      <c r="B4" s="67" t="s">
        <v>134</v>
      </c>
      <c r="C4" s="67">
        <v>43685</v>
      </c>
      <c r="D4" s="68" t="str">
        <f t="shared" si="0"/>
        <v>agosto</v>
      </c>
      <c r="E4" s="69">
        <v>1000000</v>
      </c>
      <c r="F4" s="71"/>
      <c r="G4" s="73">
        <f>IFERROR(Opex9[[#This Row],[Arriendo]]/Opex9[[#This Row],[No. Días Arriendo]],0)</f>
        <v>0</v>
      </c>
      <c r="H4" s="69">
        <v>201040</v>
      </c>
      <c r="I4" s="71">
        <f t="shared" si="2"/>
        <v>0</v>
      </c>
      <c r="J4" s="83">
        <v>233</v>
      </c>
      <c r="K4" s="74">
        <f>IFERROR(Opex9[[#This Row],[Gas]]/Opex9[[#This Row],[Consumo (m3)]],0)</f>
        <v>862.83261802575112</v>
      </c>
      <c r="L4" s="84">
        <f>IFERROR(Opex9[[#This Row],[Gas]]/Opex9[[#This Row],[No. Días Arriendo]],0)</f>
        <v>0</v>
      </c>
      <c r="M4" s="70"/>
      <c r="N4" s="81">
        <f>IFERROR(Opex9[[#This Row],[Agua]]/Opex9[[#This Row],[No. Días Arriendo]],0)</f>
        <v>0</v>
      </c>
      <c r="O4" s="70"/>
      <c r="P4" s="70"/>
      <c r="Q4" s="71">
        <f t="shared" si="1"/>
        <v>0</v>
      </c>
      <c r="R4" s="71"/>
      <c r="S4" s="70">
        <f>IFERROR(Opex9[[#This Row],[Energia]]/Opex9[[#This Row],[Consumo
(KhW]],0)</f>
        <v>0</v>
      </c>
      <c r="T4" s="72"/>
      <c r="U4" s="87">
        <f>IFERROR(Opex9[[#This Row],[Energia]]/Opex9[[#This Row],[No. Días Arriendo]],0)</f>
        <v>0</v>
      </c>
    </row>
    <row r="5" spans="1:26" x14ac:dyDescent="0.2">
      <c r="B5" s="67" t="s">
        <v>134</v>
      </c>
      <c r="C5" s="67">
        <v>43715</v>
      </c>
      <c r="D5" s="68" t="str">
        <f t="shared" si="0"/>
        <v>septiembre</v>
      </c>
      <c r="E5" s="69">
        <v>1000000</v>
      </c>
      <c r="F5" s="71"/>
      <c r="G5" s="73">
        <f>IFERROR(Opex9[[#This Row],[Arriendo]]/Opex9[[#This Row],[No. Días Arriendo]],0)</f>
        <v>0</v>
      </c>
      <c r="H5" s="69">
        <v>177990</v>
      </c>
      <c r="I5" s="71">
        <f t="shared" si="2"/>
        <v>0</v>
      </c>
      <c r="J5" s="83">
        <v>209</v>
      </c>
      <c r="K5" s="74">
        <f>IFERROR(Opex9[[#This Row],[Gas]]/Opex9[[#This Row],[Consumo (m3)]],0)</f>
        <v>851.62679425837325</v>
      </c>
      <c r="L5" s="84">
        <f>IFERROR(Opex9[[#This Row],[Gas]]/Opex9[[#This Row],[No. Días Arriendo]],0)</f>
        <v>0</v>
      </c>
      <c r="M5" s="70"/>
      <c r="N5" s="81">
        <f>IFERROR(Opex9[[#This Row],[Agua]]/Opex9[[#This Row],[No. Días Arriendo]],0)</f>
        <v>0</v>
      </c>
      <c r="O5" s="70"/>
      <c r="P5" s="70"/>
      <c r="Q5" s="71">
        <f t="shared" si="1"/>
        <v>0</v>
      </c>
      <c r="R5" s="71"/>
      <c r="S5" s="70">
        <f>IFERROR(Opex9[[#This Row],[Energia]]/Opex9[[#This Row],[Consumo
(KhW]],0)</f>
        <v>0</v>
      </c>
      <c r="T5" s="72"/>
      <c r="U5" s="87">
        <f>IFERROR(Opex9[[#This Row],[Energia]]/Opex9[[#This Row],[No. Días Arriendo]],0)</f>
        <v>0</v>
      </c>
    </row>
    <row r="6" spans="1:26" x14ac:dyDescent="0.2">
      <c r="B6" s="67" t="s">
        <v>134</v>
      </c>
      <c r="C6" s="67">
        <v>43745</v>
      </c>
      <c r="D6" s="68" t="str">
        <f t="shared" si="0"/>
        <v>octubre</v>
      </c>
      <c r="E6" s="69">
        <v>1000000</v>
      </c>
      <c r="F6" s="71"/>
      <c r="G6" s="73">
        <f>IFERROR(Opex9[[#This Row],[Arriendo]]/Opex9[[#This Row],[No. Días Arriendo]],0)</f>
        <v>0</v>
      </c>
      <c r="H6" s="69">
        <v>174280</v>
      </c>
      <c r="I6" s="71">
        <f t="shared" si="2"/>
        <v>0</v>
      </c>
      <c r="J6" s="83">
        <v>201</v>
      </c>
      <c r="K6" s="74">
        <f>IFERROR(Opex9[[#This Row],[Gas]]/Opex9[[#This Row],[Consumo (m3)]],0)</f>
        <v>867.06467661691545</v>
      </c>
      <c r="L6" s="84">
        <f>IFERROR(Opex9[[#This Row],[Gas]]/Opex9[[#This Row],[No. Días Arriendo]],0)</f>
        <v>0</v>
      </c>
      <c r="M6" s="70"/>
      <c r="N6" s="81">
        <f>IFERROR(Opex9[[#This Row],[Agua]]/Opex9[[#This Row],[No. Días Arriendo]],0)</f>
        <v>0</v>
      </c>
      <c r="O6" s="70"/>
      <c r="P6" s="70"/>
      <c r="Q6" s="71">
        <f t="shared" si="1"/>
        <v>0</v>
      </c>
      <c r="R6" s="71"/>
      <c r="S6" s="70">
        <f>IFERROR(Opex9[[#This Row],[Energia]]/Opex9[[#This Row],[Consumo
(KhW]],0)</f>
        <v>0</v>
      </c>
      <c r="T6" s="72"/>
      <c r="U6" s="87">
        <f>IFERROR(Opex9[[#This Row],[Energia]]/Opex9[[#This Row],[No. Días Arriendo]],0)</f>
        <v>0</v>
      </c>
    </row>
    <row r="7" spans="1:26" x14ac:dyDescent="0.2">
      <c r="B7" s="67" t="s">
        <v>134</v>
      </c>
      <c r="C7" s="67">
        <v>43777</v>
      </c>
      <c r="D7" s="68" t="str">
        <f t="shared" si="0"/>
        <v>noviembre</v>
      </c>
      <c r="E7" s="69">
        <v>1000000</v>
      </c>
      <c r="F7" s="71"/>
      <c r="G7" s="73">
        <f>IFERROR(Opex9[[#This Row],[Arriendo]]/Opex9[[#This Row],[No. Días Arriendo]],0)</f>
        <v>0</v>
      </c>
      <c r="H7" s="69">
        <v>181790</v>
      </c>
      <c r="I7" s="71">
        <f t="shared" si="2"/>
        <v>0</v>
      </c>
      <c r="J7" s="83">
        <v>201</v>
      </c>
      <c r="K7" s="74">
        <f>IFERROR(Opex9[[#This Row],[Gas]]/Opex9[[#This Row],[Consumo (m3)]],0)</f>
        <v>904.42786069651743</v>
      </c>
      <c r="L7" s="84">
        <f>IFERROR(Opex9[[#This Row],[Gas]]/Opex9[[#This Row],[No. Días Arriendo]],0)</f>
        <v>0</v>
      </c>
      <c r="M7" s="70"/>
      <c r="N7" s="81">
        <f>IFERROR(Opex9[[#This Row],[Agua]]/Opex9[[#This Row],[No. Días Arriendo]],0)</f>
        <v>0</v>
      </c>
      <c r="O7" s="70"/>
      <c r="P7" s="70"/>
      <c r="Q7" s="71">
        <f t="shared" si="1"/>
        <v>0</v>
      </c>
      <c r="R7" s="143">
        <v>805</v>
      </c>
      <c r="S7" s="70">
        <f>IFERROR(Opex9[[#This Row],[Energia]]/Opex9[[#This Row],[Consumo
(KhW]],0)</f>
        <v>0</v>
      </c>
      <c r="T7" s="72"/>
      <c r="U7" s="87">
        <f>IFERROR(Opex9[[#This Row],[Energia]]/Opex9[[#This Row],[No. Días Arriendo]],0)</f>
        <v>0</v>
      </c>
    </row>
    <row r="8" spans="1:26" x14ac:dyDescent="0.2">
      <c r="B8" s="67" t="s">
        <v>134</v>
      </c>
      <c r="C8" s="67">
        <v>43806</v>
      </c>
      <c r="D8" s="68" t="str">
        <f t="shared" si="0"/>
        <v>diciembre</v>
      </c>
      <c r="E8" s="69">
        <v>1000000</v>
      </c>
      <c r="F8" s="71">
        <v>31</v>
      </c>
      <c r="G8" s="73">
        <f>IFERROR(Opex9[[#This Row],[Arriendo]]/Opex9[[#This Row],[No. Días Arriendo]],0)</f>
        <v>32258.064516129034</v>
      </c>
      <c r="H8" s="69">
        <v>161900</v>
      </c>
      <c r="I8" s="71">
        <f t="shared" si="2"/>
        <v>0</v>
      </c>
      <c r="J8" s="83">
        <v>187</v>
      </c>
      <c r="K8" s="74">
        <f>IFERROR(Opex9[[#This Row],[Gas]]/Opex9[[#This Row],[Consumo (m3)]],0)</f>
        <v>865.77540106951869</v>
      </c>
      <c r="L8" s="84">
        <f>IFERROR(Opex9[[#This Row],[Gas]]/Opex9[[#This Row],[No. Días Arriendo]],0)</f>
        <v>5222.5806451612907</v>
      </c>
      <c r="M8" s="70">
        <v>150000</v>
      </c>
      <c r="N8" s="81">
        <f>IFERROR(Opex9[[#This Row],[Agua]]/Opex9[[#This Row],[No. Días Arriendo]],0)</f>
        <v>4838.7096774193551</v>
      </c>
      <c r="O8" s="70">
        <v>0</v>
      </c>
      <c r="P8" s="70"/>
      <c r="Q8" s="71">
        <f t="shared" si="1"/>
        <v>29</v>
      </c>
      <c r="R8" s="143">
        <v>742</v>
      </c>
      <c r="S8" s="70">
        <f>IFERROR(Opex9[[#This Row],[Energia]]/Opex9[[#This Row],[Consumo
(KhW]],0)</f>
        <v>0</v>
      </c>
      <c r="T8" s="65" t="s">
        <v>120</v>
      </c>
      <c r="U8" s="87">
        <f>IFERROR(Opex9[[#This Row],[Energia]]/Opex9[[#This Row],[No. Días Arriendo]],0)</f>
        <v>0</v>
      </c>
      <c r="V8" s="14">
        <v>43790</v>
      </c>
      <c r="W8" s="14">
        <v>43819</v>
      </c>
      <c r="X8" s="59">
        <f t="shared" ref="X8:X20" si="3">+W8-V8</f>
        <v>29</v>
      </c>
      <c r="Z8" s="1">
        <f>+Opex9[[#This Row],[Día Energia]]+Opex9[[#This Row],[Día Gas]]+Opex9[[#This Row],[Día Arriendo]]</f>
        <v>37480.645161290326</v>
      </c>
    </row>
    <row r="9" spans="1:26" x14ac:dyDescent="0.2">
      <c r="B9" s="67" t="s">
        <v>134</v>
      </c>
      <c r="C9" s="67">
        <v>43839</v>
      </c>
      <c r="D9" s="68" t="str">
        <f t="shared" si="0"/>
        <v>enero</v>
      </c>
      <c r="E9" s="69">
        <v>1000000</v>
      </c>
      <c r="F9" s="71">
        <v>31</v>
      </c>
      <c r="G9" s="73">
        <f>IFERROR(Opex9[[#This Row],[Arriendo]]/Opex9[[#This Row],[No. Días Arriendo]],0)</f>
        <v>32258.064516129034</v>
      </c>
      <c r="H9" s="69">
        <v>152570</v>
      </c>
      <c r="I9" s="71">
        <f t="shared" si="2"/>
        <v>31</v>
      </c>
      <c r="J9" s="83">
        <v>168</v>
      </c>
      <c r="K9" s="74">
        <f>IFERROR(Opex9[[#This Row],[Gas]]/Opex9[[#This Row],[Consumo (m3)]],0)</f>
        <v>908.15476190476193</v>
      </c>
      <c r="L9" s="84">
        <f>IFERROR(Opex9[[#This Row],[Gas]]/Opex9[[#This Row],[No. Días Arriendo]],0)</f>
        <v>4921.6129032258068</v>
      </c>
      <c r="M9" s="70">
        <v>150000</v>
      </c>
      <c r="N9" s="81">
        <f>IFERROR(Opex9[[#This Row],[Agua]]/Opex9[[#This Row],[No. Días Arriendo]],0)</f>
        <v>4838.7096774193551</v>
      </c>
      <c r="O9" s="70">
        <v>0</v>
      </c>
      <c r="P9" s="70"/>
      <c r="Q9" s="71">
        <f t="shared" si="1"/>
        <v>33</v>
      </c>
      <c r="R9" s="143">
        <v>775</v>
      </c>
      <c r="S9" s="70">
        <f>IFERROR(Opex9[[#This Row],[Energia]]/Opex9[[#This Row],[Consumo
(KhW]],0)</f>
        <v>0</v>
      </c>
      <c r="T9" s="66" t="s">
        <v>121</v>
      </c>
      <c r="U9" s="87">
        <f>IFERROR(Opex9[[#This Row],[Energia]]/Opex9[[#This Row],[No. Días Arriendo]],0)</f>
        <v>0</v>
      </c>
      <c r="V9" s="14">
        <v>43819</v>
      </c>
      <c r="W9" s="14">
        <v>43852</v>
      </c>
      <c r="X9" s="59">
        <f t="shared" si="3"/>
        <v>33</v>
      </c>
      <c r="Z9" s="1">
        <f>+Opex9[[#This Row],[Día Energia]]+Opex9[[#This Row],[Día Gas]]+Opex9[[#This Row],[Día Arriendo]]</f>
        <v>37179.677419354841</v>
      </c>
    </row>
    <row r="10" spans="1:26" x14ac:dyDescent="0.2">
      <c r="B10" s="67" t="s">
        <v>134</v>
      </c>
      <c r="C10" s="67">
        <v>43868</v>
      </c>
      <c r="D10" s="68" t="str">
        <f>+TEXT(C10,"mmmm")</f>
        <v>febrero</v>
      </c>
      <c r="E10" s="69">
        <v>1000000</v>
      </c>
      <c r="F10" s="71">
        <v>29</v>
      </c>
      <c r="G10" s="73">
        <f>IFERROR(Opex9[[#This Row],[Arriendo]]/Opex9[[#This Row],[No. Días Arriendo]],0)</f>
        <v>34482.758620689652</v>
      </c>
      <c r="H10" s="69">
        <v>155100</v>
      </c>
      <c r="I10" s="71">
        <f t="shared" si="2"/>
        <v>31</v>
      </c>
      <c r="J10" s="83">
        <v>183</v>
      </c>
      <c r="K10" s="74">
        <f>IFERROR(Opex9[[#This Row],[Gas]]/Opex9[[#This Row],[Consumo (m3)]],0)</f>
        <v>847.54098360655735</v>
      </c>
      <c r="L10" s="84">
        <f>IFERROR(Opex9[[#This Row],[Gas]]/Opex9[[#This Row],[No. Días Arriendo]],0)</f>
        <v>5348.2758620689656</v>
      </c>
      <c r="M10" s="70">
        <v>150000</v>
      </c>
      <c r="N10" s="81">
        <f>IFERROR(Opex9[[#This Row],[Agua]]/Opex9[[#This Row],[No. Días Arriendo]],0)</f>
        <v>5172.4137931034484</v>
      </c>
      <c r="O10" s="70">
        <v>0</v>
      </c>
      <c r="P10" s="70"/>
      <c r="Q10" s="71">
        <f t="shared" si="1"/>
        <v>30</v>
      </c>
      <c r="R10" s="143">
        <v>521</v>
      </c>
      <c r="S10" s="70">
        <f>IFERROR(Opex9[[#This Row],[Energia]]/Opex9[[#This Row],[Consumo
(KhW]],0)</f>
        <v>0</v>
      </c>
      <c r="T10" s="65" t="s">
        <v>122</v>
      </c>
      <c r="U10" s="87">
        <f>IFERROR(Opex9[[#This Row],[Energia]]/Opex9[[#This Row],[No. Días Arriendo]],0)</f>
        <v>0</v>
      </c>
      <c r="V10" s="14">
        <v>43851</v>
      </c>
      <c r="W10" s="14">
        <v>43881</v>
      </c>
      <c r="X10" s="59">
        <f t="shared" si="3"/>
        <v>30</v>
      </c>
      <c r="Z10" s="1">
        <f>+Opex9[[#This Row],[Día Energia]]+Opex9[[#This Row],[Día Gas]]+Opex9[[#This Row],[Día Arriendo]]</f>
        <v>39831.034482758616</v>
      </c>
    </row>
    <row r="11" spans="1:26" x14ac:dyDescent="0.2">
      <c r="B11" s="67" t="s">
        <v>134</v>
      </c>
      <c r="C11" s="67">
        <v>43897</v>
      </c>
      <c r="D11" s="68" t="str">
        <f>+TEXT(C11,"mmmm")</f>
        <v>marzo</v>
      </c>
      <c r="E11" s="69">
        <v>1000000</v>
      </c>
      <c r="F11" s="71">
        <v>31</v>
      </c>
      <c r="G11" s="73">
        <f>IFERROR(Opex9[[#This Row],[Arriendo]]/Opex9[[#This Row],[No. Días Arriendo]],0)</f>
        <v>32258.064516129034</v>
      </c>
      <c r="H11" s="69">
        <v>224724</v>
      </c>
      <c r="I11" s="71">
        <f t="shared" si="2"/>
        <v>29</v>
      </c>
      <c r="J11" s="83">
        <v>239</v>
      </c>
      <c r="K11" s="74">
        <f>IFERROR(Opex9[[#This Row],[Gas]]/Opex9[[#This Row],[Consumo (m3)]],0)</f>
        <v>940.26778242677824</v>
      </c>
      <c r="L11" s="84">
        <f>IFERROR(Opex9[[#This Row],[Gas]]/Opex9[[#This Row],[No. Días Arriendo]],0)</f>
        <v>7249.1612903225805</v>
      </c>
      <c r="M11" s="70">
        <v>150000</v>
      </c>
      <c r="N11" s="81">
        <f>IFERROR(Opex9[[#This Row],[Agua]]/Opex9[[#This Row],[No. Días Arriendo]],0)</f>
        <v>4838.7096774193551</v>
      </c>
      <c r="O11" s="70">
        <v>0</v>
      </c>
      <c r="P11" s="70"/>
      <c r="Q11" s="71">
        <f>+X11</f>
        <v>28</v>
      </c>
      <c r="R11" s="143">
        <v>608</v>
      </c>
      <c r="S11" s="70">
        <f>IFERROR(Opex9[[#This Row],[Energia]]/Opex9[[#This Row],[Consumo
(KhW]],0)</f>
        <v>0</v>
      </c>
      <c r="T11" s="66" t="s">
        <v>123</v>
      </c>
      <c r="U11" s="87">
        <f>IFERROR(Opex9[[#This Row],[Energia]]/Opex9[[#This Row],[No. Días Arriendo]],0)</f>
        <v>0</v>
      </c>
      <c r="V11" s="14">
        <v>43881</v>
      </c>
      <c r="W11" s="14">
        <v>43909</v>
      </c>
      <c r="X11" s="59">
        <f t="shared" si="3"/>
        <v>28</v>
      </c>
      <c r="Z11" s="79">
        <f>+Opex9[[#This Row],[Día Energia]]+Opex9[[#This Row],[Día Gas]]+Opex9[[#This Row],[Día Arriendo]]</f>
        <v>39507.225806451614</v>
      </c>
    </row>
    <row r="12" spans="1:26" x14ac:dyDescent="0.2">
      <c r="B12" s="67" t="s">
        <v>134</v>
      </c>
      <c r="C12" s="67">
        <v>43928</v>
      </c>
      <c r="D12" s="68" t="str">
        <f>+TEXT(C12,"mmmm")</f>
        <v>abril</v>
      </c>
      <c r="E12" s="69">
        <v>500000</v>
      </c>
      <c r="F12" s="71">
        <v>30</v>
      </c>
      <c r="G12" s="73">
        <f>IFERROR(Opex9[[#This Row],[Arriendo]]/Opex9[[#This Row],[No. Días Arriendo]],0)</f>
        <v>16666.666666666668</v>
      </c>
      <c r="H12" s="69">
        <v>102730</v>
      </c>
      <c r="I12" s="71">
        <f>+F11</f>
        <v>31</v>
      </c>
      <c r="J12" s="83">
        <v>110</v>
      </c>
      <c r="K12" s="74">
        <f>IFERROR(Opex9[[#This Row],[Gas]]/Opex9[[#This Row],[Consumo (m3)]],0)</f>
        <v>933.90909090909088</v>
      </c>
      <c r="L12" s="84">
        <f>IFERROR(Opex9[[#This Row],[Gas]]/Opex9[[#This Row],[No. Días Arriendo]],0)</f>
        <v>3424.3333333333335</v>
      </c>
      <c r="M12" s="70">
        <v>150000</v>
      </c>
      <c r="N12" s="81">
        <f>IFERROR(Opex9[[#This Row],[Agua]]/Opex9[[#This Row],[No. Días Arriendo]],0)</f>
        <v>5000</v>
      </c>
      <c r="O12" s="70">
        <v>0</v>
      </c>
      <c r="P12" s="70"/>
      <c r="Q12" s="71">
        <f t="shared" si="1"/>
        <v>33</v>
      </c>
      <c r="R12" s="143">
        <v>757</v>
      </c>
      <c r="S12" s="70">
        <f>IFERROR(Opex9[[#This Row],[Energia]]/Opex9[[#This Row],[Consumo
(KhW]],0)</f>
        <v>0</v>
      </c>
      <c r="T12" s="65" t="s">
        <v>124</v>
      </c>
      <c r="U12" s="87">
        <f>IFERROR(Opex9[[#This Row],[Energia]]/Opex9[[#This Row],[No. Días Arriendo]],0)</f>
        <v>0</v>
      </c>
      <c r="V12" s="14">
        <v>43909</v>
      </c>
      <c r="W12" s="14">
        <v>43942</v>
      </c>
      <c r="X12" s="59">
        <f t="shared" si="3"/>
        <v>33</v>
      </c>
      <c r="Z12" s="1">
        <f>+Opex9[[#This Row],[Día Energia]]+Opex9[[#This Row],[Día Gas]]+Opex9[[#This Row],[Día Arriendo]]</f>
        <v>20091</v>
      </c>
    </row>
    <row r="13" spans="1:26" x14ac:dyDescent="0.2">
      <c r="B13" s="67" t="s">
        <v>134</v>
      </c>
      <c r="C13" s="88">
        <v>43959</v>
      </c>
      <c r="D13" s="89" t="str">
        <f>+TEXT(C13,"mmmm")</f>
        <v>mayo</v>
      </c>
      <c r="E13" s="90">
        <v>500000</v>
      </c>
      <c r="F13" s="91">
        <v>31</v>
      </c>
      <c r="G13" s="92">
        <f>IFERROR(Opex9[[#This Row],[Arriendo]]/Opex9[[#This Row],[No. Días Arriendo]],0)</f>
        <v>16129.032258064517</v>
      </c>
      <c r="H13" s="90">
        <v>220770</v>
      </c>
      <c r="I13" s="91">
        <f>+F12</f>
        <v>30</v>
      </c>
      <c r="J13" s="93">
        <v>221</v>
      </c>
      <c r="K13" s="94">
        <f>IFERROR(Opex9[[#This Row],[Gas]]/Opex9[[#This Row],[Consumo (m3)]],0)</f>
        <v>998.95927601809956</v>
      </c>
      <c r="L13" s="95">
        <f>IFERROR(Opex9[[#This Row],[Gas]]/Opex9[[#This Row],[No. Días Arriendo]],0)</f>
        <v>7121.6129032258068</v>
      </c>
      <c r="M13" s="96">
        <v>70000</v>
      </c>
      <c r="N13" s="97">
        <f>IFERROR(Opex9[[#This Row],[Agua]]/Opex9[[#This Row],[No. Días Arriendo]],0)</f>
        <v>2258.0645161290322</v>
      </c>
      <c r="O13" s="96">
        <v>0</v>
      </c>
      <c r="P13" s="96">
        <v>0</v>
      </c>
      <c r="Q13" s="91">
        <f t="shared" si="1"/>
        <v>29</v>
      </c>
      <c r="R13" s="144">
        <v>713</v>
      </c>
      <c r="S13" s="96">
        <f>IFERROR(Opex9[[#This Row],[Energia]]/Opex9[[#This Row],[Consumo
(KhW]],0)</f>
        <v>0</v>
      </c>
      <c r="T13" s="98" t="s">
        <v>125</v>
      </c>
      <c r="U13" s="99">
        <f>IFERROR(Opex9[[#This Row],[Energia]]/Opex9[[#This Row],[No. Días Arriendo]],0)</f>
        <v>0</v>
      </c>
      <c r="V13" s="14">
        <v>43942</v>
      </c>
      <c r="W13" s="14">
        <v>43971</v>
      </c>
      <c r="X13" s="59">
        <f t="shared" si="3"/>
        <v>29</v>
      </c>
      <c r="Z13" s="1">
        <f>+Opex9[[#This Row],[Día Energia]]+Opex9[[#This Row],[Día Gas]]+Opex9[[#This Row],[Día Arriendo]]</f>
        <v>23250.645161290326</v>
      </c>
    </row>
    <row r="14" spans="1:26" x14ac:dyDescent="0.2">
      <c r="B14" s="75" t="s">
        <v>72</v>
      </c>
      <c r="C14" s="75">
        <v>43990</v>
      </c>
      <c r="D14" s="75" t="str">
        <f>+TEXT(C14,"mmmm")</f>
        <v>junio</v>
      </c>
      <c r="E14" s="76">
        <v>500000</v>
      </c>
      <c r="F14" s="82">
        <v>30</v>
      </c>
      <c r="G14" s="73">
        <f>IFERROR(Opex9[[#This Row],[Arriendo]]/Opex9[[#This Row],[No. Días Arriendo]],0)</f>
        <v>16666.666666666668</v>
      </c>
      <c r="H14" s="76">
        <v>234638</v>
      </c>
      <c r="I14" s="77">
        <f>+F13</f>
        <v>31</v>
      </c>
      <c r="J14" s="77">
        <f>+AVERAGE(J11/I11,J12/I12,J13/I13)*Opex9[[#This Row],[No. Días Gas]]</f>
        <v>197.9498084291188</v>
      </c>
      <c r="K14" s="76">
        <f>+AVERAGE(K11:K13)</f>
        <v>957.71204978465619</v>
      </c>
      <c r="L14" s="84">
        <f>IFERROR(Opex9[[#This Row],[Gas]]/Opex9[[#This Row],[No. Días Arriendo]],0)</f>
        <v>7821.2666666666664</v>
      </c>
      <c r="M14" s="76">
        <v>70000</v>
      </c>
      <c r="N14" s="81">
        <f>IFERROR(Opex9[[#This Row],[Agua]]/Opex9[[#This Row],[No. Días Arriendo]],0)</f>
        <v>2333.3333333333335</v>
      </c>
      <c r="O14" s="76">
        <v>220800</v>
      </c>
      <c r="P14" s="76">
        <v>109770</v>
      </c>
      <c r="Q14" s="82">
        <f t="shared" si="1"/>
        <v>30</v>
      </c>
      <c r="R14" s="77" t="e">
        <f t="shared" ref="R14:R20" si="4">+AVERAGE($O$11/S11,$O$12/S12,$O$13/S13)</f>
        <v>#DIV/0!</v>
      </c>
      <c r="S14" s="76">
        <f t="shared" ref="S14:S19" si="5">+AVERAGE(S11:S13)</f>
        <v>0</v>
      </c>
      <c r="T14" s="75" t="s">
        <v>138</v>
      </c>
      <c r="U14" s="87">
        <f>IFERROR(Opex9[[#This Row],[Energia]]/Opex9[[#This Row],[No. Días Arriendo]],0)</f>
        <v>7360</v>
      </c>
      <c r="V14" s="14">
        <v>43971</v>
      </c>
      <c r="W14" s="14">
        <v>44001</v>
      </c>
      <c r="X14" s="59">
        <f t="shared" si="3"/>
        <v>30</v>
      </c>
      <c r="Z14" s="1">
        <f>+Opex9[[#This Row],[Día Energia]]+Opex9[[#This Row],[Día Gas]]+Opex9[[#This Row],[Día Arriendo]]</f>
        <v>31847.933333333334</v>
      </c>
    </row>
    <row r="15" spans="1:26" x14ac:dyDescent="0.2">
      <c r="B15" s="75" t="s">
        <v>72</v>
      </c>
      <c r="C15" s="67">
        <v>44020</v>
      </c>
      <c r="D15" s="67" t="str">
        <f t="shared" ref="D15:D20" si="6">+TEXT(C15,"mmmm")</f>
        <v>julio</v>
      </c>
      <c r="E15" s="69">
        <v>500000</v>
      </c>
      <c r="F15" s="83">
        <v>31</v>
      </c>
      <c r="G15" s="73">
        <f>IFERROR(Opex9[[#This Row],[Arriendo]]/Opex9[[#This Row],[No. Días Arriendo]],0)</f>
        <v>16129.032258064517</v>
      </c>
      <c r="H15" s="69">
        <f>+Opex9[[#This Row],[Consumo (m3)]]*Opex9[[#This Row],[Costo prom. Gas]]</f>
        <v>166695.25807223705</v>
      </c>
      <c r="I15" s="83">
        <f t="shared" ref="I15:I20" si="7">+F14</f>
        <v>30</v>
      </c>
      <c r="J15" s="71">
        <f>+AVERAGE(J12/I12,J13/I13,J14/I14)*Opex9[[#This Row],[No. Días Gas]]</f>
        <v>173.00531454702758</v>
      </c>
      <c r="K15" s="69">
        <f t="shared" ref="K15:K20" si="8">+AVERAGE(K12:K14)</f>
        <v>963.52680557061558</v>
      </c>
      <c r="L15" s="84">
        <f>IFERROR(Opex9[[#This Row],[Gas]]/Opex9[[#This Row],[No. Días Arriendo]],0)</f>
        <v>5377.2663894270017</v>
      </c>
      <c r="M15" s="69">
        <v>110000</v>
      </c>
      <c r="N15" s="81">
        <f>IFERROR(Opex9[[#This Row],[Agua]]/Opex9[[#This Row],[No. Días Arriendo]],0)</f>
        <v>3548.3870967741937</v>
      </c>
      <c r="O15" s="69">
        <v>220800</v>
      </c>
      <c r="P15" s="69">
        <v>367415</v>
      </c>
      <c r="Q15" s="83">
        <f t="shared" si="1"/>
        <v>30</v>
      </c>
      <c r="R15" s="71" t="e">
        <f t="shared" si="4"/>
        <v>#DIV/0!</v>
      </c>
      <c r="S15" s="70">
        <f t="shared" si="5"/>
        <v>0</v>
      </c>
      <c r="T15" s="85" t="s">
        <v>87</v>
      </c>
      <c r="U15" s="87">
        <f>IFERROR(Opex9[[#This Row],[Energia]]/Opex9[[#This Row],[No. Días Arriendo]],0)</f>
        <v>7122.5806451612907</v>
      </c>
      <c r="V15" s="14">
        <f t="shared" ref="V15:V21" si="9">+V14+30</f>
        <v>44001</v>
      </c>
      <c r="W15" s="14">
        <f t="shared" ref="W15:W20" si="10">+V16</f>
        <v>44031</v>
      </c>
      <c r="X15" s="59">
        <f t="shared" si="3"/>
        <v>30</v>
      </c>
      <c r="Z15" s="1">
        <f>+Opex9[[#This Row],[Día Energia]]+Opex9[[#This Row],[Día Gas]]+Opex9[[#This Row],[Día Arriendo]]</f>
        <v>28628.879292652811</v>
      </c>
    </row>
    <row r="16" spans="1:26" x14ac:dyDescent="0.2">
      <c r="B16" s="75" t="s">
        <v>72</v>
      </c>
      <c r="C16" s="75">
        <v>44051</v>
      </c>
      <c r="D16" s="75" t="str">
        <f t="shared" si="6"/>
        <v>agosto</v>
      </c>
      <c r="E16" s="76">
        <v>500000</v>
      </c>
      <c r="F16" s="82">
        <v>31</v>
      </c>
      <c r="G16" s="73">
        <f>IFERROR(Opex9[[#This Row],[Arriendo]]/Opex9[[#This Row],[No. Días Arriendo]],0)</f>
        <v>16129.032258064517</v>
      </c>
      <c r="H16" s="76">
        <f>+Opex9[[#This Row],[Consumo (m3)]]*Opex9[[#This Row],[Costo prom. Gas]]</f>
        <v>196330.96630535743</v>
      </c>
      <c r="I16" s="82">
        <f t="shared" si="7"/>
        <v>31</v>
      </c>
      <c r="J16" s="77">
        <f>+AVERAGE(J13/I13,J14/I14,J15/I15)*Opex9[[#This Row],[No. Días Gas]]</f>
        <v>201.69621115368241</v>
      </c>
      <c r="K16" s="76">
        <f t="shared" si="8"/>
        <v>973.39937712445715</v>
      </c>
      <c r="L16" s="84">
        <f>IFERROR(Opex9[[#This Row],[Gas]]/Opex9[[#This Row],[No. Días Arriendo]],0)</f>
        <v>6333.2569775921756</v>
      </c>
      <c r="M16" s="76">
        <v>110000</v>
      </c>
      <c r="N16" s="81">
        <f>IFERROR(Opex9[[#This Row],[Agua]]/Opex9[[#This Row],[No. Días Arriendo]],0)</f>
        <v>3548.3870967741937</v>
      </c>
      <c r="O16" s="76">
        <f>+O15</f>
        <v>220800</v>
      </c>
      <c r="P16" s="76">
        <v>367415</v>
      </c>
      <c r="Q16" s="82">
        <f t="shared" si="1"/>
        <v>30</v>
      </c>
      <c r="R16" s="77" t="e">
        <f t="shared" si="4"/>
        <v>#DIV/0!</v>
      </c>
      <c r="S16" s="78">
        <f t="shared" si="5"/>
        <v>0</v>
      </c>
      <c r="T16" s="86" t="s">
        <v>87</v>
      </c>
      <c r="U16" s="87">
        <f>IFERROR(Opex9[[#This Row],[Energia]]/Opex9[[#This Row],[No. Días Arriendo]],0)</f>
        <v>7122.5806451612907</v>
      </c>
      <c r="V16" s="14">
        <f t="shared" si="9"/>
        <v>44031</v>
      </c>
      <c r="W16" s="14">
        <f t="shared" si="10"/>
        <v>44061</v>
      </c>
      <c r="X16" s="59">
        <f t="shared" si="3"/>
        <v>30</v>
      </c>
      <c r="Z16" s="1">
        <f>+Opex9[[#This Row],[Día Energia]]+Opex9[[#This Row],[Día Gas]]+Opex9[[#This Row],[Día Arriendo]]</f>
        <v>29584.869880817983</v>
      </c>
    </row>
    <row r="17" spans="2:26" x14ac:dyDescent="0.2">
      <c r="B17" s="75" t="s">
        <v>72</v>
      </c>
      <c r="C17" s="67">
        <v>44082</v>
      </c>
      <c r="D17" s="67" t="str">
        <f t="shared" si="6"/>
        <v>septiembre</v>
      </c>
      <c r="E17" s="69">
        <v>500000</v>
      </c>
      <c r="F17" s="83">
        <v>30</v>
      </c>
      <c r="G17" s="73">
        <f>IFERROR(Opex9[[#This Row],[Arriendo]]/Opex9[[#This Row],[No. Días Arriendo]],0)</f>
        <v>16666.666666666668</v>
      </c>
      <c r="H17" s="69">
        <f>+Opex9[[#This Row],[Consumo (m3)]]*Opex9[[#This Row],[Costo prom. Gas]]</f>
        <v>186034.59691663631</v>
      </c>
      <c r="I17" s="83">
        <f t="shared" si="7"/>
        <v>31</v>
      </c>
      <c r="J17" s="71">
        <f>+AVERAGE(J14/I14,J15/I15,J16/I16)*Opex9[[#This Row],[No. Días Gas]]</f>
        <v>192.80605931602102</v>
      </c>
      <c r="K17" s="69">
        <f t="shared" si="8"/>
        <v>964.87941082657642</v>
      </c>
      <c r="L17" s="84">
        <f>IFERROR(Opex9[[#This Row],[Gas]]/Opex9[[#This Row],[No. Días Arriendo]],0)</f>
        <v>6201.1532305545434</v>
      </c>
      <c r="M17" s="69">
        <v>110000</v>
      </c>
      <c r="N17" s="81">
        <f>IFERROR(Opex9[[#This Row],[Agua]]/Opex9[[#This Row],[No. Días Arriendo]],0)</f>
        <v>3666.6666666666665</v>
      </c>
      <c r="O17" s="69">
        <f>+O16</f>
        <v>220800</v>
      </c>
      <c r="P17" s="69">
        <v>0</v>
      </c>
      <c r="Q17" s="83">
        <f t="shared" si="1"/>
        <v>30</v>
      </c>
      <c r="R17" s="71" t="e">
        <f t="shared" si="4"/>
        <v>#DIV/0!</v>
      </c>
      <c r="S17" s="70">
        <f t="shared" si="5"/>
        <v>0</v>
      </c>
      <c r="T17" s="85" t="s">
        <v>87</v>
      </c>
      <c r="U17" s="87">
        <f>IFERROR(Opex9[[#This Row],[Energia]]/Opex9[[#This Row],[No. Días Arriendo]],0)</f>
        <v>7360</v>
      </c>
      <c r="V17" s="14">
        <f t="shared" si="9"/>
        <v>44061</v>
      </c>
      <c r="W17" s="14">
        <f t="shared" si="10"/>
        <v>44091</v>
      </c>
      <c r="X17" s="59">
        <f t="shared" si="3"/>
        <v>30</v>
      </c>
      <c r="Z17" s="1">
        <f>+Opex9[[#This Row],[Día Energia]]+Opex9[[#This Row],[Día Gas]]+Opex9[[#This Row],[Día Arriendo]]</f>
        <v>30227.819897221212</v>
      </c>
    </row>
    <row r="18" spans="2:26" x14ac:dyDescent="0.2">
      <c r="B18" s="75" t="s">
        <v>72</v>
      </c>
      <c r="C18" s="75">
        <v>44112</v>
      </c>
      <c r="D18" s="75" t="str">
        <f t="shared" si="6"/>
        <v>octubre</v>
      </c>
      <c r="E18" s="76">
        <v>500000</v>
      </c>
      <c r="F18" s="82">
        <v>31</v>
      </c>
      <c r="G18" s="73">
        <f>IFERROR(Opex9[[#This Row],[Arriendo]]/Opex9[[#This Row],[No. Días Arriendo]],0)</f>
        <v>16129.032258064517</v>
      </c>
      <c r="H18" s="76">
        <f>+Opex9[[#This Row],[Consumo (m3)]]*Opex9[[#This Row],[Costo prom. Gas]]</f>
        <v>178874.29507701407</v>
      </c>
      <c r="I18" s="82">
        <f t="shared" si="7"/>
        <v>30</v>
      </c>
      <c r="J18" s="77">
        <f>+AVERAGE(J15/I15,J16/I16,J17/I17)*Opex9[[#This Row],[No. Días Gas]]</f>
        <v>184.92723510805331</v>
      </c>
      <c r="K18" s="76">
        <f t="shared" si="8"/>
        <v>967.26853117388316</v>
      </c>
      <c r="L18" s="84">
        <f>IFERROR(Opex9[[#This Row],[Gas]]/Opex9[[#This Row],[No. Días Arriendo]],0)</f>
        <v>5770.138550871422</v>
      </c>
      <c r="M18" s="76">
        <v>110000</v>
      </c>
      <c r="N18" s="81">
        <f>IFERROR(Opex9[[#This Row],[Agua]]/Opex9[[#This Row],[No. Días Arriendo]],0)</f>
        <v>3548.3870967741937</v>
      </c>
      <c r="O18" s="76">
        <f>+O17</f>
        <v>220800</v>
      </c>
      <c r="P18" s="76">
        <v>0</v>
      </c>
      <c r="Q18" s="82">
        <f t="shared" si="1"/>
        <v>30</v>
      </c>
      <c r="R18" s="77" t="e">
        <f t="shared" si="4"/>
        <v>#DIV/0!</v>
      </c>
      <c r="S18" s="78">
        <f t="shared" si="5"/>
        <v>0</v>
      </c>
      <c r="T18" s="86" t="s">
        <v>87</v>
      </c>
      <c r="U18" s="87">
        <f>IFERROR(Opex9[[#This Row],[Energia]]/Opex9[[#This Row],[No. Días Arriendo]],0)</f>
        <v>7122.5806451612907</v>
      </c>
      <c r="V18" s="14">
        <f t="shared" si="9"/>
        <v>44091</v>
      </c>
      <c r="W18" s="14">
        <f t="shared" si="10"/>
        <v>44121</v>
      </c>
      <c r="X18" s="59">
        <f t="shared" si="3"/>
        <v>30</v>
      </c>
      <c r="Z18" s="1">
        <f>+Opex9[[#This Row],[Día Energia]]+Opex9[[#This Row],[Día Gas]]+Opex9[[#This Row],[Día Arriendo]]</f>
        <v>29021.75145409723</v>
      </c>
    </row>
    <row r="19" spans="2:26" x14ac:dyDescent="0.2">
      <c r="B19" s="75" t="s">
        <v>72</v>
      </c>
      <c r="C19" s="67">
        <v>44143</v>
      </c>
      <c r="D19" s="67" t="str">
        <f t="shared" si="6"/>
        <v>noviembre</v>
      </c>
      <c r="E19" s="69">
        <v>500000</v>
      </c>
      <c r="F19" s="83">
        <v>30</v>
      </c>
      <c r="G19" s="73">
        <f>IFERROR(Opex9[[#This Row],[Arriendo]]/Opex9[[#This Row],[No. Días Arriendo]],0)</f>
        <v>16666.666666666668</v>
      </c>
      <c r="H19" s="69">
        <f>+Opex9[[#This Row],[Consumo (m3)]]*Opex9[[#This Row],[Costo prom. Gas]]</f>
        <v>189052.26010667114</v>
      </c>
      <c r="I19" s="83">
        <f t="shared" si="7"/>
        <v>31</v>
      </c>
      <c r="J19" s="71">
        <f>+AVERAGE(J16/I16,J17/I17,J18/I18)*Opex9[[#This Row],[No. Días Gas]]</f>
        <v>195.19791558267508</v>
      </c>
      <c r="K19" s="69">
        <f t="shared" si="8"/>
        <v>968.51577304163891</v>
      </c>
      <c r="L19" s="84">
        <f>IFERROR(Opex9[[#This Row],[Gas]]/Opex9[[#This Row],[No. Días Arriendo]],0)</f>
        <v>6301.7420035557043</v>
      </c>
      <c r="M19" s="69">
        <v>110000</v>
      </c>
      <c r="N19" s="81">
        <f>IFERROR(Opex9[[#This Row],[Agua]]/Opex9[[#This Row],[No. Días Arriendo]],0)</f>
        <v>3666.6666666666665</v>
      </c>
      <c r="O19" s="69">
        <f>+O18</f>
        <v>220800</v>
      </c>
      <c r="P19" s="69">
        <v>0</v>
      </c>
      <c r="Q19" s="83">
        <f t="shared" si="1"/>
        <v>30</v>
      </c>
      <c r="R19" s="71" t="e">
        <f t="shared" si="4"/>
        <v>#DIV/0!</v>
      </c>
      <c r="S19" s="70">
        <f t="shared" si="5"/>
        <v>0</v>
      </c>
      <c r="T19" s="85" t="s">
        <v>87</v>
      </c>
      <c r="U19" s="87">
        <f>IFERROR(Opex9[[#This Row],[Energia]]/Opex9[[#This Row],[No. Días Arriendo]],0)</f>
        <v>7360</v>
      </c>
      <c r="V19" s="14">
        <f t="shared" si="9"/>
        <v>44121</v>
      </c>
      <c r="W19" s="14">
        <f t="shared" si="10"/>
        <v>44151</v>
      </c>
      <c r="X19" s="59">
        <f t="shared" si="3"/>
        <v>30</v>
      </c>
      <c r="Z19" s="1">
        <f>+Opex9[[#This Row],[Día Energia]]+Opex9[[#This Row],[Día Gas]]+Opex9[[#This Row],[Día Arriendo]]</f>
        <v>30328.408670222372</v>
      </c>
    </row>
    <row r="20" spans="2:26" x14ac:dyDescent="0.2">
      <c r="B20" s="75" t="s">
        <v>72</v>
      </c>
      <c r="C20" s="75">
        <v>44173</v>
      </c>
      <c r="D20" s="75" t="str">
        <f t="shared" si="6"/>
        <v>diciembre</v>
      </c>
      <c r="E20" s="76">
        <v>500000</v>
      </c>
      <c r="F20" s="82">
        <v>31</v>
      </c>
      <c r="G20" s="73">
        <f>IFERROR(Opex9[[#This Row],[Arriendo]]/Opex9[[#This Row],[No. Días Arriendo]],0)</f>
        <v>16129.032258064517</v>
      </c>
      <c r="H20" s="76">
        <f>+Opex9[[#This Row],[Consumo (m3)]]*Opex9[[#This Row],[Costo prom. Gas]]</f>
        <v>180619.47986829127</v>
      </c>
      <c r="I20" s="82">
        <f t="shared" si="7"/>
        <v>30</v>
      </c>
      <c r="J20" s="77">
        <f>+AVERAGE(J17/I17,J18/I18,J19/I19)*Opex9[[#This Row],[No. Días Gas]]</f>
        <v>186.80498425065093</v>
      </c>
      <c r="K20" s="76">
        <f t="shared" si="8"/>
        <v>966.88790501403275</v>
      </c>
      <c r="L20" s="84">
        <f>IFERROR(Opex9[[#This Row],[Gas]]/Opex9[[#This Row],[No. Días Arriendo]],0)</f>
        <v>5826.4348344610089</v>
      </c>
      <c r="M20" s="76">
        <v>110000</v>
      </c>
      <c r="N20" s="81">
        <f>IFERROR(Opex9[[#This Row],[Agua]]/Opex9[[#This Row],[No. Días Arriendo]],0)</f>
        <v>3548.3870967741937</v>
      </c>
      <c r="O20" s="76">
        <f>+O19</f>
        <v>220800</v>
      </c>
      <c r="P20" s="76">
        <v>0</v>
      </c>
      <c r="Q20" s="82">
        <f t="shared" si="1"/>
        <v>30</v>
      </c>
      <c r="R20" s="77" t="e">
        <f t="shared" si="4"/>
        <v>#DIV/0!</v>
      </c>
      <c r="S20" s="78">
        <f>+AVERAGE(S17:S19)</f>
        <v>0</v>
      </c>
      <c r="T20" s="86" t="s">
        <v>87</v>
      </c>
      <c r="U20" s="87">
        <f>IFERROR(Opex9[[#This Row],[Energia]]/Opex9[[#This Row],[No. Días Arriendo]],0)</f>
        <v>7122.5806451612907</v>
      </c>
      <c r="V20" s="14">
        <f t="shared" si="9"/>
        <v>44151</v>
      </c>
      <c r="W20" s="14">
        <f t="shared" si="10"/>
        <v>44181</v>
      </c>
      <c r="X20" s="59">
        <f t="shared" si="3"/>
        <v>30</v>
      </c>
      <c r="Z20" s="1">
        <f>+Opex9[[#This Row],[Día Energia]]+Opex9[[#This Row],[Día Gas]]+Opex9[[#This Row],[Día Arriendo]]</f>
        <v>29078.047737686815</v>
      </c>
    </row>
    <row r="21" spans="2:26" x14ac:dyDescent="0.2">
      <c r="V21" s="14">
        <f t="shared" si="9"/>
        <v>44181</v>
      </c>
      <c r="W21" s="14"/>
    </row>
    <row r="23" spans="2:26" x14ac:dyDescent="0.2">
      <c r="H23" s="102" t="s">
        <v>147</v>
      </c>
      <c r="I23" s="102">
        <v>240000</v>
      </c>
      <c r="J23" s="103">
        <f>20000*5</f>
        <v>100000</v>
      </c>
      <c r="K23" s="103">
        <f>+J23*4</f>
        <v>400000</v>
      </c>
      <c r="P23" s="142"/>
    </row>
  </sheetData>
  <conditionalFormatting sqref="K2:K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8:S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verticalDpi="30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95E17582-FCB4-4579-86A8-9A39549FE84C}">
  <ds:schemaRefs>
    <ds:schemaRef ds:uri="http://schemas.microsoft.com/PowerBIAddIn"/>
  </ds:schemaRefs>
</ds:datastoreItem>
</file>

<file path=customXml/itemProps2.xml><?xml version="1.0" encoding="utf-8"?>
<ds:datastoreItem xmlns:ds="http://schemas.openxmlformats.org/officeDocument/2006/customXml" ds:itemID="{1825DA2F-3DA2-40CF-A06D-8919E24EB8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Inicio</vt:lpstr>
      <vt:lpstr>OPEX_SALES</vt:lpstr>
      <vt:lpstr>Opex</vt:lpstr>
      <vt:lpstr>sales</vt:lpstr>
      <vt:lpstr>MP</vt:lpstr>
      <vt:lpstr>Historia</vt:lpstr>
      <vt:lpstr>products</vt:lpstr>
      <vt:lpstr>Forecast</vt:lpstr>
      <vt:lpstr>Activos</vt:lpstr>
      <vt:lpstr>Ingresos</vt:lpstr>
      <vt:lpstr>Cuentas x Pagar</vt:lpstr>
      <vt:lpstr>Opex (2)</vt:lpstr>
      <vt:lpstr>Activos!Cuentas_x_pagar</vt:lpstr>
      <vt:lpstr>'Opex (2)'!Cuentas_x_pagar</vt:lpstr>
      <vt:lpstr>Cuentas_x_pagar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Edwin Torres</cp:lastModifiedBy>
  <dcterms:created xsi:type="dcterms:W3CDTF">2019-09-06T01:50:47Z</dcterms:created>
  <dcterms:modified xsi:type="dcterms:W3CDTF">2026-03-28T15:54:59Z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9b6d71cd-2b5e-4780-9b96-17447e341d22</vt:lpwstr>
  </property>
  <property fmtid="{D5CDD505-2E9C-101B-9397-08002B2CF9AE}" pid="3" name="ConnectionInfosStorage">
    <vt:lpwstr>WorkbookXmlParts</vt:lpwstr>
  </property>
</Properties>
</file>